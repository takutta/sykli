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date1904="1" updateLinks="always" codeName="TämäTyökirja"/>
  <mc:AlternateContent xmlns:mc="http://schemas.openxmlformats.org/markup-compatibility/2006">
    <mc:Choice Requires="x15">
      <x15ac:absPath xmlns:x15ac="http://schemas.microsoft.com/office/spreadsheetml/2010/11/ac" url="https://jyvaskyla.sharepoint.com/sites/Sykli/Jaetut asiakirjat/General/Sykli/"/>
    </mc:Choice>
  </mc:AlternateContent>
  <xr:revisionPtr revIDLastSave="53389" documentId="8_{E52E7A9C-56A1-4AEA-84AC-BB3833D0B27B}" xr6:coauthVersionLast="47" xr6:coauthVersionMax="47" xr10:uidLastSave="{FFA060B9-086D-4B7A-BEF5-0DBF89D689A7}"/>
  <bookViews>
    <workbookView xWindow="-120" yWindow="-120" windowWidth="29040" windowHeight="17790" tabRatio="893" xr2:uid="{35FB8AB4-131A-4959-B9A9-732BE890A087}"/>
  </bookViews>
  <sheets>
    <sheet name="Kopiot" sheetId="603" r:id="rId1"/>
    <sheet name="Isojen_lista" sheetId="604" state="hidden" r:id="rId2"/>
    <sheet name="Pienten_lista" sheetId="605" state="hidden" r:id="rId3"/>
    <sheet name="Tyoaikakoonti" sheetId="594" r:id="rId4"/>
    <sheet name="Aamuiltanimet" sheetId="608" state="hidden" r:id="rId5"/>
    <sheet name="LakanaNimet" sheetId="1272" r:id="rId6"/>
    <sheet name="ViikkoLiitokset" sheetId="609" r:id="rId7"/>
    <sheet name="Kalenteri" sheetId="1281" r:id="rId8"/>
    <sheet name="pTU" sheetId="526" state="hidden" r:id="rId9"/>
    <sheet name="pTU1" sheetId="48" state="hidden" r:id="rId10"/>
    <sheet name="pTU2" sheetId="49" state="hidden" r:id="rId11"/>
    <sheet name="pTU3" sheetId="50" state="hidden" r:id="rId12"/>
  </sheets>
  <functionGroups builtInGroupCount="19"/>
  <definedNames>
    <definedName name="_xlnm._FilterDatabase" localSheetId="0" hidden="1">Kopiot!$S$8:$V$8</definedName>
    <definedName name="a" localSheetId="4">#REF!</definedName>
    <definedName name="a">#REF!</definedName>
    <definedName name="Aamuilta" localSheetId="4">#REF!</definedName>
    <definedName name="Aamuilta">#REF!</definedName>
    <definedName name="Aikuiset" localSheetId="4">OFFSET(#REF!,0,0,COUNTA(#REF!),1)</definedName>
    <definedName name="Aikuiset">OFFSET(#REF!,0,0,COUNTA(#REF!),1)</definedName>
    <definedName name="b" localSheetId="4">#REF!</definedName>
    <definedName name="b">#REF!</definedName>
    <definedName name="ce" localSheetId="4">#REF!</definedName>
    <definedName name="ce">#REF!</definedName>
    <definedName name="fdgfdgsf" localSheetId="4">OFFSET(#REF!,0,0,COUNTA(#REF!),1)</definedName>
    <definedName name="fdgfdgsf">OFFSET(#REF!,0,0,COUNTA(#REF!),1)</definedName>
    <definedName name="gfsgfd" localSheetId="4">#REF!</definedName>
    <definedName name="gfsgfd">#REF!</definedName>
    <definedName name="gsfd" localSheetId="4">OFFSET(#REF!,0,0,COUNTA(#REF!)-1,1)</definedName>
    <definedName name="gsfd">OFFSET(#REF!,0,0,COUNTA(#REF!)-1,1)</definedName>
    <definedName name="Iltaruoka" localSheetId="4">#REF!</definedName>
    <definedName name="Iltaruoka">#REF!</definedName>
    <definedName name="juu" localSheetId="4">#REF!</definedName>
    <definedName name="juu">#REF!</definedName>
    <definedName name="Koko_talon_iltaruoat" localSheetId="4">#REF!</definedName>
    <definedName name="Koko_talon_iltaruoat">#REF!</definedName>
    <definedName name="Lapset" localSheetId="4">OFFSET(#REF!,0,0,COUNTA(#REF!)-1,1)</definedName>
    <definedName name="Lapset">OFFSET(#REF!,0,0,COUNTA(#REF!)-1,1)</definedName>
    <definedName name="Lapset_Erityisruokavalio" localSheetId="4">#REF!</definedName>
    <definedName name="Lapset_Erityisruokavalio">#REF!</definedName>
    <definedName name="Ohjeteksti" localSheetId="4">#REF!</definedName>
    <definedName name="Ohjeteksti">#REF!</definedName>
    <definedName name="_xlnm.Print_Area" localSheetId="4">Aamuiltanimet!$A$3:$R$20</definedName>
    <definedName name="rpohja" localSheetId="4">#REF!</definedName>
    <definedName name="rpohja">#REF!</definedName>
    <definedName name="Ryhmät_Käytössä" localSheetId="4">#REF!</definedName>
    <definedName name="Ryhmät_Käytössä">#REF!</definedName>
    <definedName name="Ryhmät_Näytetäänkö_työntekijät" localSheetId="4">#REF!</definedName>
    <definedName name="Ryhmät_Näytetäänkö_työntekijät">#REF!</definedName>
    <definedName name="Työntekijät_Erityisruokavalio" localSheetId="4">#REF!</definedName>
    <definedName name="Työntekijät_Erityisruokaval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50" l="1"/>
  <c r="C6" i="50" s="1"/>
  <c r="D6" i="50" s="1"/>
  <c r="E6" i="50" s="1"/>
  <c r="F6" i="50" s="1"/>
  <c r="G6" i="50" s="1"/>
  <c r="H6" i="50" s="1"/>
  <c r="D6" i="49"/>
  <c r="E6" i="49" s="1"/>
  <c r="F6" i="49" s="1"/>
  <c r="G6" i="49" s="1"/>
  <c r="H6" i="49" s="1"/>
  <c r="B6" i="49"/>
  <c r="C6" i="49" s="1"/>
  <c r="B6" i="526"/>
  <c r="C6" i="526" s="1"/>
  <c r="D6" i="526" s="1"/>
  <c r="E6" i="526" s="1"/>
  <c r="F6" i="526" s="1"/>
  <c r="G6" i="526" s="1"/>
  <c r="H6" i="526" s="1"/>
  <c r="I6" i="526" s="1"/>
  <c r="J6" i="526" s="1"/>
  <c r="K6" i="526" s="1"/>
  <c r="L6" i="526" s="1"/>
  <c r="M6" i="526" s="1"/>
  <c r="N6" i="526" s="1"/>
  <c r="O6" i="526" s="1"/>
  <c r="P6" i="526" s="1"/>
  <c r="Q6" i="526" s="1"/>
  <c r="R6" i="526" s="1"/>
  <c r="S6" i="526" s="1"/>
  <c r="T6" i="526" s="1"/>
  <c r="U6" i="526" s="1"/>
  <c r="V6" i="526" s="1"/>
  <c r="B6" i="48"/>
  <c r="C6" i="48" s="1"/>
  <c r="D6" i="48" s="1"/>
  <c r="E6" i="48" s="1"/>
  <c r="F6" i="48" s="1"/>
  <c r="G6" i="48" s="1"/>
  <c r="H6" i="48" s="1"/>
  <c r="A6" i="604" l="1"/>
  <c r="A7" i="604"/>
  <c r="A8" i="604"/>
  <c r="A6" i="605"/>
  <c r="A7" i="605" s="1"/>
  <c r="A8" i="605" s="1"/>
  <c r="A9" i="605" s="1"/>
  <c r="A11" i="605"/>
  <c r="A12" i="605" s="1"/>
  <c r="A13" i="605" s="1"/>
  <c r="A14" i="605" s="1"/>
  <c r="A15" i="605" s="1"/>
  <c r="A16" i="605" s="1"/>
  <c r="A17" i="605" s="1"/>
  <c r="A19" i="605"/>
  <c r="A20" i="605"/>
  <c r="A21" i="605" s="1"/>
  <c r="A22" i="605" s="1"/>
  <c r="A23" i="605" s="1"/>
  <c r="A25" i="605"/>
  <c r="A26" i="605" s="1"/>
  <c r="A27" i="605" s="1"/>
  <c r="A28" i="605" s="1"/>
  <c r="A29" i="605" s="1"/>
  <c r="A30" i="605" s="1"/>
  <c r="A32" i="605"/>
  <c r="A33" i="605" s="1"/>
  <c r="A34" i="605" s="1"/>
  <c r="A35" i="605" s="1"/>
  <c r="A36" i="605" s="1"/>
  <c r="A37" i="605" s="1"/>
  <c r="A39" i="605"/>
  <c r="A40" i="605" s="1"/>
  <c r="A41" i="605" s="1"/>
  <c r="A42" i="605" s="1"/>
  <c r="A44" i="605"/>
  <c r="A45" i="605" s="1"/>
  <c r="A46" i="605" s="1"/>
  <c r="A47" i="605" s="1"/>
  <c r="A48" i="605" s="1"/>
  <c r="A50" i="605"/>
  <c r="A51" i="605" s="1"/>
  <c r="A52" i="605" s="1"/>
  <c r="A53" i="605" s="1"/>
  <c r="A55" i="605"/>
  <c r="A56" i="605" s="1"/>
  <c r="A57" i="605" s="1"/>
  <c r="A58" i="605" s="1"/>
  <c r="A60" i="605"/>
  <c r="A61" i="605" s="1"/>
  <c r="A62" i="605" s="1"/>
  <c r="A63" i="605" s="1"/>
  <c r="A64" i="605" s="1"/>
  <c r="A66" i="605"/>
  <c r="A67" i="605" s="1"/>
  <c r="A68" i="605" s="1"/>
  <c r="A69" i="605" s="1"/>
  <c r="A70" i="605" s="1"/>
  <c r="A72" i="605"/>
  <c r="A73" i="605" s="1"/>
  <c r="A74" i="605" s="1"/>
  <c r="A75" i="605" s="1"/>
  <c r="A76" i="605" s="1"/>
  <c r="A78" i="605"/>
  <c r="A79" i="605" s="1"/>
  <c r="A80" i="605" s="1"/>
  <c r="A81" i="605" s="1"/>
  <c r="A83" i="605"/>
  <c r="A84" i="605" s="1"/>
  <c r="A85" i="605" s="1"/>
  <c r="A86" i="605" s="1"/>
  <c r="A87" i="605" s="1"/>
  <c r="A88" i="605" s="1"/>
  <c r="A90" i="605"/>
  <c r="A91" i="605" s="1"/>
  <c r="A92" i="605" s="1"/>
  <c r="A93" i="605" s="1"/>
  <c r="A95" i="605"/>
  <c r="A96" i="605" s="1"/>
  <c r="A97" i="605" s="1"/>
  <c r="A98" i="605" s="1"/>
  <c r="A100" i="605"/>
  <c r="A101" i="605" s="1"/>
  <c r="A102" i="605" s="1"/>
  <c r="A103" i="605" s="1"/>
  <c r="A104" i="605" s="1"/>
  <c r="A105" i="605" s="1"/>
  <c r="A106" i="605" s="1"/>
  <c r="A107" i="605" s="1"/>
  <c r="A108" i="605" s="1"/>
  <c r="A109" i="605" s="1"/>
  <c r="A110" i="605" s="1"/>
  <c r="A111" i="605" s="1"/>
  <c r="A112" i="605" s="1"/>
  <c r="A113" i="605" s="1"/>
  <c r="A114" i="605" s="1"/>
  <c r="A115" i="605" s="1"/>
  <c r="A116" i="605" s="1"/>
  <c r="A117" i="605" s="1"/>
  <c r="A118" i="605" s="1"/>
  <c r="A119" i="605" s="1"/>
  <c r="A120" i="605" s="1"/>
  <c r="A121" i="605" s="1"/>
  <c r="A122" i="605" s="1"/>
  <c r="A123" i="605" s="1"/>
  <c r="A124" i="605" s="1"/>
  <c r="A125" i="605" s="1"/>
  <c r="A126" i="605" s="1"/>
  <c r="A127" i="605" s="1"/>
  <c r="A128" i="605" s="1"/>
  <c r="A129" i="605" s="1"/>
  <c r="A130" i="605" s="1"/>
  <c r="A131" i="605" s="1"/>
  <c r="A132" i="605" s="1"/>
  <c r="A133" i="605" s="1"/>
  <c r="A134" i="605" s="1"/>
  <c r="A135" i="605" s="1"/>
  <c r="A136" i="605" s="1"/>
  <c r="A137" i="605" s="1"/>
  <c r="A138" i="605" s="1"/>
  <c r="A139" i="605" s="1"/>
  <c r="A140" i="605" s="1"/>
  <c r="A141" i="605" s="1"/>
  <c r="A142" i="605" s="1"/>
  <c r="A143" i="605" s="1"/>
  <c r="A144" i="605" s="1"/>
  <c r="A145" i="605" s="1"/>
  <c r="A146" i="605" s="1"/>
  <c r="A147" i="605" s="1"/>
  <c r="A148" i="605" s="1"/>
  <c r="A149" i="605" s="1"/>
  <c r="A150" i="605" s="1"/>
  <c r="A151" i="605" s="1"/>
  <c r="A152" i="605" s="1"/>
  <c r="A153" i="605" s="1"/>
  <c r="A154" i="605" s="1"/>
  <c r="A155" i="605" s="1"/>
  <c r="A156" i="605" s="1"/>
  <c r="A157" i="605" s="1"/>
  <c r="A158" i="605" s="1"/>
  <c r="A159" i="605" s="1"/>
  <c r="A160" i="605" s="1"/>
  <c r="A161" i="605" s="1"/>
  <c r="A162" i="605" s="1"/>
  <c r="A163" i="605" s="1"/>
  <c r="A164" i="605" s="1"/>
  <c r="A165" i="605" s="1"/>
  <c r="A166" i="605" s="1"/>
  <c r="A167" i="605" s="1"/>
  <c r="A168" i="605" s="1"/>
  <c r="A169" i="605" s="1"/>
  <c r="A170" i="605" s="1"/>
  <c r="A171" i="605" s="1"/>
  <c r="A172" i="605" s="1"/>
  <c r="A173" i="605" s="1"/>
  <c r="A174" i="605" s="1"/>
  <c r="A175" i="605" s="1"/>
  <c r="A176" i="605" s="1"/>
  <c r="A177" i="605" s="1"/>
  <c r="A178" i="605" s="1"/>
  <c r="A179" i="605" s="1"/>
  <c r="A180" i="605" s="1"/>
  <c r="A181" i="605" s="1"/>
  <c r="A182" i="605" s="1"/>
  <c r="A183" i="605" s="1"/>
  <c r="A184" i="605" s="1"/>
  <c r="A185" i="605" s="1"/>
  <c r="A186" i="605" s="1"/>
  <c r="A187" i="605" s="1"/>
  <c r="A188" i="605" s="1"/>
  <c r="A189" i="605" s="1"/>
  <c r="A190" i="605" s="1"/>
  <c r="A191" i="605" s="1"/>
  <c r="A192" i="605" s="1"/>
  <c r="A193" i="605" s="1"/>
  <c r="A194" i="605" s="1"/>
  <c r="A195" i="605" s="1"/>
  <c r="A196" i="605" s="1"/>
  <c r="A197" i="605" s="1"/>
  <c r="A198" i="605" s="1"/>
  <c r="A199" i="605" s="1"/>
  <c r="A200" i="605" s="1"/>
  <c r="A201" i="605" s="1"/>
  <c r="A202" i="605" s="1"/>
  <c r="A203" i="605" s="1"/>
  <c r="A204" i="605" s="1"/>
  <c r="A205" i="605" s="1"/>
  <c r="A206" i="605" s="1"/>
  <c r="A207" i="605" s="1"/>
  <c r="A208" i="605" s="1"/>
  <c r="A209" i="605" s="1"/>
  <c r="A210" i="605" s="1"/>
  <c r="A211" i="605" s="1"/>
  <c r="A212" i="605" s="1"/>
  <c r="A213" i="605" s="1"/>
  <c r="A214" i="605" s="1"/>
  <c r="A215" i="605" s="1"/>
  <c r="A216" i="605" s="1"/>
  <c r="A217" i="605" s="1"/>
  <c r="A218" i="605" s="1"/>
  <c r="A219" i="605" s="1"/>
  <c r="A220" i="605" s="1"/>
  <c r="A221" i="605" s="1"/>
  <c r="A222" i="605" s="1"/>
  <c r="A223" i="605" s="1"/>
  <c r="A224" i="605" s="1"/>
  <c r="A225" i="605" s="1"/>
  <c r="A226" i="605" s="1"/>
  <c r="A227" i="605" s="1"/>
  <c r="A228" i="605" s="1"/>
  <c r="A229" i="605" s="1"/>
  <c r="A230" i="605" s="1"/>
  <c r="A231" i="605" s="1"/>
  <c r="A232" i="605" s="1"/>
  <c r="A233" i="605" s="1"/>
  <c r="A234" i="605" s="1"/>
  <c r="A235" i="605" s="1"/>
  <c r="A236" i="605" s="1"/>
  <c r="A237" i="605" s="1"/>
  <c r="A238" i="605" s="1"/>
  <c r="A239" i="605" s="1"/>
  <c r="A240" i="605" s="1"/>
  <c r="A241" i="605" s="1"/>
  <c r="A242" i="605" s="1"/>
  <c r="A243" i="605" s="1"/>
  <c r="A244" i="605" s="1"/>
  <c r="A245" i="605" s="1"/>
  <c r="A246" i="605" s="1"/>
  <c r="A247" i="605" s="1"/>
  <c r="A248" i="605" s="1"/>
  <c r="A249" i="605" s="1"/>
  <c r="A250" i="605" s="1"/>
  <c r="A251" i="605" s="1"/>
  <c r="A252" i="605" s="1"/>
  <c r="A253" i="605" s="1"/>
  <c r="A254" i="605" s="1"/>
  <c r="A255" i="605" s="1"/>
  <c r="A256" i="605" s="1"/>
  <c r="A257" i="605" s="1"/>
  <c r="A258" i="605" s="1"/>
  <c r="A259" i="605" s="1"/>
  <c r="A260" i="605" s="1"/>
  <c r="A261" i="605" s="1"/>
  <c r="A262" i="605" s="1"/>
  <c r="A263" i="605" s="1"/>
  <c r="A264" i="605" s="1"/>
  <c r="A265" i="605" s="1"/>
  <c r="A266" i="605" s="1"/>
  <c r="A267" i="605" s="1"/>
  <c r="A268" i="605" s="1"/>
  <c r="A269" i="605" s="1"/>
  <c r="A270" i="605" s="1"/>
  <c r="A271" i="605" s="1"/>
  <c r="A272" i="605" s="1"/>
  <c r="A273" i="605" s="1"/>
  <c r="A274" i="605" s="1"/>
  <c r="A275" i="605" s="1"/>
  <c r="A276" i="605" s="1"/>
  <c r="A277" i="605" s="1"/>
  <c r="A278" i="605" s="1"/>
  <c r="A279" i="605" s="1"/>
  <c r="A280" i="605" s="1"/>
  <c r="A281" i="605" s="1"/>
  <c r="A282" i="605" s="1"/>
  <c r="A283" i="605" s="1"/>
  <c r="A284" i="605" s="1"/>
  <c r="A285" i="605" s="1"/>
  <c r="A286" i="605" s="1"/>
  <c r="A287" i="605" s="1"/>
  <c r="A288" i="605" s="1"/>
  <c r="A289" i="605" s="1"/>
  <c r="A290" i="605" s="1"/>
  <c r="A291" i="605" s="1"/>
  <c r="A292" i="605" s="1"/>
  <c r="A293" i="605" s="1"/>
  <c r="A294" i="605" s="1"/>
  <c r="A295" i="605" s="1"/>
  <c r="A296" i="605" s="1"/>
  <c r="A297" i="605" s="1"/>
  <c r="A298" i="605" s="1"/>
  <c r="A299" i="605" s="1"/>
  <c r="A300" i="605" s="1"/>
  <c r="A301" i="605" s="1"/>
  <c r="A302" i="605" s="1"/>
  <c r="A303" i="605" s="1"/>
  <c r="A304" i="605" s="1"/>
  <c r="A305" i="605" s="1"/>
  <c r="A306" i="605" s="1"/>
  <c r="A307" i="605" s="1"/>
  <c r="A308" i="605" s="1"/>
  <c r="A309" i="605" s="1"/>
  <c r="A310" i="605" s="1"/>
  <c r="A311" i="605" s="1"/>
  <c r="A312" i="605" s="1"/>
  <c r="A313" i="605" s="1"/>
  <c r="A314" i="605" s="1"/>
  <c r="A315" i="605" s="1"/>
  <c r="A316" i="605" s="1"/>
  <c r="A317" i="605" s="1"/>
  <c r="A318" i="605" s="1"/>
  <c r="A319" i="605" s="1"/>
  <c r="A320" i="605" s="1"/>
  <c r="A321" i="605" s="1"/>
  <c r="A322" i="605" s="1"/>
  <c r="A323" i="605" s="1"/>
  <c r="A324" i="605" s="1"/>
  <c r="A325" i="605" s="1"/>
  <c r="A326" i="605" s="1"/>
  <c r="A327" i="605" s="1"/>
  <c r="A328" i="605" s="1"/>
  <c r="A329" i="605" s="1"/>
  <c r="A330" i="605" s="1"/>
  <c r="A331" i="605" s="1"/>
  <c r="A332" i="605" s="1"/>
  <c r="A333" i="605" s="1"/>
  <c r="A334" i="605" s="1"/>
  <c r="A335" i="605" s="1"/>
  <c r="A336" i="605" s="1"/>
  <c r="A337" i="605" s="1"/>
  <c r="A338" i="605" s="1"/>
  <c r="A339" i="605" s="1"/>
  <c r="A340" i="605" s="1"/>
  <c r="A341" i="605" s="1"/>
  <c r="A342" i="605" s="1"/>
  <c r="A343" i="605" s="1"/>
  <c r="A344" i="605" s="1"/>
  <c r="A345" i="605" s="1"/>
  <c r="D27" i="603" a="1"/>
  <c r="D14" i="603" a="1"/>
  <c r="D24" i="603" a="1"/>
  <c r="D28" i="603" a="1"/>
  <c r="D16" i="603" a="1"/>
  <c r="D25" i="603" a="1"/>
  <c r="D15" i="603" a="1"/>
  <c r="D18" i="603" a="1"/>
  <c r="D11" i="603" a="1"/>
  <c r="D13" i="603" a="1"/>
  <c r="D21" i="603" a="1"/>
  <c r="D20" i="603" a="1"/>
  <c r="D26" i="603" a="1"/>
  <c r="D23" i="603" a="1"/>
  <c r="D22" i="603" a="1"/>
  <c r="D12" i="603" a="1"/>
  <c r="D19" i="603" a="1"/>
  <c r="D17" i="603" a="1"/>
  <c r="D29" i="603" a="1"/>
  <c r="D28" i="603" l="1"/>
  <c r="D26" i="603"/>
  <c r="D24" i="603"/>
  <c r="D22" i="603"/>
  <c r="D20" i="603"/>
  <c r="D18" i="603"/>
  <c r="D14" i="603"/>
  <c r="D16" i="603"/>
  <c r="D29" i="603"/>
  <c r="D27" i="603"/>
  <c r="D25" i="603"/>
  <c r="D23" i="603"/>
  <c r="D21" i="603"/>
  <c r="D19" i="603"/>
  <c r="D17" i="603"/>
  <c r="D15" i="603"/>
  <c r="D13" i="603"/>
  <c r="D12" i="603"/>
  <c r="D11" i="603"/>
  <c r="A9" i="604"/>
  <c r="A9" i="49" a="1"/>
  <c r="A9" i="49" s="1"/>
  <c r="A9" i="48" a="1"/>
  <c r="A9" i="48" s="1"/>
  <c r="A9" i="50" a="1"/>
  <c r="A9" i="50" s="1"/>
  <c r="Q8" i="608" a="1"/>
  <c r="Q8" i="608" s="1"/>
  <c r="I19" i="608" a="1"/>
  <c r="I19" i="608" s="1"/>
  <c r="K19" i="608" a="1"/>
  <c r="K19" i="608" s="1"/>
  <c r="L19" i="608" a="1"/>
  <c r="L19" i="608" s="1"/>
  <c r="I20" i="608" a="1"/>
  <c r="I20" i="608" s="1"/>
  <c r="J20" i="608" a="1"/>
  <c r="J20" i="608" s="1"/>
  <c r="K20" i="608" a="1"/>
  <c r="K20" i="608" s="1"/>
  <c r="L20" i="608" a="1"/>
  <c r="L20" i="608" s="1"/>
  <c r="H20" i="608" a="1"/>
  <c r="H20" i="608" s="1"/>
  <c r="H19" i="608" a="1"/>
  <c r="H19" i="608" s="1"/>
  <c r="N20" i="608" a="1"/>
  <c r="N20" i="608" s="1"/>
  <c r="O20" i="608" a="1"/>
  <c r="O20" i="608" s="1"/>
  <c r="P20" i="608" a="1"/>
  <c r="P20" i="608" s="1"/>
  <c r="Q20" i="608" a="1"/>
  <c r="Q20" i="608" s="1"/>
  <c r="R20" i="608" a="1"/>
  <c r="R20" i="608" s="1"/>
  <c r="O19" i="608" a="1"/>
  <c r="O19" i="608" s="1"/>
  <c r="P19" i="608" a="1"/>
  <c r="P19" i="608" s="1"/>
  <c r="Q19" i="608" a="1"/>
  <c r="Q19" i="608" s="1"/>
  <c r="R19" i="608" a="1"/>
  <c r="R19" i="608" s="1"/>
  <c r="N19" i="608" a="1"/>
  <c r="N19" i="608" s="1"/>
  <c r="O10" i="608" a="1"/>
  <c r="O10" i="608" s="1"/>
  <c r="P10" i="608" a="1"/>
  <c r="P10" i="608" s="1"/>
  <c r="Q10" i="608" a="1"/>
  <c r="Q10" i="608" s="1"/>
  <c r="R10" i="608" a="1"/>
  <c r="R10" i="608" s="1"/>
  <c r="O11" i="608" a="1"/>
  <c r="O11" i="608" s="1"/>
  <c r="P11" i="608" a="1"/>
  <c r="P11" i="608" s="1"/>
  <c r="Q11" i="608" a="1"/>
  <c r="Q11" i="608" s="1"/>
  <c r="R11" i="608" a="1"/>
  <c r="R11" i="608" s="1"/>
  <c r="N11" i="608" a="1"/>
  <c r="N11" i="608" s="1"/>
  <c r="N10" i="608" a="1"/>
  <c r="N10" i="608" s="1"/>
  <c r="N6" i="608" a="1"/>
  <c r="N6" i="608" s="1"/>
  <c r="O6" i="608" a="1"/>
  <c r="O6" i="608" s="1"/>
  <c r="P6" i="608" a="1"/>
  <c r="P6" i="608" s="1"/>
  <c r="Q6" i="608" a="1"/>
  <c r="Q6" i="608" s="1"/>
  <c r="R6" i="608" a="1"/>
  <c r="R6" i="608" s="1"/>
  <c r="N7" i="608" a="1"/>
  <c r="N7" i="608" s="1"/>
  <c r="O7" i="608" a="1"/>
  <c r="O7" i="608" s="1"/>
  <c r="P7" i="608" a="1"/>
  <c r="P7" i="608" s="1"/>
  <c r="Q7" i="608" a="1"/>
  <c r="Q7" i="608" s="1"/>
  <c r="R7" i="608" a="1"/>
  <c r="R7" i="608" s="1"/>
  <c r="N8" i="608" a="1"/>
  <c r="N8" i="608" s="1"/>
  <c r="O8" i="608" a="1"/>
  <c r="O8" i="608" s="1"/>
  <c r="P8" i="608" a="1"/>
  <c r="P8" i="608" s="1"/>
  <c r="R8" i="608" a="1"/>
  <c r="R8" i="608" s="1"/>
  <c r="O5" i="608" a="1"/>
  <c r="O5" i="608" s="1"/>
  <c r="P5" i="608" a="1"/>
  <c r="P5" i="608" s="1"/>
  <c r="Q5" i="608" a="1"/>
  <c r="Q5" i="608" s="1"/>
  <c r="R5" i="608" a="1"/>
  <c r="R5" i="608" s="1"/>
  <c r="N5" i="608" a="1"/>
  <c r="N5" i="608" s="1"/>
  <c r="N14" i="608" a="1"/>
  <c r="N14" i="608" s="1"/>
  <c r="O14" i="608" a="1"/>
  <c r="O14" i="608" s="1"/>
  <c r="P14" i="608" a="1"/>
  <c r="P14" i="608" s="1"/>
  <c r="Q14" i="608" a="1"/>
  <c r="Q14" i="608" s="1"/>
  <c r="R14" i="608" a="1"/>
  <c r="R14" i="608" s="1"/>
  <c r="N15" i="608" a="1"/>
  <c r="N15" i="608" s="1"/>
  <c r="O15" i="608" a="1"/>
  <c r="O15" i="608" s="1"/>
  <c r="P15" i="608" a="1"/>
  <c r="P15" i="608" s="1"/>
  <c r="Q15" i="608" a="1"/>
  <c r="Q15" i="608" s="1"/>
  <c r="R15" i="608" a="1"/>
  <c r="R15" i="608" s="1"/>
  <c r="N16" i="608" a="1"/>
  <c r="N16" i="608" s="1"/>
  <c r="O16" i="608" a="1"/>
  <c r="O16" i="608" s="1"/>
  <c r="P16" i="608" a="1"/>
  <c r="P16" i="608" s="1"/>
  <c r="Q16" i="608" a="1"/>
  <c r="Q16" i="608" s="1"/>
  <c r="R16" i="608" a="1"/>
  <c r="R16" i="608" s="1"/>
  <c r="N17" i="608" a="1"/>
  <c r="N17" i="608" s="1"/>
  <c r="O17" i="608" a="1"/>
  <c r="O17" i="608" s="1"/>
  <c r="P17" i="608" a="1"/>
  <c r="P17" i="608" s="1"/>
  <c r="Q17" i="608" a="1"/>
  <c r="Q17" i="608" s="1"/>
  <c r="R17" i="608" a="1"/>
  <c r="R17" i="608" s="1"/>
  <c r="R13" i="608" a="1"/>
  <c r="R13" i="608" s="1"/>
  <c r="Q13" i="608" a="1"/>
  <c r="Q13" i="608" s="1"/>
  <c r="P13" i="608" a="1"/>
  <c r="P13" i="608" s="1"/>
  <c r="N13" i="608" a="1"/>
  <c r="N13" i="608" s="1"/>
  <c r="I10" i="608" a="1"/>
  <c r="I10" i="608" s="1"/>
  <c r="J10" i="608" a="1"/>
  <c r="J10" i="608" s="1"/>
  <c r="K10" i="608" a="1"/>
  <c r="K10" i="608" s="1"/>
  <c r="L10" i="608" a="1"/>
  <c r="L10" i="608" s="1"/>
  <c r="I11" i="608" a="1"/>
  <c r="I11" i="608" s="1"/>
  <c r="J11" i="608" a="1"/>
  <c r="J11" i="608" s="1"/>
  <c r="K11" i="608" a="1"/>
  <c r="K11" i="608" s="1"/>
  <c r="L11" i="608" a="1"/>
  <c r="L11" i="608" s="1"/>
  <c r="H11" i="608" a="1"/>
  <c r="H11" i="608" s="1"/>
  <c r="H10" i="608" a="1"/>
  <c r="H10" i="608" s="1"/>
  <c r="H14" i="608" a="1"/>
  <c r="H14" i="608" s="1"/>
  <c r="I14" i="608" a="1"/>
  <c r="I14" i="608" s="1"/>
  <c r="J14" i="608" a="1"/>
  <c r="J14" i="608" s="1"/>
  <c r="K14" i="608" a="1"/>
  <c r="K14" i="608" s="1"/>
  <c r="L14" i="608" a="1"/>
  <c r="L14" i="608" s="1"/>
  <c r="H15" i="608" a="1"/>
  <c r="H15" i="608" s="1"/>
  <c r="I15" i="608" a="1"/>
  <c r="I15" i="608" s="1"/>
  <c r="J15" i="608" a="1"/>
  <c r="J15" i="608" s="1"/>
  <c r="K15" i="608" a="1"/>
  <c r="K15" i="608" s="1"/>
  <c r="L15" i="608" a="1"/>
  <c r="L15" i="608" s="1"/>
  <c r="H16" i="608" a="1"/>
  <c r="H16" i="608" s="1"/>
  <c r="I16" i="608" a="1"/>
  <c r="I16" i="608" s="1"/>
  <c r="K16" i="608" a="1"/>
  <c r="K16" i="608" s="1"/>
  <c r="L16" i="608" a="1"/>
  <c r="L16" i="608" s="1"/>
  <c r="H17" i="608" a="1"/>
  <c r="H17" i="608" s="1"/>
  <c r="I17" i="608" a="1"/>
  <c r="I17" i="608" s="1"/>
  <c r="J17" i="608" a="1"/>
  <c r="J17" i="608" s="1"/>
  <c r="K17" i="608" a="1"/>
  <c r="K17" i="608" s="1"/>
  <c r="L17" i="608" a="1"/>
  <c r="L17" i="608" s="1"/>
  <c r="J13" i="608" a="1"/>
  <c r="J13" i="608" s="1"/>
  <c r="K13" i="608" a="1"/>
  <c r="K13" i="608" s="1"/>
  <c r="L13" i="608" a="1"/>
  <c r="L13" i="608" s="1"/>
  <c r="H13" i="608" a="1"/>
  <c r="H13" i="608" s="1"/>
  <c r="H6" i="608" a="1"/>
  <c r="H6" i="608" s="1"/>
  <c r="I6" i="608" a="1"/>
  <c r="I6" i="608" s="1"/>
  <c r="J6" i="608" a="1"/>
  <c r="J6" i="608" s="1"/>
  <c r="K6" i="608" a="1"/>
  <c r="K6" i="608" s="1"/>
  <c r="L6" i="608" a="1"/>
  <c r="L6" i="608" s="1"/>
  <c r="H7" i="608" a="1"/>
  <c r="H7" i="608" s="1"/>
  <c r="I7" i="608" a="1"/>
  <c r="I7" i="608" s="1"/>
  <c r="J7" i="608" a="1"/>
  <c r="J7" i="608" s="1"/>
  <c r="K7" i="608" a="1"/>
  <c r="K7" i="608" s="1"/>
  <c r="L7" i="608" a="1"/>
  <c r="L7" i="608" s="1"/>
  <c r="H8" i="608" a="1"/>
  <c r="H8" i="608" s="1"/>
  <c r="I8" i="608" a="1"/>
  <c r="I8" i="608" s="1"/>
  <c r="J8" i="608" a="1"/>
  <c r="J8" i="608" s="1"/>
  <c r="K8" i="608" a="1"/>
  <c r="K8" i="608" s="1"/>
  <c r="L8" i="608" a="1"/>
  <c r="L8" i="608" s="1"/>
  <c r="I5" i="608" a="1"/>
  <c r="I5" i="608" s="1"/>
  <c r="J5" i="608" a="1"/>
  <c r="J5" i="608" s="1"/>
  <c r="K5" i="608" a="1"/>
  <c r="K5" i="608" s="1"/>
  <c r="L5" i="608" a="1"/>
  <c r="L5" i="608" s="1"/>
  <c r="H5" i="608" a="1"/>
  <c r="H5" i="608" s="1"/>
  <c r="J16" i="608" a="1"/>
  <c r="J16" i="608" s="1"/>
  <c r="O13" i="608" a="1"/>
  <c r="O13" i="608" s="1"/>
  <c r="B11" i="608" a="1"/>
  <c r="B11" i="608" s="1"/>
  <c r="A10" i="604" l="1"/>
  <c r="B13" i="608" a="1"/>
  <c r="B13" i="608" s="1"/>
  <c r="J19" i="608" a="1"/>
  <c r="J19" i="608" s="1"/>
  <c r="I13" i="608" a="1"/>
  <c r="I13" i="608" s="1"/>
  <c r="C13" i="608" a="1"/>
  <c r="C13" i="608" s="1"/>
  <c r="F10" i="608" a="1"/>
  <c r="F10" i="608" s="1"/>
  <c r="B10" i="608" a="1"/>
  <c r="B10" i="608" s="1"/>
  <c r="E11" i="608" a="1"/>
  <c r="E11" i="608" s="1"/>
  <c r="F19" i="608" a="1"/>
  <c r="F19" i="608" s="1"/>
  <c r="F11" i="608" a="1"/>
  <c r="F11" i="608" s="1"/>
  <c r="D10" i="608" a="1"/>
  <c r="D10" i="608" s="1"/>
  <c r="C11" i="608" a="1"/>
  <c r="C11" i="608" s="1"/>
  <c r="C10" i="608" a="1"/>
  <c r="C10" i="608" s="1"/>
  <c r="D11" i="608" a="1"/>
  <c r="D11" i="608" s="1"/>
  <c r="E10" i="608" a="1"/>
  <c r="E10" i="608" s="1"/>
  <c r="C19" i="608" a="1"/>
  <c r="C19" i="608" s="1"/>
  <c r="E19" i="608" a="1"/>
  <c r="E19" i="608" s="1"/>
  <c r="D20" i="608" a="1"/>
  <c r="D20" i="608" s="1"/>
  <c r="D19" i="608" a="1"/>
  <c r="D19" i="608" s="1"/>
  <c r="F20" i="608" a="1"/>
  <c r="F20" i="608" s="1"/>
  <c r="E20" i="608" a="1"/>
  <c r="E20" i="608" s="1"/>
  <c r="C20" i="608" a="1"/>
  <c r="C20" i="608" s="1"/>
  <c r="B20" i="608" a="1"/>
  <c r="B20" i="608" s="1"/>
  <c r="B19" i="608" a="1"/>
  <c r="B19" i="608" s="1"/>
  <c r="F13" i="608" a="1"/>
  <c r="F13" i="608" s="1"/>
  <c r="E13" i="608" a="1"/>
  <c r="E13" i="608" s="1"/>
  <c r="D13" i="608" a="1"/>
  <c r="D13" i="608" s="1"/>
  <c r="E8" i="608" a="1"/>
  <c r="E8" i="608" s="1"/>
  <c r="D8" i="608" a="1"/>
  <c r="D8" i="608" s="1"/>
  <c r="F6" i="608" a="1"/>
  <c r="F6" i="608" s="1"/>
  <c r="E7" i="608" a="1"/>
  <c r="E7" i="608" s="1"/>
  <c r="B6" i="608" a="1"/>
  <c r="B6" i="608" s="1"/>
  <c r="B7" i="608" a="1"/>
  <c r="B7" i="608" s="1"/>
  <c r="C7" i="608" a="1"/>
  <c r="C7" i="608" s="1"/>
  <c r="C8" i="608" a="1"/>
  <c r="C8" i="608" s="1"/>
  <c r="F7" i="608" a="1"/>
  <c r="F7" i="608" s="1"/>
  <c r="F8" i="608" a="1"/>
  <c r="F8" i="608" s="1"/>
  <c r="B8" i="608" a="1"/>
  <c r="B8" i="608" s="1"/>
  <c r="D7" i="608" a="1"/>
  <c r="D7" i="608" s="1"/>
  <c r="E6" i="608" a="1"/>
  <c r="E6" i="608" s="1"/>
  <c r="C6" i="608" a="1"/>
  <c r="C6" i="608" s="1"/>
  <c r="B5" i="608" a="1"/>
  <c r="B5" i="608" s="1"/>
  <c r="D6" i="608" a="1"/>
  <c r="D6" i="608" s="1"/>
  <c r="F5" i="608" a="1"/>
  <c r="F5" i="608" s="1"/>
  <c r="E5" i="608" a="1"/>
  <c r="E5" i="608" s="1"/>
  <c r="D5" i="608" a="1"/>
  <c r="D5" i="608" s="1"/>
  <c r="C5" i="608" a="1"/>
  <c r="C5" i="608" s="1"/>
  <c r="E17" i="608" a="1"/>
  <c r="E17" i="608" s="1"/>
  <c r="B17" i="608" a="1"/>
  <c r="B17" i="608" s="1"/>
  <c r="F17" i="608" a="1"/>
  <c r="F17" i="608" s="1"/>
  <c r="D17" i="608" a="1"/>
  <c r="D17" i="608" s="1"/>
  <c r="C17" i="608" a="1"/>
  <c r="C17" i="608" s="1"/>
  <c r="F15" i="608" a="1"/>
  <c r="F15" i="608" s="1"/>
  <c r="F14" i="608" a="1"/>
  <c r="F14" i="608" s="1"/>
  <c r="D16" i="608" a="1"/>
  <c r="D16" i="608" s="1"/>
  <c r="B15" i="608" a="1"/>
  <c r="B15" i="608" s="1"/>
  <c r="E15" i="608" a="1"/>
  <c r="E15" i="608" s="1"/>
  <c r="D14" i="608" a="1"/>
  <c r="D14" i="608" s="1"/>
  <c r="C15" i="608" a="1"/>
  <c r="C15" i="608" s="1"/>
  <c r="D15" i="608" a="1"/>
  <c r="D15" i="608" s="1"/>
  <c r="C14" i="608" a="1"/>
  <c r="C14" i="608" s="1"/>
  <c r="B14" i="608" a="1"/>
  <c r="B14" i="608" s="1"/>
  <c r="C16" i="608" a="1"/>
  <c r="C16" i="608" s="1"/>
  <c r="F16" i="608" a="1"/>
  <c r="F16" i="608" s="1"/>
  <c r="E14" i="608" a="1"/>
  <c r="E14" i="608" s="1"/>
  <c r="E16" i="608" a="1"/>
  <c r="E16" i="608" s="1"/>
  <c r="B16" i="608" a="1"/>
  <c r="B16" i="608" s="1"/>
  <c r="A11" i="604" l="1"/>
  <c r="A12" i="604" l="1"/>
  <c r="D1" i="50"/>
  <c r="A13" i="604" l="1"/>
  <c r="A14" i="604" l="1"/>
  <c r="D1" i="49"/>
  <c r="A15" i="604" l="1"/>
  <c r="A16" i="604" l="1"/>
  <c r="D1" i="48"/>
  <c r="A17" i="604" l="1"/>
  <c r="P2" i="526"/>
  <c r="I4" i="526"/>
  <c r="I3" i="526"/>
  <c r="A18" i="604" l="1"/>
  <c r="A19" i="604" l="1"/>
  <c r="A20" i="604" l="1"/>
  <c r="A21" i="604" l="1"/>
  <c r="A22" i="604" s="1"/>
  <c r="A23" i="604" s="1"/>
  <c r="A24" i="604" s="1"/>
  <c r="A25" i="604" s="1"/>
  <c r="A26" i="604" s="1"/>
  <c r="A27" i="604" s="1"/>
  <c r="A28" i="604" s="1"/>
  <c r="A29" i="604" s="1"/>
  <c r="A30" i="604" s="1"/>
  <c r="A31" i="604" s="1"/>
  <c r="A32" i="604" s="1"/>
  <c r="A33" i="604" s="1"/>
  <c r="A34" i="604" s="1"/>
  <c r="A35" i="604" s="1"/>
  <c r="A36" i="604" s="1"/>
  <c r="A37" i="604" s="1"/>
  <c r="A38" i="604" s="1"/>
  <c r="A39" i="604" s="1"/>
  <c r="A40" i="604" s="1"/>
  <c r="A41" i="604" s="1"/>
  <c r="A42" i="604" s="1"/>
  <c r="A43" i="604" s="1"/>
  <c r="A44" i="604" s="1"/>
  <c r="A45" i="604" s="1"/>
  <c r="A46" i="604" s="1"/>
  <c r="A47" i="604" s="1"/>
  <c r="A48" i="604" s="1"/>
  <c r="A49" i="604" s="1"/>
  <c r="A50" i="604" s="1"/>
  <c r="A51" i="604" s="1"/>
  <c r="A52" i="604" s="1"/>
  <c r="A53" i="604" s="1"/>
  <c r="A54" i="604" s="1"/>
  <c r="A55" i="604" s="1"/>
  <c r="A56" i="604" s="1"/>
  <c r="A57" i="604" s="1"/>
  <c r="A58" i="604" s="1"/>
  <c r="A59" i="604" s="1"/>
  <c r="A60" i="604" s="1"/>
  <c r="A61" i="604" s="1"/>
  <c r="A62" i="604" s="1"/>
  <c r="A63" i="604" s="1"/>
  <c r="A64" i="604" s="1"/>
  <c r="A65" i="604" s="1"/>
  <c r="A66" i="604" s="1"/>
  <c r="A67" i="604" s="1"/>
  <c r="A68" i="604" s="1"/>
  <c r="A69" i="604" s="1"/>
  <c r="A70" i="604" s="1"/>
  <c r="A71" i="604" s="1"/>
  <c r="A72" i="604" s="1"/>
  <c r="A73" i="604" s="1"/>
  <c r="A74" i="604" s="1"/>
  <c r="A75" i="604" s="1"/>
  <c r="A76" i="604" s="1"/>
  <c r="A77" i="604" s="1"/>
  <c r="A78" i="604" s="1"/>
  <c r="A79" i="604" s="1"/>
  <c r="A80" i="604" s="1"/>
  <c r="A81" i="604" s="1"/>
  <c r="A82" i="604" s="1"/>
  <c r="A83" i="604" s="1"/>
  <c r="A84" i="604" s="1"/>
  <c r="A85" i="604" s="1"/>
  <c r="A86" i="604" s="1"/>
  <c r="A87" i="604" s="1"/>
  <c r="A88" i="604" s="1"/>
  <c r="A89" i="604" s="1"/>
  <c r="A90" i="604" s="1"/>
  <c r="A91" i="604" s="1"/>
  <c r="A92" i="604" s="1"/>
  <c r="A93" i="604" s="1"/>
  <c r="A94" i="604" s="1"/>
  <c r="A95" i="604" s="1"/>
  <c r="A96" i="604" s="1"/>
  <c r="A97" i="604" s="1"/>
  <c r="A98" i="604" s="1"/>
  <c r="A99" i="604" s="1"/>
  <c r="A100" i="604" s="1"/>
  <c r="A101" i="604" s="1"/>
  <c r="A102" i="604" s="1"/>
  <c r="A103" i="604" s="1"/>
  <c r="A104" i="604" s="1"/>
  <c r="A105" i="604" s="1"/>
  <c r="A106" i="604" s="1"/>
  <c r="A107" i="604" s="1"/>
  <c r="A108" i="604" s="1"/>
  <c r="A109" i="604" s="1"/>
  <c r="A110" i="604" s="1"/>
  <c r="A111" i="604" s="1"/>
  <c r="A112" i="604" s="1"/>
  <c r="A113" i="604" s="1"/>
  <c r="A114" i="604" s="1"/>
  <c r="A115" i="604" s="1"/>
  <c r="A116" i="604" s="1"/>
  <c r="A117" i="604" s="1"/>
  <c r="A118" i="604" s="1"/>
  <c r="A119" i="604" s="1"/>
  <c r="A120" i="604" s="1"/>
  <c r="A121" i="604" s="1"/>
  <c r="A122" i="604" s="1"/>
  <c r="A123" i="604" s="1"/>
  <c r="A124" i="604" s="1"/>
  <c r="A125" i="604" s="1"/>
  <c r="A126" i="604" s="1"/>
  <c r="A127" i="604" s="1"/>
  <c r="A128" i="604" s="1"/>
  <c r="A129" i="604" s="1"/>
  <c r="A130" i="604" s="1"/>
  <c r="A131" i="604" s="1"/>
  <c r="A132" i="604" s="1"/>
  <c r="A133" i="604" s="1"/>
  <c r="A134" i="604" s="1"/>
  <c r="A135" i="604" s="1"/>
  <c r="A136" i="604" s="1"/>
  <c r="A137" i="604" s="1"/>
  <c r="A138" i="604" s="1"/>
  <c r="A139" i="604" s="1"/>
  <c r="A140" i="604" s="1"/>
  <c r="A141" i="604" s="1"/>
  <c r="A142" i="604" s="1"/>
  <c r="A143" i="604" s="1"/>
  <c r="A144" i="604" s="1"/>
  <c r="A145" i="604" s="1"/>
  <c r="A146" i="604" s="1"/>
  <c r="A147" i="604" s="1"/>
  <c r="A148" i="604" s="1"/>
  <c r="A149" i="604" s="1"/>
  <c r="A150" i="604" s="1"/>
  <c r="A151" i="604" s="1"/>
  <c r="A152" i="604" s="1"/>
  <c r="A153" i="604" s="1"/>
  <c r="A154" i="604" s="1"/>
  <c r="A155" i="604" s="1"/>
  <c r="A156" i="604" s="1"/>
  <c r="A157" i="604" s="1"/>
  <c r="A158" i="604" s="1"/>
  <c r="A159" i="604" s="1"/>
  <c r="A160" i="604" s="1"/>
  <c r="A161" i="604" s="1"/>
  <c r="A162" i="604" s="1"/>
  <c r="A163" i="604" s="1"/>
  <c r="A164" i="604" s="1"/>
  <c r="A165" i="604" s="1"/>
  <c r="A166" i="604" s="1"/>
  <c r="A167" i="604" s="1"/>
  <c r="A168" i="604" s="1"/>
  <c r="A169" i="604" s="1"/>
  <c r="A170" i="604" s="1"/>
  <c r="A171" i="604" s="1"/>
  <c r="A172" i="604" s="1"/>
  <c r="A173" i="604" s="1"/>
  <c r="A174" i="604" s="1"/>
  <c r="A175" i="604" s="1"/>
  <c r="A176" i="604" s="1"/>
  <c r="A177" i="604" s="1"/>
  <c r="A178" i="604" s="1"/>
  <c r="A179" i="604" s="1"/>
  <c r="A180" i="604" s="1"/>
  <c r="A181" i="604" s="1"/>
  <c r="A182" i="604" s="1"/>
  <c r="A183" i="604" s="1"/>
  <c r="A184" i="604" s="1"/>
  <c r="A185" i="604" s="1"/>
  <c r="A186" i="604" s="1"/>
  <c r="A187" i="604" s="1"/>
  <c r="A188" i="604" s="1"/>
  <c r="A189" i="604" s="1"/>
  <c r="A190" i="604" s="1"/>
  <c r="A191" i="604" s="1"/>
  <c r="A192" i="604" s="1"/>
  <c r="A193" i="604" s="1"/>
  <c r="A194" i="604" s="1"/>
  <c r="A195" i="604" s="1"/>
  <c r="A196" i="604" s="1"/>
  <c r="A197" i="604" s="1"/>
  <c r="A198" i="604" s="1"/>
  <c r="A199" i="604" s="1"/>
  <c r="A200" i="604" s="1"/>
  <c r="X7" i="526" a="1"/>
  <c r="X7" i="526" s="1"/>
  <c r="W7" i="526" a="1"/>
  <c r="W7" i="526" s="1"/>
  <c r="R8" i="526" l="1" a="1"/>
  <c r="R8" i="526" s="1"/>
  <c r="F8" i="526" a="1"/>
  <c r="F8" i="526" s="1"/>
  <c r="E8" i="50" a="1"/>
  <c r="E8" i="50" s="1"/>
  <c r="L7" i="526" a="1"/>
  <c r="L7" i="526" s="1"/>
  <c r="Q7" i="526" a="1"/>
  <c r="Q7" i="526" s="1"/>
  <c r="C7" i="526" a="1"/>
  <c r="C7" i="526" s="1"/>
  <c r="T8" i="526" a="1"/>
  <c r="T8" i="526" s="1"/>
  <c r="N7" i="526" a="1"/>
  <c r="N7" i="526" s="1"/>
  <c r="N10" i="526" s="1"/>
  <c r="G8" i="50" a="1"/>
  <c r="G8" i="50" s="1"/>
  <c r="O9" i="526" a="1"/>
  <c r="O9" i="526" s="1"/>
  <c r="O8" i="526" a="1"/>
  <c r="O8" i="526" s="1"/>
  <c r="D8" i="526" a="1"/>
  <c r="D8" i="526" s="1"/>
  <c r="C8" i="48" a="1"/>
  <c r="C8" i="48" s="1"/>
  <c r="C8" i="50" a="1"/>
  <c r="C8" i="50" s="1"/>
  <c r="H7" i="48" a="1"/>
  <c r="H7" i="48" s="1"/>
  <c r="H9" i="48" s="1"/>
  <c r="E7" i="49" a="1"/>
  <c r="E7" i="49" s="1"/>
  <c r="F7" i="49" a="1"/>
  <c r="F7" i="49" s="1"/>
  <c r="K7" i="526" a="1"/>
  <c r="K7" i="526" s="1"/>
  <c r="M8" i="526" a="1"/>
  <c r="M8" i="526" s="1"/>
  <c r="N8" i="526" a="1"/>
  <c r="N8" i="526" s="1"/>
  <c r="E8" i="526" a="1"/>
  <c r="E8" i="526" s="1"/>
  <c r="E7" i="526" a="1"/>
  <c r="E7" i="526" s="1"/>
  <c r="D7" i="526" a="1"/>
  <c r="D7" i="526" s="1"/>
  <c r="C7" i="48" a="1"/>
  <c r="C7" i="48" s="1"/>
  <c r="U8" i="526" a="1"/>
  <c r="U8" i="526" s="1"/>
  <c r="C7" i="49" a="1"/>
  <c r="C7" i="49" s="1"/>
  <c r="F7" i="48" a="1"/>
  <c r="F7" i="48" s="1"/>
  <c r="S7" i="526" a="1"/>
  <c r="S7" i="526" s="1"/>
  <c r="V8" i="526" a="1"/>
  <c r="V8" i="526" s="1"/>
  <c r="C8" i="526" a="1"/>
  <c r="C8" i="526" s="1"/>
  <c r="J7" i="526" a="1"/>
  <c r="J7" i="526" s="1"/>
  <c r="D8" i="50" a="1"/>
  <c r="D8" i="50" s="1"/>
  <c r="E8" i="48" a="1"/>
  <c r="E8" i="48" s="1"/>
  <c r="B7" i="526" a="1"/>
  <c r="B7" i="526" s="1"/>
  <c r="P7" i="526" a="1"/>
  <c r="P7" i="526" s="1"/>
  <c r="S8" i="526" a="1"/>
  <c r="S8" i="526" s="1"/>
  <c r="R7" i="526" a="1"/>
  <c r="R7" i="526" s="1"/>
  <c r="C9" i="50" a="1"/>
  <c r="C9" i="50" s="1"/>
  <c r="I8" i="526" a="1"/>
  <c r="I8" i="526" s="1"/>
  <c r="H7" i="526" a="1"/>
  <c r="H7" i="526" s="1"/>
  <c r="H10" i="526" s="1"/>
  <c r="G7" i="49" a="1"/>
  <c r="G7" i="49" s="1"/>
  <c r="G9" i="49" s="1"/>
  <c r="D7" i="49" a="1"/>
  <c r="D7" i="49" s="1"/>
  <c r="O7" i="526" a="1"/>
  <c r="O7" i="526" s="1"/>
  <c r="O10" i="526" s="1"/>
  <c r="H7" i="49" a="1"/>
  <c r="H7" i="49" s="1"/>
  <c r="H9" i="49" s="1"/>
  <c r="U7" i="526" a="1"/>
  <c r="U7" i="526" s="1"/>
  <c r="U10" i="526" s="1"/>
  <c r="B8" i="526" a="1"/>
  <c r="B8" i="526" s="1"/>
  <c r="G7" i="526" a="1"/>
  <c r="G7" i="526" s="1"/>
  <c r="G10" i="526" s="1"/>
  <c r="G7" i="48" a="1"/>
  <c r="G7" i="48" s="1"/>
  <c r="G9" i="48" s="1"/>
  <c r="H8" i="50" a="1"/>
  <c r="H8" i="50" s="1"/>
  <c r="J8" i="526" a="1"/>
  <c r="J8" i="526" s="1"/>
  <c r="K8" i="526" a="1"/>
  <c r="K8" i="526" s="1"/>
  <c r="G8" i="48" a="1"/>
  <c r="G8" i="48" s="1"/>
  <c r="B7" i="48" a="1"/>
  <c r="B7" i="48" s="1"/>
  <c r="T7" i="526" a="1"/>
  <c r="T7" i="526" s="1"/>
  <c r="F8" i="50" a="1"/>
  <c r="F8" i="50" s="1"/>
  <c r="P8" i="526" a="1"/>
  <c r="P8" i="526" s="1"/>
  <c r="T9" i="526" a="1"/>
  <c r="T9" i="526" s="1"/>
  <c r="H8" i="526" a="1"/>
  <c r="H8" i="526" s="1"/>
  <c r="H8" i="48" a="1"/>
  <c r="H8" i="48" s="1"/>
  <c r="V7" i="526" a="1"/>
  <c r="V7" i="526" s="1"/>
  <c r="V10" i="526" s="1"/>
  <c r="D8" i="48" a="1"/>
  <c r="D8" i="48" s="1"/>
  <c r="F8" i="48" a="1"/>
  <c r="F8" i="48" s="1"/>
  <c r="E7" i="48" a="1"/>
  <c r="E7" i="48" s="1"/>
  <c r="Q8" i="526" a="1"/>
  <c r="Q8" i="526" s="1"/>
  <c r="L8" i="526" a="1"/>
  <c r="L8" i="526" s="1"/>
  <c r="I7" i="526" a="1"/>
  <c r="I7" i="526" s="1"/>
  <c r="B8" i="48" a="1"/>
  <c r="B8" i="48" s="1"/>
  <c r="D7" i="48" a="1"/>
  <c r="D7" i="48" s="1"/>
  <c r="B8" i="50" a="1"/>
  <c r="B8" i="50" s="1"/>
  <c r="G8" i="526" a="1"/>
  <c r="G8" i="526" s="1"/>
  <c r="F7" i="526" a="1"/>
  <c r="F7" i="526" s="1"/>
  <c r="M7" i="526" a="1"/>
  <c r="M7" i="526" s="1"/>
  <c r="B7" i="49" a="1"/>
  <c r="B7" i="49" s="1"/>
  <c r="K9" i="526" a="1"/>
  <c r="K9" i="526" s="1"/>
  <c r="R9" i="526" a="1"/>
  <c r="R9" i="526" s="1"/>
  <c r="G9" i="526" a="1"/>
  <c r="G9" i="526" s="1"/>
  <c r="D9" i="49" a="1"/>
  <c r="D9" i="49" s="1"/>
  <c r="C9" i="49" a="1"/>
  <c r="C9" i="49" s="1"/>
  <c r="F9" i="50" a="1"/>
  <c r="F9" i="50" s="1"/>
  <c r="B9" i="50" a="1"/>
  <c r="B9" i="50" s="1"/>
  <c r="E7" i="50" a="1"/>
  <c r="E7" i="50" s="1"/>
  <c r="C7" i="50" a="1"/>
  <c r="C7" i="50" s="1"/>
  <c r="D9" i="50" a="1"/>
  <c r="D9" i="50" s="1"/>
  <c r="E9" i="48" a="1"/>
  <c r="E9" i="48" s="1"/>
  <c r="F9" i="48" a="1"/>
  <c r="F9" i="48" s="1"/>
  <c r="H8" i="49" a="1"/>
  <c r="H8" i="49" s="1"/>
  <c r="E9" i="526" a="1"/>
  <c r="E9" i="526" s="1"/>
  <c r="I9" i="526" a="1"/>
  <c r="I9" i="526" s="1"/>
  <c r="B8" i="49" a="1"/>
  <c r="B8" i="49" s="1"/>
  <c r="F9" i="49" a="1"/>
  <c r="F9" i="49" s="1"/>
  <c r="S9" i="526" a="1"/>
  <c r="S9" i="526" s="1"/>
  <c r="E9" i="50" a="1"/>
  <c r="E9" i="50" s="1"/>
  <c r="E8" i="49" a="1"/>
  <c r="E8" i="49" s="1"/>
  <c r="B9" i="49" a="1"/>
  <c r="B9" i="49" s="1"/>
  <c r="D8" i="49" a="1"/>
  <c r="D8" i="49" s="1"/>
  <c r="F7" i="50" a="1"/>
  <c r="F7" i="50" s="1"/>
  <c r="G7" i="50" a="1"/>
  <c r="G7" i="50" s="1"/>
  <c r="G9" i="50" s="1"/>
  <c r="B7" i="50" a="1"/>
  <c r="B7" i="50" s="1"/>
  <c r="N9" i="526" a="1"/>
  <c r="N9" i="526" s="1"/>
  <c r="B9" i="48" a="1"/>
  <c r="B9" i="48" s="1"/>
  <c r="H9" i="526" a="1"/>
  <c r="H9" i="526" s="1"/>
  <c r="M9" i="526" a="1"/>
  <c r="M9" i="526" s="1"/>
  <c r="H7" i="50" a="1"/>
  <c r="H7" i="50" s="1"/>
  <c r="H9" i="50" s="1"/>
  <c r="J9" i="526" a="1"/>
  <c r="J9" i="526" s="1"/>
  <c r="F9" i="526" a="1"/>
  <c r="F9" i="526" s="1"/>
  <c r="B9" i="526" a="1"/>
  <c r="B9" i="526" s="1"/>
  <c r="Q9" i="526" a="1"/>
  <c r="Q9" i="526" s="1"/>
  <c r="L9" i="526" a="1"/>
  <c r="L9" i="526" s="1"/>
  <c r="V9" i="526" a="1"/>
  <c r="V9" i="526" s="1"/>
  <c r="D9" i="48" a="1"/>
  <c r="D9" i="48" s="1"/>
  <c r="C9" i="526" a="1"/>
  <c r="C9" i="526" s="1"/>
  <c r="D9" i="526" a="1"/>
  <c r="D9" i="526" s="1"/>
  <c r="D7" i="50" a="1"/>
  <c r="D7" i="50" s="1"/>
  <c r="G8" i="49" a="1"/>
  <c r="G8" i="49" s="1"/>
  <c r="C9" i="48" a="1"/>
  <c r="C9" i="48" s="1"/>
  <c r="F8" i="49" a="1"/>
  <c r="F8" i="49" s="1"/>
  <c r="U9" i="526" a="1"/>
  <c r="U9" i="526" s="1"/>
  <c r="E9" i="49" a="1"/>
  <c r="E9" i="49" s="1"/>
  <c r="C8" i="49" a="1"/>
  <c r="C8" i="49" s="1"/>
  <c r="P9" i="526" a="1"/>
  <c r="P9" i="526" s="1"/>
  <c r="H1" i="48" l="1"/>
  <c r="H1" i="49" l="1"/>
  <c r="H1" i="5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22ADECB-12F0-4537-BA96-A97DE1888665}" keepAlive="1" name="Query - kalenteri" description="Connection to the 'kalenteri' query in the workbook." type="5" refreshedVersion="8" background="1" saveData="1">
    <dbPr connection="Provider=Microsoft.Mashup.OleDb.1;Data Source=$Workbook$;Location=kalenteri;Extended Properties=&quot;&quot;" command="SELECT * FROM [kalenteri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<sst xmlns="http://schemas.openxmlformats.org/spreadsheetml/2006/main" count="9903" uniqueCount="314">
  <si>
    <t xml:space="preserve">                         </t>
  </si>
  <si>
    <t>Nykyinen jakso:</t>
  </si>
  <si>
    <t>Talossa tapahtuu</t>
  </si>
  <si>
    <t>Ma</t>
  </si>
  <si>
    <t>Ti</t>
  </si>
  <si>
    <t>Ke</t>
  </si>
  <si>
    <t>To</t>
  </si>
  <si>
    <t>Pe</t>
  </si>
  <si>
    <t xml:space="preserve">   </t>
  </si>
  <si>
    <t xml:space="preserve">Jyväskylä </t>
  </si>
  <si>
    <t xml:space="preserve">TYÖVUOROTAULUKKO    </t>
  </si>
  <si>
    <t xml:space="preserve"> ma                      </t>
  </si>
  <si>
    <t xml:space="preserve"> ti                      </t>
  </si>
  <si>
    <t xml:space="preserve"> ke                      </t>
  </si>
  <si>
    <t xml:space="preserve"> to                      </t>
  </si>
  <si>
    <t xml:space="preserve"> pe                      </t>
  </si>
  <si>
    <t xml:space="preserve"> la                      </t>
  </si>
  <si>
    <t xml:space="preserve"> SU                      </t>
  </si>
  <si>
    <t xml:space="preserve">Laskenta-                </t>
  </si>
  <si>
    <t>Tehtyjä</t>
  </si>
  <si>
    <t xml:space="preserve">päiviä                   </t>
  </si>
  <si>
    <t>tunteja</t>
  </si>
  <si>
    <t xml:space="preserve">   V                     </t>
  </si>
  <si>
    <t xml:space="preserve">   #                     </t>
  </si>
  <si>
    <t xml:space="preserve"> 5:30-12:00              </t>
  </si>
  <si>
    <t xml:space="preserve">    76:30</t>
  </si>
  <si>
    <t xml:space="preserve">\ 12:00-14:00            </t>
  </si>
  <si>
    <t xml:space="preserve"> 14:00-15:00             </t>
  </si>
  <si>
    <t>Järvinen Piia Riikka Iren</t>
  </si>
  <si>
    <t xml:space="preserve"> 13:30-21:00             </t>
  </si>
  <si>
    <t xml:space="preserve"> 9:00-17:00              </t>
  </si>
  <si>
    <t xml:space="preserve"> 6:15-14:00              </t>
  </si>
  <si>
    <t xml:space="preserve"> 14:00-22:00             </t>
  </si>
  <si>
    <t xml:space="preserve"> 14:00-21:00             </t>
  </si>
  <si>
    <t xml:space="preserve"> 6:00-14:00              </t>
  </si>
  <si>
    <t xml:space="preserve"> 8:30-16:00              </t>
  </si>
  <si>
    <t xml:space="preserve"> 8:00-16:00              </t>
  </si>
  <si>
    <t xml:space="preserve"> 8:00-14:00              </t>
  </si>
  <si>
    <t xml:space="preserve"> 14:00-16:00             </t>
  </si>
  <si>
    <t xml:space="preserve"> 5:30-14:00              </t>
  </si>
  <si>
    <t xml:space="preserve"> 14:00-21:30             </t>
  </si>
  <si>
    <t xml:space="preserve"> 11:00-20:00             </t>
  </si>
  <si>
    <t xml:space="preserve"> 9:30-17:00              </t>
  </si>
  <si>
    <t xml:space="preserve"> 8:00-15:00              </t>
  </si>
  <si>
    <t xml:space="preserve"> 7:00-15:00              </t>
  </si>
  <si>
    <t xml:space="preserve"> 14:00-15:30             </t>
  </si>
  <si>
    <t xml:space="preserve"> 8:00-12:00              </t>
  </si>
  <si>
    <t xml:space="preserve"> 8:30-12:00              </t>
  </si>
  <si>
    <t xml:space="preserve">    68:51</t>
  </si>
  <si>
    <t>Viitanen Enni Heini Marik</t>
  </si>
  <si>
    <t xml:space="preserve"> 8:30-16:30              </t>
  </si>
  <si>
    <t xml:space="preserve"> 8:00-15:39              </t>
  </si>
  <si>
    <t xml:space="preserve">     0:00</t>
  </si>
  <si>
    <t>TAP01</t>
  </si>
  <si>
    <t xml:space="preserve">Tapiolan pk1             </t>
  </si>
  <si>
    <t>Liikala Minna Johanna</t>
  </si>
  <si>
    <t xml:space="preserve"> 14:00-15:15             </t>
  </si>
  <si>
    <t>Siekkinen Taru Elisa</t>
  </si>
  <si>
    <t xml:space="preserve"> 6:00-13:00              </t>
  </si>
  <si>
    <t>Syrjälä Satu Orvokki</t>
  </si>
  <si>
    <t xml:space="preserve"> 12:30-21:30             </t>
  </si>
  <si>
    <t xml:space="preserve"> 6:30-15:30              </t>
  </si>
  <si>
    <t xml:space="preserve"> 12:00-19:00             </t>
  </si>
  <si>
    <t>Saari Milla Maria</t>
  </si>
  <si>
    <t>Huttunen Merja Anneli</t>
  </si>
  <si>
    <t xml:space="preserve">    84:09</t>
  </si>
  <si>
    <t xml:space="preserve">\ 9:00-11:00             </t>
  </si>
  <si>
    <t>Altun Hacer</t>
  </si>
  <si>
    <t>Kortetjärvi Ellen Kristii</t>
  </si>
  <si>
    <t xml:space="preserve"> 7:15-12:00              </t>
  </si>
  <si>
    <t>Puurula Roosa Sofia</t>
  </si>
  <si>
    <t>Kymenvirta Sini Maria</t>
  </si>
  <si>
    <t xml:space="preserve"> 19:45-24:00             </t>
  </si>
  <si>
    <t xml:space="preserve"> 0:00-6:15               </t>
  </si>
  <si>
    <t>Honkonen Pia-Mari Hannele</t>
  </si>
  <si>
    <t>Jokivalo Tiia Jasmine Mar</t>
  </si>
  <si>
    <t xml:space="preserve"> 7:00-14:15              </t>
  </si>
  <si>
    <t xml:space="preserve"> 13:45-21:00             </t>
  </si>
  <si>
    <t>Vuorinen Riikka Annukka</t>
  </si>
  <si>
    <t xml:space="preserve">3 6:00-10:00             </t>
  </si>
  <si>
    <t xml:space="preserve"> 7:30-15:00              </t>
  </si>
  <si>
    <t>Räty Merja Irene</t>
  </si>
  <si>
    <t xml:space="preserve"> 7:00-14:00              </t>
  </si>
  <si>
    <t>Eija Uotila</t>
  </si>
  <si>
    <t xml:space="preserve">   114:45</t>
  </si>
  <si>
    <t>Kutsumanimi</t>
  </si>
  <si>
    <t>Koko nimi</t>
  </si>
  <si>
    <t>Nimi työvuorolistassa</t>
  </si>
  <si>
    <t>Ryhmä</t>
  </si>
  <si>
    <t>Vastuullinen</t>
  </si>
  <si>
    <t>Nimike</t>
  </si>
  <si>
    <t>Kiertopohja</t>
  </si>
  <si>
    <t>Prosentti</t>
  </si>
  <si>
    <t>Aktiivinen</t>
  </si>
  <si>
    <t>.Iida Pasanen</t>
  </si>
  <si>
    <t xml:space="preserve"> </t>
  </si>
  <si>
    <t>Sarake1</t>
  </si>
  <si>
    <t>Sarake2</t>
  </si>
  <si>
    <t>Sarake3</t>
  </si>
  <si>
    <t>Sarake4</t>
  </si>
  <si>
    <t>Sarake5</t>
  </si>
  <si>
    <t>Sarake6</t>
  </si>
  <si>
    <t>Sarake7</t>
  </si>
  <si>
    <t>Sarake8</t>
  </si>
  <si>
    <t>Sarake9</t>
  </si>
  <si>
    <t>Sarake10</t>
  </si>
  <si>
    <t>Sarake11</t>
  </si>
  <si>
    <t>Sarake12</t>
  </si>
  <si>
    <t>Sarake13</t>
  </si>
  <si>
    <t>Sarake14</t>
  </si>
  <si>
    <t>Sarake15</t>
  </si>
  <si>
    <t>Sarake16</t>
  </si>
  <si>
    <t>Sarake17</t>
  </si>
  <si>
    <t>Sarake18</t>
  </si>
  <si>
    <t>Sarake19</t>
  </si>
  <si>
    <t>Sarake20</t>
  </si>
  <si>
    <t>Sarake21</t>
  </si>
  <si>
    <t>Sarake22</t>
  </si>
  <si>
    <t>Sarake23</t>
  </si>
  <si>
    <t>Sarake24</t>
  </si>
  <si>
    <t>Sarake25</t>
  </si>
  <si>
    <t>Sarake26</t>
  </si>
  <si>
    <t>Sarake27</t>
  </si>
  <si>
    <t>Sarake28</t>
  </si>
  <si>
    <t>Sarake29</t>
  </si>
  <si>
    <t>Sarake30</t>
  </si>
  <si>
    <t>Sarake31</t>
  </si>
  <si>
    <t>Sarake32</t>
  </si>
  <si>
    <t>Sarake33</t>
  </si>
  <si>
    <t>Sarake34</t>
  </si>
  <si>
    <t>Sarake35</t>
  </si>
  <si>
    <t>Sarake36</t>
  </si>
  <si>
    <t>Sarake37</t>
  </si>
  <si>
    <t>Sarake38</t>
  </si>
  <si>
    <t>Sarake39</t>
  </si>
  <si>
    <t>Sarake40</t>
  </si>
  <si>
    <t>Sarake41</t>
  </si>
  <si>
    <t>Sarake42</t>
  </si>
  <si>
    <t>Sarake43</t>
  </si>
  <si>
    <t>Sarake44</t>
  </si>
  <si>
    <t>Sarake45</t>
  </si>
  <si>
    <t>Sarake46</t>
  </si>
  <si>
    <t>Sarake47</t>
  </si>
  <si>
    <t>Sarake48</t>
  </si>
  <si>
    <t>Sarake49</t>
  </si>
  <si>
    <t>Sarake50</t>
  </si>
  <si>
    <t>Sarake51</t>
  </si>
  <si>
    <t>Sarake52</t>
  </si>
  <si>
    <t>Sarake53</t>
  </si>
  <si>
    <t>Sarake54</t>
  </si>
  <si>
    <t>Sarake55</t>
  </si>
  <si>
    <t>Sarake56</t>
  </si>
  <si>
    <t>Sarake57</t>
  </si>
  <si>
    <t>Sarake58</t>
  </si>
  <si>
    <t>Sarake59</t>
  </si>
  <si>
    <t>Sarake60</t>
  </si>
  <si>
    <t>Sarake61</t>
  </si>
  <si>
    <t>Sarake62</t>
  </si>
  <si>
    <t>Sarake63</t>
  </si>
  <si>
    <t>Sarake64</t>
  </si>
  <si>
    <t>Sarake65</t>
  </si>
  <si>
    <t>Sarake66</t>
  </si>
  <si>
    <t>Sarake67</t>
  </si>
  <si>
    <t>Sarake68</t>
  </si>
  <si>
    <t>Sarake69</t>
  </si>
  <si>
    <t>Sarake70</t>
  </si>
  <si>
    <t>Sarake71</t>
  </si>
  <si>
    <t>Sarake72</t>
  </si>
  <si>
    <t>Sarake73</t>
  </si>
  <si>
    <t>Sarake74</t>
  </si>
  <si>
    <t>Sarake75</t>
  </si>
  <si>
    <t>Sarake76</t>
  </si>
  <si>
    <t>Sarake77</t>
  </si>
  <si>
    <t>Sarake78</t>
  </si>
  <si>
    <t>Sarake79</t>
  </si>
  <si>
    <t>Sarake80</t>
  </si>
  <si>
    <t>Sarake81</t>
  </si>
  <si>
    <t>Sarake82</t>
  </si>
  <si>
    <t>Sarake83</t>
  </si>
  <si>
    <t>Sarake84</t>
  </si>
  <si>
    <t>Sarake85</t>
  </si>
  <si>
    <t>Sarake86</t>
  </si>
  <si>
    <t>Sarake87</t>
  </si>
  <si>
    <t>Sarake88</t>
  </si>
  <si>
    <t>Sarake89</t>
  </si>
  <si>
    <t>Sarake90</t>
  </si>
  <si>
    <t>Sarake91</t>
  </si>
  <si>
    <t>Sarake92</t>
  </si>
  <si>
    <t>Sarake93</t>
  </si>
  <si>
    <t>Sarake94</t>
  </si>
  <si>
    <t>Sarake95</t>
  </si>
  <si>
    <t>Sarake96</t>
  </si>
  <si>
    <t>Sarake97</t>
  </si>
  <si>
    <t>Sarake98</t>
  </si>
  <si>
    <t>Sarake99</t>
  </si>
  <si>
    <t>Sarake100</t>
  </si>
  <si>
    <t>Sarake101</t>
  </si>
  <si>
    <t>Sarake102</t>
  </si>
  <si>
    <t>Sarake103</t>
  </si>
  <si>
    <t>Alisa Tourunen</t>
  </si>
  <si>
    <t>perusteltu muutos</t>
  </si>
  <si>
    <t>LC toteuma</t>
  </si>
  <si>
    <t>Lista:</t>
  </si>
  <si>
    <t>ma</t>
  </si>
  <si>
    <t>ti</t>
  </si>
  <si>
    <t>ke</t>
  </si>
  <si>
    <t>to</t>
  </si>
  <si>
    <t>pe</t>
  </si>
  <si>
    <t>LA</t>
  </si>
  <si>
    <t>SU</t>
  </si>
  <si>
    <t>Aamupala</t>
  </si>
  <si>
    <t>Lounas</t>
  </si>
  <si>
    <t>Välipala</t>
  </si>
  <si>
    <t>Ryhmässä tapahtuu</t>
  </si>
  <si>
    <t>Aihe</t>
  </si>
  <si>
    <t>TUULIAISET</t>
  </si>
  <si>
    <t>Räisänen Maiju Hannele</t>
  </si>
  <si>
    <t>ISOT</t>
  </si>
  <si>
    <t xml:space="preserve"> 5:30</t>
  </si>
  <si>
    <t xml:space="preserve"> 6:00</t>
  </si>
  <si>
    <t xml:space="preserve"> 6:15</t>
  </si>
  <si>
    <t xml:space="preserve"> 6:30</t>
  </si>
  <si>
    <t xml:space="preserve"> 7:00</t>
  </si>
  <si>
    <t>PIENET</t>
  </si>
  <si>
    <t xml:space="preserve"> 6:</t>
  </si>
  <si>
    <t xml:space="preserve"> 5:</t>
  </si>
  <si>
    <t>-18:00</t>
  </si>
  <si>
    <t>-19:00</t>
  </si>
  <si>
    <t>-20:00</t>
  </si>
  <si>
    <t>-21:00</t>
  </si>
  <si>
    <t>-22:</t>
  </si>
  <si>
    <t>-21:30</t>
  </si>
  <si>
    <t>-21</t>
  </si>
  <si>
    <t>Vuosi:</t>
  </si>
  <si>
    <t>Titania-jaksot</t>
  </si>
  <si>
    <t>Nimi</t>
  </si>
  <si>
    <t>Viikkolistaan</t>
  </si>
  <si>
    <t>Ruokatilaukseen</t>
  </si>
  <si>
    <t xml:space="preserve"> 14/23</t>
  </si>
  <si>
    <t xml:space="preserve"> 02.10.23-22.10.23</t>
  </si>
  <si>
    <t xml:space="preserve"> 11:00-17:00             </t>
  </si>
  <si>
    <t xml:space="preserve">K 12:00-14:00            </t>
  </si>
  <si>
    <t xml:space="preserve"> 12:00-21:00             </t>
  </si>
  <si>
    <t xml:space="preserve"> 6:00-12:15              </t>
  </si>
  <si>
    <t xml:space="preserve"> 11:00-14:00             </t>
  </si>
  <si>
    <t xml:space="preserve">K 12:15-13:45            </t>
  </si>
  <si>
    <t xml:space="preserve"> 8:45-16:30              </t>
  </si>
  <si>
    <t xml:space="preserve"> 9:00-16:30              </t>
  </si>
  <si>
    <t xml:space="preserve"> 11:00-16:00             </t>
  </si>
  <si>
    <t>02.10.2023-22.10.2023</t>
  </si>
  <si>
    <t>Viikkoliitokset | Tapiomaatti</t>
  </si>
  <si>
    <t>Työaikakoonti | Tapiomaatti</t>
  </si>
  <si>
    <t xml:space="preserve"> 7:15-14:15              </t>
  </si>
  <si>
    <t xml:space="preserve"> 9:15-16:15              </t>
  </si>
  <si>
    <t xml:space="preserve"> 9:30-12:00              </t>
  </si>
  <si>
    <t xml:space="preserve">K 14:00-16:00            </t>
  </si>
  <si>
    <t xml:space="preserve"> 6:00-13:06              </t>
  </si>
  <si>
    <t xml:space="preserve"> 8:00-12:15              </t>
  </si>
  <si>
    <t xml:space="preserve"> 13:15-22:00             </t>
  </si>
  <si>
    <t xml:space="preserve"> 13:45-15:00             </t>
  </si>
  <si>
    <t xml:space="preserve"> 8:45-12:00              </t>
  </si>
  <si>
    <t xml:space="preserve"> 7:15-12:15              </t>
  </si>
  <si>
    <t xml:space="preserve">\ 12:15-14:15            </t>
  </si>
  <si>
    <t xml:space="preserve"> 7:15-14:45              </t>
  </si>
  <si>
    <t xml:space="preserve"> 7:30-16:30              </t>
  </si>
  <si>
    <t xml:space="preserve"> 5:30-12:15              </t>
  </si>
  <si>
    <t xml:space="preserve">K 12:05-13:45            </t>
  </si>
  <si>
    <t xml:space="preserve"> 9:10-16:00              </t>
  </si>
  <si>
    <t xml:space="preserve"> 7:15-14:30              </t>
  </si>
  <si>
    <t xml:space="preserve"> 8:51-16:30              </t>
  </si>
  <si>
    <t xml:space="preserve"> 6:00-11:20              </t>
  </si>
  <si>
    <t xml:space="preserve"> 6:00-11:19              </t>
  </si>
  <si>
    <t xml:space="preserve"> 13:30-22:00             </t>
  </si>
  <si>
    <t xml:space="preserve"> 13:45-22:00             </t>
  </si>
  <si>
    <t xml:space="preserve"> 9:30-18:00              </t>
  </si>
  <si>
    <t xml:space="preserve"> 8:00-17:00              </t>
  </si>
  <si>
    <t xml:space="preserve"> 9:45-18:30              </t>
  </si>
  <si>
    <t xml:space="preserve"> 12:30-21:00             </t>
  </si>
  <si>
    <t xml:space="preserve"> 7:30-12:15              </t>
  </si>
  <si>
    <t xml:space="preserve"> 14:00-20:00             </t>
  </si>
  <si>
    <t xml:space="preserve">   \                     </t>
  </si>
  <si>
    <t xml:space="preserve">    42:00</t>
  </si>
  <si>
    <t>Saine Maria CAmila</t>
  </si>
  <si>
    <t>Etusivu | Tapiomaatti</t>
  </si>
  <si>
    <t>Kalenteri | Tapiomaatti</t>
  </si>
  <si>
    <t>Aamu- ja iltatyöntekijät | Tapiomaatti</t>
  </si>
  <si>
    <t xml:space="preserve">© Lauri Laattala &amp; 
Jaakko haavisto                         </t>
  </si>
  <si>
    <t xml:space="preserve"> 7:15</t>
  </si>
  <si>
    <t xml:space="preserve"> 27.09.2023 12:59:54</t>
  </si>
  <si>
    <t xml:space="preserve"> 7:15-9:00               </t>
  </si>
  <si>
    <t xml:space="preserve"> 6:00-8:00               </t>
  </si>
  <si>
    <t xml:space="preserve">\ 12:00-14:30            </t>
  </si>
  <si>
    <t xml:space="preserve">\ 8:00-9:30              </t>
  </si>
  <si>
    <t xml:space="preserve"> 14:30-16:30             </t>
  </si>
  <si>
    <t xml:space="preserve"> 9:30-14:00              </t>
  </si>
  <si>
    <t xml:space="preserve"> 8:30-13:15              </t>
  </si>
  <si>
    <t xml:space="preserve"> 8:15-17:00              </t>
  </si>
  <si>
    <t xml:space="preserve"> 12:00-19:30             </t>
  </si>
  <si>
    <t xml:space="preserve"> 7:30-14:30              </t>
  </si>
  <si>
    <t xml:space="preserve"> 7:30-14:00              </t>
  </si>
  <si>
    <t xml:space="preserve"> 13:45-15:30             </t>
  </si>
  <si>
    <t>Jyväskylä</t>
  </si>
  <si>
    <t>Tapiolan päiväkoti</t>
  </si>
  <si>
    <t>Lakananimet | Tapiomaatti</t>
  </si>
  <si>
    <t>Ryhmän nimi</t>
  </si>
  <si>
    <t>Näytettävä nimi</t>
  </si>
  <si>
    <t>ID</t>
  </si>
  <si>
    <t>Tuloaika</t>
  </si>
  <si>
    <t>Lähtöaika</t>
  </si>
  <si>
    <t>Pvm</t>
  </si>
  <si>
    <t>Käytössä</t>
  </si>
  <si>
    <t>Kalenterin nimi:</t>
  </si>
  <si>
    <t>Nyt tulostus voi alkaa! Tulosta seuraava viikko valmiiksi hienosäätöjä varten oransseista nappuloista. Voit käydä viikkolistoja läpi: kirjoitta työn alla olevan viikon ruutuun haluamasi viikko (1-3) ja paina 'Näytä'.</t>
  </si>
  <si>
    <t>Versio 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</si>
</sst>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.m\.;@"/>
    <numFmt numFmtId="165" formatCode="d\.m\.yy;@"/>
  </numFmts>
  <fonts count="4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Ink Free"/>
      <family val="4"/>
    </font>
    <font>
      <b/>
      <sz val="16"/>
      <color theme="1"/>
      <name val="Ink Free"/>
      <family val="4"/>
    </font>
    <font>
      <b/>
      <sz val="9"/>
      <color rgb="FF000000"/>
      <name val="Ink Free"/>
      <family val="4"/>
    </font>
    <font>
      <b/>
      <sz val="10"/>
      <color rgb="FF000000"/>
      <name val="Ink Free"/>
      <family val="4"/>
    </font>
    <font>
      <b/>
      <sz val="10"/>
      <color theme="1"/>
      <name val="Ink Free"/>
      <family val="4"/>
    </font>
    <font>
      <b/>
      <sz val="11"/>
      <color theme="1"/>
      <name val="Ink Free"/>
      <family val="4"/>
    </font>
    <font>
      <sz val="10"/>
      <color theme="1"/>
      <name val="Ink Free"/>
      <family val="4"/>
    </font>
    <font>
      <b/>
      <sz val="12"/>
      <name val="Arial"/>
      <family val="2"/>
    </font>
    <font>
      <b/>
      <sz val="24"/>
      <name val="Arial"/>
      <family val="2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16"/>
      <color theme="1"/>
      <name val="Bahnschrift Light"/>
      <family val="2"/>
    </font>
    <font>
      <sz val="14"/>
      <color theme="1" tint="4.9989318521683403E-2"/>
      <name val="Calibri"/>
      <family val="2"/>
    </font>
    <font>
      <sz val="9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36"/>
      <color theme="0"/>
      <name val="Calibri"/>
      <family val="2"/>
      <scheme val="minor"/>
    </font>
    <font>
      <sz val="48"/>
      <color theme="0"/>
      <name val="Verdana"/>
      <family val="2"/>
    </font>
    <font>
      <sz val="8"/>
      <color theme="1"/>
      <name val="Calibri"/>
      <family val="2"/>
      <scheme val="minor"/>
    </font>
    <font>
      <sz val="18"/>
      <color theme="0"/>
      <name val="Verdana"/>
      <family val="2"/>
    </font>
    <font>
      <b/>
      <sz val="20"/>
      <color theme="1"/>
      <name val="Ink Free"/>
      <family val="4"/>
    </font>
    <font>
      <b/>
      <sz val="20"/>
      <name val="Ink Free"/>
      <family val="4"/>
    </font>
    <font>
      <sz val="14"/>
      <color theme="0"/>
      <name val="Calibri"/>
      <family val="2"/>
      <scheme val="minor"/>
    </font>
    <font>
      <b/>
      <sz val="9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gray0625">
        <fgColor indexed="10"/>
      </patternFill>
    </fill>
    <fill>
      <gradientFill>
        <stop position="0">
          <color theme="0"/>
        </stop>
        <stop position="1">
          <color rgb="FF008E40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8CB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D20A1"/>
        <bgColor indexed="64"/>
      </patternFill>
    </fill>
    <fill>
      <patternFill patternType="solid">
        <fgColor theme="7" tint="0.39997558519241921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theme="0" tint="-4.9989318521683403E-2"/>
      </bottom>
      <diagonal/>
    </border>
    <border>
      <left style="medium">
        <color indexed="64"/>
      </left>
      <right/>
      <top style="medium">
        <color theme="0" tint="-4.9989318521683403E-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0" tint="-4.9989318521683403E-2"/>
      </bottom>
      <diagonal/>
    </border>
    <border>
      <left style="medium">
        <color indexed="64"/>
      </left>
      <right style="medium">
        <color indexed="64"/>
      </right>
      <top style="medium">
        <color theme="0" tint="-4.9989318521683403E-2"/>
      </top>
      <bottom style="medium">
        <color theme="0" tint="-4.9989318521683403E-2"/>
      </bottom>
      <diagonal/>
    </border>
    <border>
      <left style="medium">
        <color indexed="64"/>
      </left>
      <right style="medium">
        <color indexed="64"/>
      </right>
      <top style="medium">
        <color theme="0" tint="-4.9989318521683403E-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theme="0" tint="-4.9989318521683403E-2"/>
      </bottom>
      <diagonal/>
    </border>
    <border>
      <left style="medium">
        <color indexed="64"/>
      </left>
      <right style="medium">
        <color indexed="64"/>
      </right>
      <top style="medium">
        <color theme="0" tint="-4.9989318521683403E-2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theme="0" tint="-4.9989318521683403E-2"/>
      </bottom>
      <diagonal/>
    </border>
    <border>
      <left/>
      <right style="medium">
        <color indexed="64"/>
      </right>
      <top style="medium">
        <color theme="0" tint="-4.9989318521683403E-2"/>
      </top>
      <bottom style="medium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47">
    <xf numFmtId="0" fontId="0" fillId="0" borderId="0"/>
    <xf numFmtId="0" fontId="15" fillId="0" borderId="0" applyNumberFormat="0" applyFill="0" applyBorder="0" applyAlignment="0" applyProtection="0"/>
    <xf numFmtId="0" fontId="16" fillId="0" borderId="23" applyNumberFormat="0" applyFill="0" applyAlignment="0" applyProtection="0"/>
    <xf numFmtId="0" fontId="17" fillId="0" borderId="24" applyNumberFormat="0" applyFill="0" applyAlignment="0" applyProtection="0"/>
    <xf numFmtId="0" fontId="18" fillId="0" borderId="25" applyNumberFormat="0" applyFill="0" applyAlignment="0" applyProtection="0"/>
    <xf numFmtId="0" fontId="18" fillId="0" borderId="0" applyNumberFormat="0" applyFill="0" applyBorder="0" applyAlignment="0" applyProtection="0"/>
    <xf numFmtId="0" fontId="19" fillId="7" borderId="0" applyNumberFormat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10" borderId="26" applyNumberFormat="0" applyAlignment="0" applyProtection="0"/>
    <xf numFmtId="0" fontId="23" fillId="11" borderId="27" applyNumberFormat="0" applyAlignment="0" applyProtection="0"/>
    <xf numFmtId="0" fontId="24" fillId="11" borderId="26" applyNumberFormat="0" applyAlignment="0" applyProtection="0"/>
    <xf numFmtId="0" fontId="25" fillId="0" borderId="28" applyNumberFormat="0" applyFill="0" applyAlignment="0" applyProtection="0"/>
    <xf numFmtId="0" fontId="26" fillId="12" borderId="29" applyNumberFormat="0" applyAlignment="0" applyProtection="0"/>
    <xf numFmtId="0" fontId="27" fillId="0" borderId="0" applyNumberFormat="0" applyFill="0" applyBorder="0" applyAlignment="0" applyProtection="0"/>
    <xf numFmtId="0" fontId="14" fillId="13" borderId="30" applyNumberFormat="0" applyFont="0" applyAlignment="0" applyProtection="0"/>
    <xf numFmtId="0" fontId="28" fillId="0" borderId="0" applyNumberFormat="0" applyFill="0" applyBorder="0" applyAlignment="0" applyProtection="0"/>
    <xf numFmtId="0" fontId="1" fillId="0" borderId="31" applyNumberFormat="0" applyFill="0" applyAlignment="0" applyProtection="0"/>
    <xf numFmtId="0" fontId="29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14" fillId="17" borderId="0" applyNumberFormat="0" applyBorder="0" applyAlignment="0" applyProtection="0"/>
    <xf numFmtId="0" fontId="29" fillId="18" borderId="0" applyNumberFormat="0" applyBorder="0" applyAlignment="0" applyProtection="0"/>
    <xf numFmtId="0" fontId="14" fillId="19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29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29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14" fillId="29" borderId="0" applyNumberFormat="0" applyBorder="0" applyAlignment="0" applyProtection="0"/>
    <xf numFmtId="0" fontId="29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2" borderId="0" applyNumberFormat="0" applyBorder="0" applyAlignment="0" applyProtection="0"/>
    <xf numFmtId="0" fontId="14" fillId="33" borderId="0" applyNumberFormat="0" applyBorder="0" applyAlignment="0" applyProtection="0"/>
    <xf numFmtId="0" fontId="29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6" borderId="0" applyNumberFormat="0" applyBorder="0" applyAlignment="0" applyProtection="0"/>
    <xf numFmtId="0" fontId="14" fillId="37" borderId="0" applyNumberFormat="0" applyBorder="0" applyAlignment="0" applyProtection="0"/>
    <xf numFmtId="0" fontId="32" fillId="0" borderId="0"/>
    <xf numFmtId="0" fontId="35" fillId="40" borderId="42" applyNumberFormat="0" applyFill="0" applyBorder="0" applyProtection="0">
      <alignment horizontal="center" vertical="center"/>
    </xf>
    <xf numFmtId="0" fontId="37" fillId="0" borderId="0"/>
    <xf numFmtId="0" fontId="38" fillId="0" borderId="0"/>
    <xf numFmtId="0" fontId="32" fillId="0" borderId="0"/>
  </cellStyleXfs>
  <cellXfs count="193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9" fillId="4" borderId="1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7" xfId="0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1" fillId="0" borderId="7" xfId="0" applyFont="1" applyBorder="1"/>
    <xf numFmtId="0" fontId="9" fillId="0" borderId="7" xfId="0" applyFont="1" applyBorder="1"/>
    <xf numFmtId="0" fontId="9" fillId="0" borderId="7" xfId="0" applyFont="1" applyBorder="1" applyAlignment="1">
      <alignment horizontal="left" vertical="center"/>
    </xf>
    <xf numFmtId="0" fontId="9" fillId="0" borderId="7" xfId="0" applyFont="1" applyBorder="1" applyAlignment="1">
      <alignment horizontal="center" vertical="center" wrapText="1"/>
    </xf>
    <xf numFmtId="0" fontId="9" fillId="4" borderId="7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9" fillId="0" borderId="7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6" borderId="3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38" borderId="0" xfId="0" applyFill="1"/>
    <xf numFmtId="0" fontId="0" fillId="3" borderId="0" xfId="0" applyFill="1"/>
    <xf numFmtId="0" fontId="0" fillId="0" borderId="0" xfId="0" applyAlignment="1">
      <alignment wrapText="1"/>
    </xf>
    <xf numFmtId="0" fontId="6" fillId="0" borderId="0" xfId="0" applyFont="1" applyAlignment="1">
      <alignment vertical="center"/>
    </xf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11" fillId="0" borderId="32" xfId="0" applyFont="1" applyBorder="1" applyAlignment="1">
      <alignment horizontal="center" vertical="center" wrapText="1"/>
    </xf>
    <xf numFmtId="0" fontId="11" fillId="0" borderId="34" xfId="0" applyFont="1" applyBorder="1" applyAlignment="1">
      <alignment horizontal="center" vertical="center" wrapText="1"/>
    </xf>
    <xf numFmtId="0" fontId="11" fillId="0" borderId="35" xfId="0" applyFont="1" applyBorder="1" applyAlignment="1">
      <alignment horizontal="center" vertical="center" wrapText="1"/>
    </xf>
    <xf numFmtId="0" fontId="11" fillId="0" borderId="33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0" fontId="11" fillId="0" borderId="38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horizontal="right" vertical="center" wrapText="1"/>
    </xf>
    <xf numFmtId="0" fontId="11" fillId="6" borderId="34" xfId="0" applyFont="1" applyFill="1" applyBorder="1" applyAlignment="1">
      <alignment horizontal="center" vertical="center" wrapText="1"/>
    </xf>
    <xf numFmtId="0" fontId="11" fillId="6" borderId="39" xfId="0" applyFont="1" applyFill="1" applyBorder="1" applyAlignment="1">
      <alignment horizontal="center" vertical="center" wrapText="1"/>
    </xf>
    <xf numFmtId="0" fontId="11" fillId="6" borderId="35" xfId="0" applyFont="1" applyFill="1" applyBorder="1" applyAlignment="1">
      <alignment horizontal="center" vertical="center" wrapText="1"/>
    </xf>
    <xf numFmtId="0" fontId="11" fillId="6" borderId="40" xfId="0" applyFont="1" applyFill="1" applyBorder="1" applyAlignment="1">
      <alignment horizontal="center" vertical="center" wrapText="1"/>
    </xf>
    <xf numFmtId="0" fontId="11" fillId="6" borderId="38" xfId="0" applyFont="1" applyFill="1" applyBorder="1" applyAlignment="1">
      <alignment horizontal="center" vertical="center" wrapText="1"/>
    </xf>
    <xf numFmtId="0" fontId="31" fillId="0" borderId="7" xfId="0" applyFont="1" applyBorder="1" applyAlignment="1">
      <alignment horizontal="center" vertical="center" wrapText="1"/>
    </xf>
    <xf numFmtId="0" fontId="11" fillId="6" borderId="32" xfId="0" applyFont="1" applyFill="1" applyBorder="1" applyAlignment="1">
      <alignment horizontal="center" vertical="center" wrapText="1"/>
    </xf>
    <xf numFmtId="0" fontId="0" fillId="2" borderId="19" xfId="0" applyFill="1" applyBorder="1"/>
    <xf numFmtId="0" fontId="0" fillId="2" borderId="0" xfId="0" applyFill="1"/>
    <xf numFmtId="0" fontId="0" fillId="2" borderId="6" xfId="0" applyFill="1" applyBorder="1"/>
    <xf numFmtId="0" fontId="0" fillId="3" borderId="19" xfId="0" applyFill="1" applyBorder="1"/>
    <xf numFmtId="0" fontId="0" fillId="3" borderId="6" xfId="0" applyFill="1" applyBorder="1"/>
    <xf numFmtId="0" fontId="0" fillId="38" borderId="19" xfId="0" applyFill="1" applyBorder="1"/>
    <xf numFmtId="0" fontId="0" fillId="38" borderId="6" xfId="0" applyFill="1" applyBorder="1"/>
    <xf numFmtId="0" fontId="31" fillId="6" borderId="7" xfId="0" applyFont="1" applyFill="1" applyBorder="1" applyAlignment="1">
      <alignment horizontal="center" vertical="center" wrapText="1"/>
    </xf>
    <xf numFmtId="0" fontId="0" fillId="38" borderId="6" xfId="0" applyFill="1" applyBorder="1" applyAlignment="1">
      <alignment wrapText="1"/>
    </xf>
    <xf numFmtId="0" fontId="0" fillId="39" borderId="19" xfId="0" applyFill="1" applyBorder="1"/>
    <xf numFmtId="0" fontId="0" fillId="39" borderId="0" xfId="0" applyFill="1"/>
    <xf numFmtId="0" fontId="0" fillId="39" borderId="6" xfId="0" applyFill="1" applyBorder="1"/>
    <xf numFmtId="0" fontId="11" fillId="6" borderId="36" xfId="0" applyFont="1" applyFill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top" wrapText="1"/>
    </xf>
    <xf numFmtId="0" fontId="34" fillId="39" borderId="0" xfId="0" applyFont="1" applyFill="1" applyAlignment="1">
      <alignment vertical="top" wrapText="1"/>
    </xf>
    <xf numFmtId="0" fontId="13" fillId="39" borderId="0" xfId="0" applyFont="1" applyFill="1"/>
    <xf numFmtId="0" fontId="30" fillId="0" borderId="0" xfId="0" applyFont="1" applyAlignment="1">
      <alignment horizontal="left" vertical="center"/>
    </xf>
    <xf numFmtId="164" fontId="5" fillId="0" borderId="4" xfId="0" applyNumberFormat="1" applyFont="1" applyBorder="1" applyAlignment="1">
      <alignment horizontal="center" vertical="center" wrapText="1"/>
    </xf>
    <xf numFmtId="0" fontId="9" fillId="0" borderId="8" xfId="0" applyFont="1" applyBorder="1"/>
    <xf numFmtId="0" fontId="9" fillId="0" borderId="8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/>
    <xf numFmtId="0" fontId="9" fillId="0" borderId="11" xfId="0" applyFont="1" applyBorder="1" applyAlignment="1">
      <alignment horizontal="center" vertical="center"/>
    </xf>
    <xf numFmtId="0" fontId="9" fillId="0" borderId="0" xfId="0" applyFont="1"/>
    <xf numFmtId="0" fontId="9" fillId="0" borderId="11" xfId="0" applyFont="1" applyBorder="1" applyAlignment="1">
      <alignment horizontal="left" vertical="center"/>
    </xf>
    <xf numFmtId="0" fontId="9" fillId="0" borderId="13" xfId="0" applyFont="1" applyBorder="1"/>
    <xf numFmtId="0" fontId="9" fillId="0" borderId="13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36" fillId="0" borderId="22" xfId="0" applyFont="1" applyBorder="1" applyAlignment="1">
      <alignment horizontal="center" vertical="center" wrapText="1"/>
    </xf>
    <xf numFmtId="0" fontId="36" fillId="0" borderId="21" xfId="0" applyFont="1" applyBorder="1" applyAlignment="1">
      <alignment horizontal="center" vertical="center" wrapText="1"/>
    </xf>
    <xf numFmtId="49" fontId="0" fillId="0" borderId="0" xfId="0" applyNumberFormat="1"/>
    <xf numFmtId="0" fontId="11" fillId="0" borderId="35" xfId="0" applyFont="1" applyBorder="1" applyAlignment="1">
      <alignment horizontal="center" vertical="top" wrapText="1"/>
    </xf>
    <xf numFmtId="0" fontId="11" fillId="0" borderId="36" xfId="0" applyFont="1" applyBorder="1" applyAlignment="1">
      <alignment horizontal="center" vertical="top" wrapText="1"/>
    </xf>
    <xf numFmtId="0" fontId="11" fillId="0" borderId="2" xfId="0" applyFont="1" applyBorder="1" applyAlignment="1">
      <alignment horizontal="center" vertical="top" wrapText="1"/>
    </xf>
    <xf numFmtId="0" fontId="36" fillId="0" borderId="2" xfId="0" applyFont="1" applyBorder="1" applyAlignment="1">
      <alignment horizontal="center" vertical="center" wrapText="1"/>
    </xf>
    <xf numFmtId="0" fontId="0" fillId="41" borderId="19" xfId="0" applyFill="1" applyBorder="1"/>
    <xf numFmtId="0" fontId="0" fillId="41" borderId="0" xfId="0" applyFill="1"/>
    <xf numFmtId="0" fontId="0" fillId="41" borderId="6" xfId="0" applyFill="1" applyBorder="1"/>
    <xf numFmtId="0" fontId="0" fillId="42" borderId="19" xfId="0" applyFill="1" applyBorder="1"/>
    <xf numFmtId="0" fontId="0" fillId="42" borderId="0" xfId="0" applyFill="1"/>
    <xf numFmtId="0" fontId="0" fillId="42" borderId="6" xfId="0" applyFill="1" applyBorder="1"/>
    <xf numFmtId="0" fontId="0" fillId="0" borderId="7" xfId="0" applyBorder="1" applyAlignment="1">
      <alignment horizontal="center" vertical="top" wrapText="1"/>
    </xf>
    <xf numFmtId="0" fontId="0" fillId="42" borderId="6" xfId="0" applyFill="1" applyBorder="1" applyAlignment="1">
      <alignment wrapText="1"/>
    </xf>
    <xf numFmtId="14" fontId="39" fillId="45" borderId="43" xfId="0" applyNumberFormat="1" applyFont="1" applyFill="1" applyBorder="1" applyAlignment="1">
      <alignment horizontal="center" vertical="center" wrapText="1"/>
    </xf>
    <xf numFmtId="0" fontId="29" fillId="45" borderId="44" xfId="0" applyFont="1" applyFill="1" applyBorder="1"/>
    <xf numFmtId="0" fontId="0" fillId="0" borderId="15" xfId="0" applyBorder="1"/>
    <xf numFmtId="0" fontId="0" fillId="0" borderId="15" xfId="0" applyBorder="1" applyAlignment="1">
      <alignment horizontal="center" vertical="center" wrapText="1"/>
    </xf>
    <xf numFmtId="0" fontId="0" fillId="4" borderId="15" xfId="0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1" fillId="0" borderId="46" xfId="0" applyFont="1" applyBorder="1" applyAlignment="1">
      <alignment vertical="top"/>
    </xf>
    <xf numFmtId="0" fontId="1" fillId="0" borderId="49" xfId="0" applyFont="1" applyBorder="1" applyAlignment="1">
      <alignment vertical="top"/>
    </xf>
    <xf numFmtId="0" fontId="41" fillId="0" borderId="47" xfId="0" applyFont="1" applyBorder="1" applyAlignment="1">
      <alignment horizontal="center" vertical="center" wrapText="1"/>
    </xf>
    <xf numFmtId="0" fontId="41" fillId="0" borderId="48" xfId="0" applyFont="1" applyBorder="1" applyAlignment="1">
      <alignment horizontal="center" vertical="center" wrapText="1"/>
    </xf>
    <xf numFmtId="0" fontId="11" fillId="0" borderId="50" xfId="0" applyFont="1" applyBorder="1" applyAlignment="1">
      <alignment horizontal="center" vertical="center" wrapText="1"/>
    </xf>
    <xf numFmtId="0" fontId="11" fillId="0" borderId="51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top" wrapText="1"/>
    </xf>
    <xf numFmtId="0" fontId="31" fillId="0" borderId="45" xfId="0" applyFont="1" applyBorder="1" applyAlignment="1">
      <alignment horizontal="center" vertical="center" wrapText="1"/>
    </xf>
    <xf numFmtId="0" fontId="31" fillId="0" borderId="15" xfId="0" applyFont="1" applyBorder="1" applyAlignment="1">
      <alignment horizontal="center" vertical="center" wrapText="1"/>
    </xf>
    <xf numFmtId="0" fontId="31" fillId="6" borderId="15" xfId="0" applyFont="1" applyFill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31" fillId="0" borderId="50" xfId="0" applyFont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49" fontId="13" fillId="39" borderId="0" xfId="0" applyNumberFormat="1" applyFont="1" applyFill="1" applyAlignment="1">
      <alignment horizontal="center" vertical="center"/>
    </xf>
    <xf numFmtId="0" fontId="42" fillId="45" borderId="44" xfId="0" applyFont="1" applyFill="1" applyBorder="1" applyAlignment="1">
      <alignment horizontal="left" vertical="center"/>
    </xf>
    <xf numFmtId="0" fontId="9" fillId="0" borderId="0" xfId="0" applyFont="1" applyAlignment="1">
      <alignment horizontal="left"/>
    </xf>
    <xf numFmtId="20" fontId="0" fillId="0" borderId="7" xfId="0" applyNumberFormat="1" applyBorder="1" applyAlignment="1">
      <alignment horizontal="center" vertical="top" wrapText="1"/>
    </xf>
    <xf numFmtId="49" fontId="0" fillId="0" borderId="7" xfId="0" applyNumberFormat="1" applyBorder="1" applyAlignment="1">
      <alignment horizontal="center" vertical="top" wrapText="1"/>
    </xf>
    <xf numFmtId="49" fontId="0" fillId="0" borderId="0" xfId="0" applyNumberFormat="1" applyAlignment="1">
      <alignment horizontal="center" vertical="top" wrapText="1"/>
    </xf>
    <xf numFmtId="20" fontId="0" fillId="0" borderId="0" xfId="0" applyNumberFormat="1" applyAlignment="1">
      <alignment horizontal="center" vertical="top" wrapText="1"/>
    </xf>
    <xf numFmtId="0" fontId="0" fillId="6" borderId="7" xfId="0" applyFill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42" fillId="45" borderId="44" xfId="0" applyFont="1" applyFill="1" applyBorder="1" applyAlignment="1">
      <alignment vertical="center"/>
    </xf>
    <xf numFmtId="0" fontId="9" fillId="0" borderId="41" xfId="0" applyFont="1" applyBorder="1"/>
    <xf numFmtId="0" fontId="9" fillId="0" borderId="15" xfId="0" applyFont="1" applyBorder="1"/>
    <xf numFmtId="0" fontId="9" fillId="0" borderId="12" xfId="0" applyFont="1" applyBorder="1"/>
    <xf numFmtId="0" fontId="9" fillId="0" borderId="16" xfId="0" applyFont="1" applyBorder="1"/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33" fillId="39" borderId="0" xfId="0" applyFont="1" applyFill="1" applyAlignment="1">
      <alignment wrapText="1"/>
    </xf>
    <xf numFmtId="0" fontId="46" fillId="0" borderId="7" xfId="0" applyFont="1" applyBorder="1" applyAlignment="1">
      <alignment vertical="center"/>
    </xf>
    <xf numFmtId="0" fontId="46" fillId="0" borderId="16" xfId="0" applyFont="1" applyBorder="1" applyAlignment="1">
      <alignment vertical="center"/>
    </xf>
    <xf numFmtId="164" fontId="46" fillId="0" borderId="7" xfId="0" applyNumberFormat="1" applyFont="1" applyBorder="1"/>
    <xf numFmtId="0" fontId="42" fillId="45" borderId="18" xfId="0" applyFont="1" applyFill="1" applyBorder="1" applyAlignment="1">
      <alignment horizontal="left" vertical="center"/>
    </xf>
    <xf numFmtId="20" fontId="0" fillId="0" borderId="0" xfId="0" applyNumberFormat="1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right"/>
    </xf>
    <xf numFmtId="165" fontId="0" fillId="0" borderId="0" xfId="0" applyNumberFormat="1"/>
    <xf numFmtId="165" fontId="42" fillId="45" borderId="44" xfId="0" applyNumberFormat="1" applyFont="1" applyFill="1" applyBorder="1" applyAlignment="1">
      <alignment vertical="center"/>
    </xf>
    <xf numFmtId="0" fontId="36" fillId="0" borderId="44" xfId="0" applyFont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36" fillId="0" borderId="43" xfId="0" applyFont="1" applyBorder="1" applyAlignment="1">
      <alignment horizontal="center" vertical="center" wrapText="1"/>
    </xf>
    <xf numFmtId="0" fontId="36" fillId="0" borderId="20" xfId="0" applyFont="1" applyBorder="1" applyAlignment="1">
      <alignment horizontal="center" vertical="center" wrapText="1"/>
    </xf>
    <xf numFmtId="0" fontId="11" fillId="6" borderId="54" xfId="0" applyFont="1" applyFill="1" applyBorder="1" applyAlignment="1">
      <alignment horizontal="center" vertical="center" wrapText="1"/>
    </xf>
    <xf numFmtId="0" fontId="11" fillId="6" borderId="55" xfId="0" applyFont="1" applyFill="1" applyBorder="1" applyAlignment="1">
      <alignment horizontal="center" vertical="center" wrapText="1"/>
    </xf>
    <xf numFmtId="0" fontId="11" fillId="6" borderId="21" xfId="0" applyFont="1" applyFill="1" applyBorder="1" applyAlignment="1">
      <alignment horizontal="center" vertical="center" wrapText="1"/>
    </xf>
    <xf numFmtId="0" fontId="33" fillId="39" borderId="13" xfId="0" applyFont="1" applyFill="1" applyBorder="1" applyAlignment="1">
      <alignment wrapText="1"/>
    </xf>
    <xf numFmtId="0" fontId="33" fillId="39" borderId="56" xfId="0" applyFont="1" applyFill="1" applyBorder="1" applyAlignment="1">
      <alignment wrapText="1"/>
    </xf>
    <xf numFmtId="0" fontId="1" fillId="46" borderId="7" xfId="0" applyFont="1" applyFill="1" applyBorder="1" applyAlignment="1">
      <alignment horizontal="right" vertical="center"/>
    </xf>
    <xf numFmtId="0" fontId="0" fillId="44" borderId="0" xfId="0" applyFill="1" applyAlignment="1">
      <alignment horizontal="left" vertical="top" wrapText="1"/>
    </xf>
    <xf numFmtId="0" fontId="42" fillId="45" borderId="44" xfId="0" applyFont="1" applyFill="1" applyBorder="1" applyAlignment="1">
      <alignment vertical="center" wrapText="1"/>
    </xf>
    <xf numFmtId="49" fontId="0" fillId="0" borderId="6" xfId="0" applyNumberFormat="1" applyBorder="1"/>
    <xf numFmtId="49" fontId="0" fillId="0" borderId="6" xfId="0" applyNumberFormat="1" applyBorder="1" applyAlignment="1">
      <alignment horizontal="left"/>
    </xf>
    <xf numFmtId="0" fontId="0" fillId="38" borderId="0" xfId="0" applyFill="1" applyAlignment="1">
      <alignment wrapText="1"/>
    </xf>
    <xf numFmtId="0" fontId="0" fillId="42" borderId="0" xfId="0" applyFill="1" applyAlignment="1">
      <alignment wrapText="1"/>
    </xf>
    <xf numFmtId="0" fontId="0" fillId="43" borderId="53" xfId="0" applyFill="1" applyBorder="1" applyAlignment="1">
      <alignment horizontal="center" vertical="top" wrapText="1"/>
    </xf>
    <xf numFmtId="0" fontId="29" fillId="45" borderId="44" xfId="0" applyFont="1" applyFill="1" applyBorder="1" applyAlignment="1">
      <alignment horizontal="left" vertical="center"/>
    </xf>
    <xf numFmtId="0" fontId="29" fillId="45" borderId="22" xfId="0" applyFont="1" applyFill="1" applyBorder="1" applyAlignment="1">
      <alignment horizontal="left" vertical="center"/>
    </xf>
    <xf numFmtId="0" fontId="33" fillId="39" borderId="43" xfId="0" applyFont="1" applyFill="1" applyBorder="1" applyAlignment="1">
      <alignment horizontal="center" vertical="center"/>
    </xf>
    <xf numFmtId="0" fontId="33" fillId="39" borderId="44" xfId="0" applyFont="1" applyFill="1" applyBorder="1" applyAlignment="1">
      <alignment horizontal="center" vertical="center"/>
    </xf>
    <xf numFmtId="0" fontId="33" fillId="39" borderId="22" xfId="0" applyFont="1" applyFill="1" applyBorder="1" applyAlignment="1">
      <alignment horizontal="center" vertical="center"/>
    </xf>
    <xf numFmtId="0" fontId="45" fillId="45" borderId="44" xfId="0" applyFont="1" applyFill="1" applyBorder="1" applyAlignment="1">
      <alignment horizontal="right" vertical="center" wrapText="1"/>
    </xf>
    <xf numFmtId="0" fontId="42" fillId="45" borderId="44" xfId="0" applyFont="1" applyFill="1" applyBorder="1" applyAlignment="1">
      <alignment horizontal="left" vertical="center"/>
    </xf>
    <xf numFmtId="0" fontId="34" fillId="39" borderId="0" xfId="0" applyFont="1" applyFill="1" applyAlignment="1">
      <alignment horizontal="center" vertical="center" wrapText="1"/>
    </xf>
    <xf numFmtId="0" fontId="13" fillId="39" borderId="0" xfId="0" applyFont="1" applyFill="1" applyAlignment="1">
      <alignment horizontal="center" vertical="center"/>
    </xf>
    <xf numFmtId="0" fontId="0" fillId="39" borderId="53" xfId="0" applyFill="1" applyBorder="1" applyAlignment="1">
      <alignment horizontal="center"/>
    </xf>
    <xf numFmtId="0" fontId="33" fillId="39" borderId="0" xfId="0" applyFont="1" applyFill="1" applyAlignment="1">
      <alignment horizontal="center" vertical="center"/>
    </xf>
    <xf numFmtId="0" fontId="33" fillId="39" borderId="6" xfId="0" applyFont="1" applyFill="1" applyBorder="1" applyAlignment="1">
      <alignment horizontal="center" vertical="center"/>
    </xf>
    <xf numFmtId="0" fontId="0" fillId="39" borderId="18" xfId="0" applyFill="1" applyBorder="1" applyAlignment="1">
      <alignment horizontal="center"/>
    </xf>
    <xf numFmtId="0" fontId="0" fillId="46" borderId="41" xfId="0" applyFill="1" applyBorder="1" applyAlignment="1">
      <alignment horizontal="left" vertical="center"/>
    </xf>
    <xf numFmtId="0" fontId="0" fillId="46" borderId="52" xfId="0" applyFill="1" applyBorder="1" applyAlignment="1">
      <alignment horizontal="left" vertical="center"/>
    </xf>
    <xf numFmtId="0" fontId="0" fillId="46" borderId="45" xfId="0" applyFill="1" applyBorder="1" applyAlignment="1">
      <alignment horizontal="left" vertical="center"/>
    </xf>
    <xf numFmtId="0" fontId="9" fillId="0" borderId="8" xfId="0" applyFont="1" applyBorder="1" applyAlignment="1">
      <alignment horizontal="left"/>
    </xf>
    <xf numFmtId="0" fontId="9" fillId="0" borderId="0" xfId="0" applyFont="1" applyAlignment="1">
      <alignment horizontal="left"/>
    </xf>
    <xf numFmtId="0" fontId="40" fillId="45" borderId="44" xfId="0" applyFont="1" applyFill="1" applyBorder="1" applyAlignment="1">
      <alignment horizontal="center"/>
    </xf>
    <xf numFmtId="0" fontId="29" fillId="45" borderId="44" xfId="0" applyFont="1" applyFill="1" applyBorder="1" applyAlignment="1">
      <alignment horizontal="center"/>
    </xf>
    <xf numFmtId="0" fontId="29" fillId="45" borderId="22" xfId="0" applyFont="1" applyFill="1" applyBorder="1" applyAlignment="1">
      <alignment horizontal="center"/>
    </xf>
    <xf numFmtId="0" fontId="0" fillId="6" borderId="41" xfId="0" applyFill="1" applyBorder="1" applyAlignment="1">
      <alignment horizontal="center" vertical="top" wrapText="1"/>
    </xf>
    <xf numFmtId="0" fontId="0" fillId="6" borderId="52" xfId="0" applyFill="1" applyBorder="1" applyAlignment="1">
      <alignment horizontal="center" vertical="top" wrapText="1"/>
    </xf>
    <xf numFmtId="0" fontId="0" fillId="6" borderId="45" xfId="0" applyFill="1" applyBorder="1" applyAlignment="1">
      <alignment horizontal="center" vertical="top" wrapText="1"/>
    </xf>
    <xf numFmtId="0" fontId="11" fillId="6" borderId="41" xfId="0" applyFont="1" applyFill="1" applyBorder="1" applyAlignment="1">
      <alignment horizontal="center" vertical="top" wrapText="1"/>
    </xf>
    <xf numFmtId="0" fontId="11" fillId="6" borderId="52" xfId="0" applyFont="1" applyFill="1" applyBorder="1" applyAlignment="1">
      <alignment horizontal="center" vertical="top" wrapText="1"/>
    </xf>
    <xf numFmtId="0" fontId="11" fillId="6" borderId="45" xfId="0" applyFont="1" applyFill="1" applyBorder="1" applyAlignment="1">
      <alignment horizontal="center" vertical="top" wrapText="1"/>
    </xf>
    <xf numFmtId="0" fontId="10" fillId="5" borderId="7" xfId="0" applyFont="1" applyFill="1" applyBorder="1" applyAlignment="1">
      <alignment horizontal="left"/>
    </xf>
    <xf numFmtId="0" fontId="10" fillId="5" borderId="15" xfId="0" applyFont="1" applyFill="1" applyBorder="1" applyAlignment="1">
      <alignment horizontal="left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19" xfId="0" applyFont="1" applyBorder="1" applyAlignment="1">
      <alignment horizontal="center" vertical="center" wrapText="1"/>
    </xf>
  </cellXfs>
  <cellStyles count="47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IsoFontti" xfId="43" xr:uid="{02432877-3EFE-4D1F-88AB-6E54D68C262D}"/>
    <cellStyle name="Linked Cell" xfId="12" builtinId="24" customBuiltin="1"/>
    <cellStyle name="Neutral" xfId="8" builtinId="28" customBuiltin="1"/>
    <cellStyle name="Normaali 2" xfId="44" xr:uid="{3D56845C-4AB1-4801-B4F0-4A6FAE34D2CB}"/>
    <cellStyle name="Normaali 3" xfId="45" xr:uid="{8CEF3B2D-DBF4-4CDA-8DB0-46F1A295BC61}"/>
    <cellStyle name="Normaali 4" xfId="46" xr:uid="{C5483104-43D5-4094-8581-DA4007CB74E7}"/>
    <cellStyle name="Normal" xfId="0" builtinId="0"/>
    <cellStyle name="Normal 2" xfId="42" xr:uid="{620139CB-7A58-4DF8-AB0D-DC88BB0574F3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8"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4"/>
      </font>
      <fill>
        <patternFill patternType="none">
          <bgColor auto="1"/>
        </patternFill>
      </fill>
    </dxf>
    <dxf>
      <font>
        <color rgb="FF7030A0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CC3300"/>
      </font>
    </dxf>
    <dxf>
      <font>
        <color theme="0"/>
      </font>
    </dxf>
    <dxf>
      <font>
        <color theme="4"/>
      </font>
      <fill>
        <patternFill patternType="none">
          <bgColor auto="1"/>
        </patternFill>
      </fill>
    </dxf>
    <dxf>
      <font>
        <color rgb="FF7030A0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CC3300"/>
      </font>
    </dxf>
    <dxf>
      <font>
        <color theme="0"/>
      </font>
    </dxf>
    <dxf>
      <font>
        <color theme="4"/>
      </font>
      <fill>
        <patternFill patternType="none">
          <bgColor auto="1"/>
        </patternFill>
      </fill>
    </dxf>
    <dxf>
      <font>
        <color rgb="FF7030A0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CC3300"/>
      </font>
    </dxf>
    <dxf>
      <font>
        <color theme="0"/>
      </font>
    </dxf>
    <dxf>
      <font>
        <color theme="4"/>
      </font>
      <fill>
        <patternFill patternType="none">
          <bgColor auto="1"/>
        </patternFill>
      </fill>
    </dxf>
    <dxf>
      <font>
        <color rgb="FF7030A0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CC3300"/>
      </font>
    </dxf>
    <dxf>
      <font>
        <color theme="0"/>
      </font>
    </dxf>
    <dxf>
      <font>
        <color theme="4"/>
      </font>
      <fill>
        <patternFill patternType="none">
          <bgColor auto="1"/>
        </patternFill>
      </fill>
    </dxf>
    <dxf>
      <font>
        <color rgb="FF7030A0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CC3300"/>
      </font>
    </dxf>
    <dxf>
      <font>
        <color theme="0"/>
      </font>
    </dxf>
    <dxf>
      <font>
        <color theme="4"/>
      </font>
      <fill>
        <patternFill patternType="none">
          <bgColor auto="1"/>
        </patternFill>
      </fill>
    </dxf>
    <dxf>
      <font>
        <color rgb="FF7030A0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CC3300"/>
      </font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4"/>
      </font>
      <fill>
        <patternFill patternType="none">
          <bgColor auto="1"/>
        </patternFill>
      </fill>
    </dxf>
    <dxf>
      <font>
        <color rgb="FF7030A0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CC3300"/>
      </font>
    </dxf>
    <dxf>
      <font>
        <color theme="0"/>
      </font>
    </dxf>
    <dxf>
      <font>
        <color theme="4"/>
      </font>
      <fill>
        <patternFill patternType="none">
          <bgColor auto="1"/>
        </patternFill>
      </fill>
    </dxf>
    <dxf>
      <font>
        <color rgb="FF7030A0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CC3300"/>
      </font>
    </dxf>
    <dxf>
      <font>
        <color theme="0"/>
      </font>
    </dxf>
    <dxf>
      <font>
        <color theme="4"/>
      </font>
      <fill>
        <patternFill patternType="none">
          <bgColor auto="1"/>
        </patternFill>
      </fill>
    </dxf>
    <dxf>
      <font>
        <color rgb="FF7030A0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CC3300"/>
      </font>
    </dxf>
    <dxf>
      <font>
        <color theme="0"/>
      </font>
    </dxf>
    <dxf>
      <font>
        <color theme="4"/>
      </font>
      <fill>
        <patternFill patternType="none">
          <bgColor auto="1"/>
        </patternFill>
      </fill>
    </dxf>
    <dxf>
      <font>
        <color rgb="FF7030A0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CC3300"/>
      </font>
    </dxf>
    <dxf>
      <font>
        <color theme="0"/>
      </font>
    </dxf>
    <dxf>
      <font>
        <color theme="4"/>
      </font>
      <fill>
        <patternFill patternType="none">
          <bgColor auto="1"/>
        </patternFill>
      </fill>
    </dxf>
    <dxf>
      <font>
        <color rgb="FF7030A0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CC3300"/>
      </font>
    </dxf>
    <dxf>
      <font>
        <color theme="0"/>
      </font>
    </dxf>
    <dxf>
      <font>
        <color theme="4"/>
      </font>
      <fill>
        <patternFill patternType="none">
          <bgColor auto="1"/>
        </patternFill>
      </fill>
    </dxf>
    <dxf>
      <font>
        <color rgb="FF7030A0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CC3300"/>
      </font>
    </dxf>
    <dxf>
      <font>
        <color theme="0"/>
      </font>
    </dxf>
    <dxf>
      <font>
        <color theme="4"/>
      </font>
      <fill>
        <patternFill patternType="none">
          <bgColor auto="1"/>
        </patternFill>
      </fill>
    </dxf>
    <dxf>
      <font>
        <color rgb="FF7030A0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CC3300"/>
      </font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4"/>
      </font>
      <fill>
        <patternFill patternType="none">
          <bgColor auto="1"/>
        </patternFill>
      </fill>
    </dxf>
    <dxf>
      <font>
        <color rgb="FF7030A0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CC3300"/>
      </font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4"/>
      </font>
      <fill>
        <patternFill patternType="none">
          <bgColor auto="1"/>
        </patternFill>
      </fill>
    </dxf>
    <dxf>
      <font>
        <color rgb="FF7030A0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CC3300"/>
      </font>
    </dxf>
    <dxf>
      <font>
        <color theme="0"/>
      </font>
    </dxf>
    <dxf>
      <font>
        <color theme="4"/>
      </font>
      <fill>
        <patternFill patternType="none">
          <bgColor auto="1"/>
        </patternFill>
      </fill>
    </dxf>
    <dxf>
      <font>
        <color rgb="FF7030A0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CC3300"/>
      </font>
    </dxf>
    <dxf>
      <font>
        <color theme="0"/>
      </font>
    </dxf>
    <dxf>
      <font>
        <color theme="4"/>
      </font>
      <fill>
        <patternFill patternType="none">
          <bgColor auto="1"/>
        </patternFill>
      </fill>
    </dxf>
    <dxf>
      <font>
        <color rgb="FF7030A0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CC3300"/>
      </font>
    </dxf>
    <dxf>
      <font>
        <color theme="0"/>
      </font>
    </dxf>
    <dxf>
      <font>
        <color theme="4"/>
      </font>
      <fill>
        <patternFill patternType="none">
          <bgColor auto="1"/>
        </patternFill>
      </fill>
    </dxf>
    <dxf>
      <font>
        <color rgb="FF7030A0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CC3300"/>
      </font>
    </dxf>
    <dxf>
      <font>
        <color theme="0"/>
      </font>
    </dxf>
    <dxf>
      <font>
        <color theme="4"/>
      </font>
      <fill>
        <patternFill patternType="none">
          <bgColor auto="1"/>
        </patternFill>
      </fill>
    </dxf>
    <dxf>
      <font>
        <color rgb="FF7030A0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CC3300"/>
      </font>
    </dxf>
    <dxf>
      <font>
        <color theme="0"/>
      </font>
    </dxf>
    <dxf>
      <font>
        <color theme="4"/>
      </font>
      <fill>
        <patternFill patternType="none">
          <bgColor auto="1"/>
        </patternFill>
      </fill>
    </dxf>
    <dxf>
      <font>
        <color rgb="FF7030A0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CC3300"/>
      </font>
    </dxf>
    <dxf>
      <font>
        <color theme="0"/>
      </font>
    </dxf>
    <dxf>
      <font>
        <color theme="4"/>
      </font>
      <fill>
        <patternFill patternType="none">
          <bgColor auto="1"/>
        </patternFill>
      </fill>
    </dxf>
    <dxf>
      <font>
        <color rgb="FF7030A0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CC3300"/>
      </font>
    </dxf>
    <dxf>
      <font>
        <color theme="0"/>
      </font>
    </dxf>
    <dxf>
      <font>
        <color theme="4"/>
      </font>
      <fill>
        <patternFill patternType="none">
          <bgColor auto="1"/>
        </patternFill>
      </fill>
    </dxf>
    <dxf>
      <font>
        <color rgb="FF7030A0"/>
      </font>
    </dxf>
    <dxf>
      <font>
        <color theme="7" tint="-0.24994659260841701"/>
      </font>
    </dxf>
    <dxf>
      <font>
        <color theme="9" tint="-0.24994659260841701"/>
      </font>
    </dxf>
    <dxf>
      <font>
        <color rgb="FFCC3300"/>
      </font>
    </dxf>
    <dxf>
      <fill>
        <gradientFill>
          <stop position="0">
            <color theme="0"/>
          </stop>
          <stop position="1">
            <color rgb="FFFF0000"/>
          </stop>
        </gradientFill>
      </fill>
    </dxf>
    <dxf>
      <fill>
        <gradientFill>
          <stop position="0">
            <color theme="0"/>
          </stop>
          <stop position="1">
            <color theme="8" tint="0.40000610370189521"/>
          </stop>
        </gradientFill>
      </fill>
    </dxf>
    <dxf>
      <fill>
        <gradientFill>
          <stop position="0">
            <color theme="0"/>
          </stop>
          <stop position="1">
            <color rgb="FFC326E2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/>
          </stop>
          <stop position="1">
            <color rgb="FFFFFF00"/>
          </stop>
        </gradientFill>
      </fill>
    </dxf>
    <dxf>
      <fill>
        <gradientFill>
          <stop position="0">
            <color theme="0"/>
          </stop>
          <stop position="1">
            <color theme="0" tint="-0.25098422193060094"/>
          </stop>
        </gradientFill>
      </fill>
    </dxf>
    <dxf>
      <fill>
        <gradientFill>
          <stop position="0">
            <color theme="0"/>
          </stop>
          <stop position="1">
            <color theme="5" tint="0.59999389629810485"/>
          </stop>
        </gradientFill>
      </fill>
    </dxf>
    <dxf>
      <font>
        <color theme="0"/>
      </font>
    </dxf>
    <dxf>
      <font>
        <color theme="0"/>
      </font>
    </dxf>
    <dxf>
      <numFmt numFmtId="25" formatCode="h:mm"/>
    </dxf>
    <dxf>
      <numFmt numFmtId="25" formatCode="h:mm"/>
      <alignment horizontal="right" vertical="bottom" textRotation="0" wrapText="0" indent="0" justifyLastLine="0" shrinkToFit="0" readingOrder="0"/>
    </dxf>
    <dxf>
      <numFmt numFmtId="25" formatCode="h:mm"/>
    </dxf>
    <dxf>
      <numFmt numFmtId="165" formatCode="d\.m\.yy;@"/>
    </dxf>
    <dxf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left" vertical="top" textRotation="0" wrapText="1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left" vertical="top" textRotation="0" wrapText="1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left" vertical="top" textRotation="0" wrapText="1" indent="0" justifyLastLine="0" shrinkToFit="0" readingOrder="0"/>
    </dxf>
    <dxf>
      <fill>
        <patternFill patternType="solid">
          <fgColor indexed="64"/>
          <bgColor theme="4" tint="0.79998168889431442"/>
        </patternFill>
      </fill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border outline="0">
        <top style="medium">
          <color indexed="64"/>
        </top>
      </border>
    </dxf>
    <dxf>
      <numFmt numFmtId="0" formatCode="General"/>
      <fill>
        <patternFill patternType="solid">
          <fgColor indexed="64"/>
          <bgColor rgb="FFF8CBFF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8CBFF"/>
        </patternFill>
      </fill>
    </dxf>
    <dxf>
      <numFmt numFmtId="0" formatCode="General"/>
      <fill>
        <patternFill patternType="solid">
          <fgColor indexed="64"/>
          <bgColor rgb="FFF8CBFF"/>
        </patternFill>
      </fill>
    </dxf>
    <dxf>
      <numFmt numFmtId="0" formatCode="General"/>
      <fill>
        <patternFill patternType="solid">
          <fgColor indexed="64"/>
          <bgColor rgb="FFF8CBFF"/>
        </patternFill>
      </fill>
    </dxf>
    <dxf>
      <numFmt numFmtId="0" formatCode="General"/>
      <fill>
        <patternFill patternType="solid">
          <fgColor indexed="64"/>
          <bgColor rgb="FFF8CBFF"/>
        </patternFill>
      </fill>
    </dxf>
    <dxf>
      <numFmt numFmtId="0" formatCode="General"/>
      <fill>
        <patternFill patternType="solid">
          <fgColor indexed="64"/>
          <bgColor rgb="FFF8CBFF"/>
        </patternFill>
      </fill>
    </dxf>
    <dxf>
      <numFmt numFmtId="0" formatCode="General"/>
      <fill>
        <patternFill patternType="solid">
          <fgColor indexed="64"/>
          <bgColor rgb="FFF8CBFF"/>
        </patternFill>
      </fill>
      <border outline="0">
        <left style="medium">
          <color indexed="64"/>
        </left>
        <right/>
      </border>
    </dxf>
    <dxf>
      <numFmt numFmtId="0" formatCode="General"/>
      <fill>
        <patternFill patternType="solid">
          <fgColor indexed="64"/>
          <bgColor rgb="FFF8CBFF"/>
        </patternFill>
      </fill>
    </dxf>
    <dxf>
      <numFmt numFmtId="0" formatCode="General"/>
      <fill>
        <patternFill patternType="solid">
          <fgColor indexed="64"/>
          <bgColor rgb="FFF8CBFF"/>
        </patternFill>
      </fill>
    </dxf>
    <dxf>
      <numFmt numFmtId="0" formatCode="General"/>
      <fill>
        <patternFill patternType="solid">
          <fgColor indexed="64"/>
          <bgColor rgb="FFF8CBFF"/>
        </patternFill>
      </fill>
    </dxf>
    <dxf>
      <numFmt numFmtId="0" formatCode="General"/>
      <fill>
        <patternFill patternType="solid">
          <fgColor indexed="64"/>
          <bgColor rgb="FFF8CBFF"/>
        </patternFill>
      </fill>
    </dxf>
    <dxf>
      <numFmt numFmtId="0" formatCode="General"/>
      <fill>
        <patternFill patternType="solid">
          <fgColor indexed="64"/>
          <bgColor rgb="FFF8CBFF"/>
        </patternFill>
      </fill>
    </dxf>
    <dxf>
      <numFmt numFmtId="0" formatCode="General"/>
      <fill>
        <patternFill patternType="solid">
          <fgColor indexed="64"/>
          <bgColor rgb="FFF8CBFF"/>
        </patternFill>
      </fill>
    </dxf>
    <dxf>
      <numFmt numFmtId="0" formatCode="General"/>
      <fill>
        <patternFill patternType="solid">
          <fgColor indexed="64"/>
          <bgColor rgb="FFF8CBFF"/>
        </patternFill>
      </fill>
    </dxf>
    <dxf>
      <numFmt numFmtId="0" formatCode="General"/>
      <fill>
        <patternFill patternType="solid">
          <fgColor indexed="64"/>
          <bgColor rgb="FFF8CBFF"/>
        </patternFill>
      </fill>
      <border outline="0">
        <left/>
        <right style="medium">
          <color indexed="64"/>
        </right>
      </border>
    </dxf>
    <dxf>
      <numFmt numFmtId="0" formatCode="General"/>
      <fill>
        <patternFill patternType="solid">
          <fgColor indexed="64"/>
          <bgColor rgb="FFF8CBFF"/>
        </patternFill>
      </fill>
    </dxf>
    <dxf>
      <numFmt numFmtId="0" formatCode="General"/>
      <fill>
        <patternFill patternType="solid">
          <fgColor indexed="64"/>
          <bgColor rgb="FFF8CBFF"/>
        </patternFill>
      </fill>
    </dxf>
    <dxf>
      <numFmt numFmtId="0" formatCode="General"/>
      <fill>
        <patternFill patternType="solid">
          <fgColor indexed="64"/>
          <bgColor rgb="FFF8CBFF"/>
        </patternFill>
      </fill>
    </dxf>
    <dxf>
      <numFmt numFmtId="0" formatCode="General"/>
      <fill>
        <patternFill patternType="solid">
          <fgColor indexed="64"/>
          <bgColor rgb="FFF8CBFF"/>
        </patternFill>
      </fill>
    </dxf>
    <dxf>
      <numFmt numFmtId="0" formatCode="General"/>
      <fill>
        <patternFill patternType="solid">
          <fgColor indexed="64"/>
          <bgColor rgb="FFF8CBFF"/>
        </patternFill>
      </fill>
    </dxf>
    <dxf>
      <numFmt numFmtId="0" formatCode="General"/>
      <fill>
        <patternFill patternType="solid">
          <fgColor indexed="64"/>
          <bgColor rgb="FFF8CBFF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medium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theme="9" tint="0.79998168889431442"/>
        </patternFill>
      </fill>
    </dxf>
    <dxf>
      <numFmt numFmtId="0" formatCode="General"/>
      <fill>
        <patternFill patternType="solid">
          <fgColor indexed="64"/>
          <bgColor theme="9" tint="0.79998168889431442"/>
        </patternFill>
      </fill>
    </dxf>
    <dxf>
      <numFmt numFmtId="0" formatCode="General"/>
      <fill>
        <patternFill patternType="solid">
          <fgColor indexed="64"/>
          <bgColor theme="9" tint="0.79998168889431442"/>
        </patternFill>
      </fill>
    </dxf>
    <dxf>
      <numFmt numFmtId="0" formatCode="General"/>
      <fill>
        <patternFill patternType="solid">
          <fgColor indexed="64"/>
          <bgColor theme="9" tint="0.79998168889431442"/>
        </patternFill>
      </fill>
    </dxf>
    <dxf>
      <numFmt numFmtId="0" formatCode="General"/>
      <fill>
        <patternFill patternType="solid">
          <fgColor indexed="64"/>
          <bgColor theme="9" tint="0.79998168889431442"/>
        </patternFill>
      </fill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medium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theme="9" tint="0.79998168889431442"/>
        </patternFill>
      </fill>
    </dxf>
    <dxf>
      <numFmt numFmtId="0" formatCode="General"/>
      <fill>
        <patternFill patternType="solid">
          <fgColor indexed="64"/>
          <bgColor theme="9" tint="0.79998168889431442"/>
        </patternFill>
      </fill>
    </dxf>
    <dxf>
      <numFmt numFmtId="0" formatCode="General"/>
      <fill>
        <patternFill patternType="solid">
          <fgColor indexed="64"/>
          <bgColor theme="9" tint="0.79998168889431442"/>
        </patternFill>
      </fill>
    </dxf>
    <dxf>
      <numFmt numFmtId="0" formatCode="General"/>
      <fill>
        <patternFill patternType="solid">
          <fgColor indexed="64"/>
          <bgColor theme="9" tint="0.79998168889431442"/>
        </patternFill>
      </fill>
    </dxf>
    <dxf>
      <numFmt numFmtId="0" formatCode="General"/>
      <fill>
        <patternFill patternType="solid">
          <fgColor indexed="64"/>
          <bgColor theme="9" tint="0.79998168889431442"/>
        </patternFill>
      </fill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 outline="0">
        <left/>
        <right style="medium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theme="9" tint="0.79998168889431442"/>
        </patternFill>
      </fill>
    </dxf>
    <dxf>
      <numFmt numFmtId="0" formatCode="General"/>
      <fill>
        <patternFill patternType="solid">
          <fgColor indexed="64"/>
          <bgColor theme="9" tint="0.79998168889431442"/>
        </patternFill>
      </fill>
    </dxf>
    <dxf>
      <numFmt numFmtId="0" formatCode="General"/>
      <fill>
        <patternFill patternType="solid">
          <fgColor indexed="64"/>
          <bgColor theme="9" tint="0.79998168889431442"/>
        </patternFill>
      </fill>
    </dxf>
    <dxf>
      <numFmt numFmtId="0" formatCode="General"/>
      <fill>
        <patternFill patternType="solid">
          <fgColor indexed="64"/>
          <bgColor theme="9" tint="0.79998168889431442"/>
        </patternFill>
      </fill>
    </dxf>
    <dxf>
      <numFmt numFmtId="0" formatCode="General"/>
      <fill>
        <patternFill patternType="solid">
          <fgColor indexed="64"/>
          <bgColor theme="9" tint="0.79998168889431442"/>
        </patternFill>
      </fill>
    </dxf>
    <dxf>
      <numFmt numFmtId="0" formatCode="General"/>
      <fill>
        <patternFill patternType="solid">
          <fgColor indexed="64"/>
          <bgColor theme="9" tint="0.79998168889431442"/>
        </patternFill>
      </fill>
      <border outline="0">
        <left style="medium">
          <color indexed="64"/>
        </left>
        <right/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5" tint="0.79998168889431442"/>
        </patternFill>
      </fill>
    </dxf>
    <dxf>
      <numFmt numFmtId="0" formatCode="General"/>
      <fill>
        <patternFill patternType="solid">
          <fgColor indexed="64"/>
          <bgColor theme="5" tint="0.79998168889431442"/>
        </patternFill>
      </fill>
    </dxf>
    <dxf>
      <numFmt numFmtId="0" formatCode="General"/>
      <fill>
        <patternFill patternType="solid">
          <fgColor indexed="64"/>
          <bgColor theme="5" tint="0.79998168889431442"/>
        </patternFill>
      </fill>
    </dxf>
    <dxf>
      <numFmt numFmtId="0" formatCode="General"/>
      <fill>
        <patternFill patternType="solid">
          <fgColor indexed="64"/>
          <bgColor theme="5" tint="0.79998168889431442"/>
        </patternFill>
      </fill>
    </dxf>
    <dxf>
      <numFmt numFmtId="0" formatCode="General"/>
      <fill>
        <patternFill patternType="solid">
          <fgColor indexed="64"/>
          <bgColor theme="5" tint="0.79998168889431442"/>
        </patternFill>
      </fill>
    </dxf>
    <dxf>
      <numFmt numFmtId="0" formatCode="General"/>
      <fill>
        <patternFill patternType="solid">
          <fgColor indexed="64"/>
          <bgColor theme="5" tint="0.79998168889431442"/>
        </patternFill>
      </fill>
    </dxf>
    <dxf>
      <numFmt numFmtId="0" formatCode="General"/>
      <fill>
        <patternFill patternType="solid">
          <fgColor indexed="64"/>
          <bgColor theme="5" tint="0.79998168889431442"/>
        </patternFill>
      </fill>
      <border outline="0">
        <left/>
        <right style="medium">
          <color indexed="64"/>
        </right>
      </border>
    </dxf>
    <dxf>
      <numFmt numFmtId="0" formatCode="General"/>
      <fill>
        <patternFill patternType="solid">
          <fgColor indexed="64"/>
          <bgColor theme="5" tint="0.79998168889431442"/>
        </patternFill>
      </fill>
    </dxf>
    <dxf>
      <numFmt numFmtId="0" formatCode="General"/>
      <fill>
        <patternFill patternType="solid">
          <fgColor indexed="64"/>
          <bgColor theme="5" tint="0.79998168889431442"/>
        </patternFill>
      </fill>
    </dxf>
    <dxf>
      <numFmt numFmtId="0" formatCode="General"/>
      <fill>
        <patternFill patternType="solid">
          <fgColor indexed="64"/>
          <bgColor theme="5" tint="0.79998168889431442"/>
        </patternFill>
      </fill>
    </dxf>
    <dxf>
      <numFmt numFmtId="0" formatCode="General"/>
      <fill>
        <patternFill patternType="solid">
          <fgColor indexed="64"/>
          <bgColor theme="5" tint="0.79998168889431442"/>
        </patternFill>
      </fill>
    </dxf>
    <dxf>
      <numFmt numFmtId="0" formatCode="General"/>
      <fill>
        <patternFill patternType="solid">
          <fgColor indexed="64"/>
          <bgColor theme="5" tint="0.79998168889431442"/>
        </patternFill>
      </fill>
    </dxf>
    <dxf>
      <numFmt numFmtId="0" formatCode="General"/>
      <fill>
        <patternFill patternType="solid">
          <fgColor indexed="64"/>
          <bgColor theme="5" tint="0.79998168889431442"/>
        </patternFill>
      </fill>
      <border outline="0">
        <left style="medium">
          <color indexed="64"/>
        </left>
        <right/>
      </border>
    </dxf>
    <dxf>
      <numFmt numFmtId="0" formatCode="General"/>
      <fill>
        <patternFill patternType="solid">
          <fgColor indexed="64"/>
          <bgColor theme="5" tint="0.79998168889431442"/>
        </patternFill>
      </fill>
    </dxf>
    <dxf>
      <numFmt numFmtId="0" formatCode="General"/>
      <fill>
        <patternFill patternType="solid">
          <fgColor indexed="64"/>
          <bgColor theme="5" tint="0.79998168889431442"/>
        </patternFill>
      </fill>
    </dxf>
    <dxf>
      <numFmt numFmtId="0" formatCode="General"/>
      <fill>
        <patternFill patternType="solid">
          <fgColor indexed="64"/>
          <bgColor theme="5" tint="0.79998168889431442"/>
        </patternFill>
      </fill>
    </dxf>
    <dxf>
      <numFmt numFmtId="0" formatCode="General"/>
      <fill>
        <patternFill patternType="solid">
          <fgColor indexed="64"/>
          <bgColor theme="5" tint="0.79998168889431442"/>
        </patternFill>
      </fill>
    </dxf>
    <dxf>
      <numFmt numFmtId="0" formatCode="General"/>
      <fill>
        <patternFill patternType="solid">
          <fgColor indexed="64"/>
          <bgColor theme="5" tint="0.79998168889431442"/>
        </patternFill>
      </fill>
    </dxf>
    <dxf>
      <numFmt numFmtId="0" formatCode="General"/>
      <fill>
        <patternFill patternType="solid">
          <fgColor indexed="64"/>
          <bgColor theme="5" tint="0.79998168889431442"/>
        </patternFill>
      </fill>
    </dxf>
    <dxf>
      <numFmt numFmtId="0" formatCode="General"/>
      <fill>
        <patternFill patternType="solid">
          <fgColor indexed="64"/>
          <bgColor theme="5" tint="0.79998168889431442"/>
        </patternFill>
      </fill>
      <border outline="0">
        <left style="medium">
          <color indexed="64"/>
        </left>
        <right/>
      </border>
    </dxf>
    <dxf>
      <numFmt numFmtId="0" formatCode="General"/>
      <fill>
        <patternFill patternType="solid">
          <fgColor indexed="64"/>
          <bgColor theme="8" tint="0.79998168889431442"/>
        </patternFill>
      </fill>
    </dxf>
    <dxf>
      <numFmt numFmtId="0" formatCode="General"/>
      <fill>
        <patternFill patternType="solid">
          <fgColor indexed="64"/>
          <bgColor theme="8" tint="0.79998168889431442"/>
        </patternFill>
      </fill>
    </dxf>
    <dxf>
      <numFmt numFmtId="0" formatCode="General"/>
      <fill>
        <patternFill patternType="solid">
          <fgColor indexed="64"/>
          <bgColor theme="8" tint="0.79998168889431442"/>
        </patternFill>
      </fill>
    </dxf>
    <dxf>
      <numFmt numFmtId="0" formatCode="General"/>
      <fill>
        <patternFill patternType="solid">
          <fgColor indexed="64"/>
          <bgColor theme="8" tint="0.79998168889431442"/>
        </patternFill>
      </fill>
    </dxf>
    <dxf>
      <numFmt numFmtId="0" formatCode="General"/>
      <fill>
        <patternFill patternType="solid">
          <fgColor indexed="64"/>
          <bgColor theme="8" tint="0.79998168889431442"/>
        </patternFill>
      </fill>
    </dxf>
    <dxf>
      <numFmt numFmtId="0" formatCode="General"/>
      <fill>
        <patternFill patternType="solid">
          <fgColor indexed="64"/>
          <bgColor theme="8" tint="0.79998168889431442"/>
        </patternFill>
      </fill>
    </dxf>
    <dxf>
      <numFmt numFmtId="0" formatCode="General"/>
      <fill>
        <patternFill patternType="solid">
          <fgColor indexed="64"/>
          <bgColor theme="8" tint="0.79998168889431442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  <fill>
        <patternFill patternType="solid">
          <fgColor indexed="64"/>
          <bgColor theme="8" tint="0.79998168889431442"/>
        </patternFill>
      </fill>
      <border diagonalUp="0" diagonalDown="0" outline="0">
        <left/>
        <right style="medium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theme="8" tint="0.79998168889431442"/>
        </patternFill>
      </fill>
    </dxf>
    <dxf>
      <numFmt numFmtId="0" formatCode="General"/>
      <fill>
        <patternFill patternType="solid">
          <fgColor indexed="64"/>
          <bgColor theme="8" tint="0.79998168889431442"/>
        </patternFill>
      </fill>
    </dxf>
    <dxf>
      <numFmt numFmtId="0" formatCode="General"/>
      <fill>
        <patternFill patternType="solid">
          <fgColor indexed="64"/>
          <bgColor theme="8" tint="0.79998168889431442"/>
        </patternFill>
      </fill>
    </dxf>
    <dxf>
      <numFmt numFmtId="0" formatCode="General"/>
      <fill>
        <patternFill patternType="solid">
          <fgColor indexed="64"/>
          <bgColor theme="8" tint="0.79998168889431442"/>
        </patternFill>
      </fill>
    </dxf>
    <dxf>
      <numFmt numFmtId="0" formatCode="General"/>
      <fill>
        <patternFill patternType="solid">
          <fgColor indexed="64"/>
          <bgColor theme="8" tint="0.79998168889431442"/>
        </patternFill>
      </fill>
    </dxf>
    <dxf>
      <numFmt numFmtId="0" formatCode="General"/>
      <fill>
        <patternFill patternType="solid">
          <fgColor indexed="64"/>
          <bgColor theme="8" tint="0.79998168889431442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  <fill>
        <patternFill patternType="solid">
          <fgColor indexed="64"/>
          <bgColor theme="8" tint="0.79998168889431442"/>
        </patternFill>
      </fill>
      <border diagonalUp="0" diagonalDown="0" outline="0">
        <left/>
        <right style="medium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theme="8" tint="0.79998168889431442"/>
        </patternFill>
      </fill>
    </dxf>
    <dxf>
      <numFmt numFmtId="0" formatCode="General"/>
      <fill>
        <patternFill patternType="solid">
          <fgColor indexed="64"/>
          <bgColor theme="8" tint="0.79998168889431442"/>
        </patternFill>
      </fill>
    </dxf>
    <dxf>
      <numFmt numFmtId="0" formatCode="General"/>
      <fill>
        <patternFill patternType="solid">
          <fgColor indexed="64"/>
          <bgColor theme="8" tint="0.79998168889431442"/>
        </patternFill>
      </fill>
    </dxf>
    <dxf>
      <numFmt numFmtId="0" formatCode="General"/>
      <fill>
        <patternFill patternType="solid">
          <fgColor indexed="64"/>
          <bgColor theme="8" tint="0.79998168889431442"/>
        </patternFill>
      </fill>
    </dxf>
    <dxf>
      <numFmt numFmtId="0" formatCode="General"/>
      <fill>
        <patternFill patternType="solid">
          <fgColor indexed="64"/>
          <bgColor theme="8" tint="0.79998168889431442"/>
        </patternFill>
      </fill>
    </dxf>
    <dxf>
      <numFmt numFmtId="0" formatCode="General"/>
      <fill>
        <patternFill patternType="solid">
          <fgColor indexed="64"/>
          <bgColor theme="8" tint="0.79998168889431442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outline="0">
        <left/>
        <right style="medium">
          <color indexed="64"/>
        </right>
      </border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outline="0">
        <left style="medium">
          <color indexed="64"/>
        </left>
        <right/>
      </border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 outline="0">
        <left style="medium">
          <color indexed="64"/>
        </left>
        <right/>
        <top/>
        <bottom/>
      </border>
    </dxf>
    <dxf>
      <numFmt numFmtId="30" formatCode="@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30" formatCode="@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30" formatCode="@"/>
      <alignment horizontal="left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numFmt numFmtId="30" formatCode="@"/>
    </dxf>
    <dxf>
      <numFmt numFmtId="30" formatCode="@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30" formatCode="@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30" formatCode="@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30" formatCode="@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30" formatCode="@"/>
      <border diagonalUp="0" diagonalDown="0">
        <left/>
        <right style="medium">
          <color indexed="64"/>
        </right>
        <top/>
        <bottom/>
        <vertical/>
        <horizontal/>
      </border>
    </dxf>
    <dxf>
      <border outline="0">
        <right style="medium">
          <color indexed="64"/>
        </right>
      </border>
    </dxf>
    <dxf>
      <numFmt numFmtId="30" formatCode="@"/>
      <fill>
        <patternFill patternType="solid">
          <fgColor indexed="64"/>
          <bgColor rgb="FFF8CBFF"/>
        </patternFill>
      </fill>
    </dxf>
  </dxfs>
  <tableStyles count="0" defaultTableStyle="TableStyleMedium2" defaultPivotStyle="PivotStyleLight16"/>
  <colors>
    <mruColors>
      <color rgb="FFC326E2"/>
      <color rgb="FF0D20A1"/>
      <color rgb="FF1883B8"/>
      <color rgb="FF17A2A9"/>
      <color rgb="FFFF99CC"/>
      <color rgb="FFFF33CC"/>
      <color rgb="FFF8CBFF"/>
      <color rgb="FFAE2828"/>
      <color rgb="FF006400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123265</xdr:colOff>
      <xdr:row>0</xdr:row>
      <xdr:rowOff>504265</xdr:rowOff>
    </xdr:from>
    <xdr:to>
      <xdr:col>30</xdr:col>
      <xdr:colOff>0</xdr:colOff>
      <xdr:row>8</xdr:row>
      <xdr:rowOff>0</xdr:rowOff>
    </xdr:to>
    <xdr:sp macro="" textlink="">
      <xdr:nvSpPr>
        <xdr:cNvPr id="2" name="Tekstiruutu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5573375" y="504265"/>
          <a:ext cx="0" cy="6079191"/>
        </a:xfrm>
        <a:prstGeom prst="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2700000" scaled="1"/>
          <a:tileRect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i-FI" sz="2400"/>
            <a:t>Hiekkalaatikko</a:t>
          </a:r>
        </a:p>
        <a:p>
          <a:r>
            <a:rPr lang="fi-FI" sz="1100"/>
            <a:t>Tässä laatikossa on asioita, jotka</a:t>
          </a:r>
          <a:r>
            <a:rPr lang="fi-FI" sz="1100" baseline="0"/>
            <a:t> ovat vielä työn alla. Ne siirtyvät täältä pois sitä mukaa kun toimivat. Näiden käyttöä ei voi suositella jos ei tiedä mitä ne tekevät. :)</a:t>
          </a:r>
          <a:endParaRPr lang="fi-FI" sz="1100"/>
        </a:p>
      </xdr:txBody>
    </xdr:sp>
    <xdr:clientData/>
  </xdr:twoCellAnchor>
  <xdr:twoCellAnchor>
    <xdr:from>
      <xdr:col>1</xdr:col>
      <xdr:colOff>444729</xdr:colOff>
      <xdr:row>1</xdr:row>
      <xdr:rowOff>95059</xdr:rowOff>
    </xdr:from>
    <xdr:to>
      <xdr:col>4</xdr:col>
      <xdr:colOff>27058</xdr:colOff>
      <xdr:row>1</xdr:row>
      <xdr:rowOff>491299</xdr:rowOff>
    </xdr:to>
    <xdr:sp macro="[0]!liita_pienet" textlink="">
      <xdr:nvSpPr>
        <xdr:cNvPr id="4" name="Rectangle 4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800641" y="1047559"/>
          <a:ext cx="1487329" cy="396240"/>
        </a:xfrm>
        <a:prstGeom prst="rect">
          <a:avLst/>
        </a:prstGeom>
        <a:gradFill flip="none" rotWithShape="1">
          <a:gsLst>
            <a:gs pos="2000">
              <a:schemeClr val="bg2">
                <a:lumMod val="25000"/>
              </a:schemeClr>
            </a:gs>
            <a:gs pos="96000">
              <a:schemeClr val="bg2">
                <a:lumMod val="50000"/>
              </a:schemeClr>
            </a:gs>
          </a:gsLst>
          <a:lin ang="5400000" scaled="1"/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Liitä Titania 2</a:t>
          </a:r>
        </a:p>
      </xdr:txBody>
    </xdr:sp>
    <xdr:clientData/>
  </xdr:twoCellAnchor>
  <xdr:twoCellAnchor>
    <xdr:from>
      <xdr:col>4</xdr:col>
      <xdr:colOff>169202</xdr:colOff>
      <xdr:row>1</xdr:row>
      <xdr:rowOff>1130671</xdr:rowOff>
    </xdr:from>
    <xdr:to>
      <xdr:col>6</xdr:col>
      <xdr:colOff>389480</xdr:colOff>
      <xdr:row>1</xdr:row>
      <xdr:rowOff>1530721</xdr:rowOff>
    </xdr:to>
    <xdr:sp macro="[0]!vk3_tulostus" textlink="">
      <xdr:nvSpPr>
        <xdr:cNvPr id="5" name="Rectangle 4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394095" y="1811028"/>
          <a:ext cx="1444921" cy="400050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Tulosta vk3</a:t>
          </a:r>
        </a:p>
      </xdr:txBody>
    </xdr:sp>
    <xdr:clientData/>
  </xdr:twoCellAnchor>
  <xdr:twoCellAnchor>
    <xdr:from>
      <xdr:col>0</xdr:col>
      <xdr:colOff>179164</xdr:colOff>
      <xdr:row>1</xdr:row>
      <xdr:rowOff>628719</xdr:rowOff>
    </xdr:from>
    <xdr:to>
      <xdr:col>1</xdr:col>
      <xdr:colOff>268941</xdr:colOff>
      <xdr:row>1</xdr:row>
      <xdr:rowOff>1735007</xdr:rowOff>
    </xdr:to>
    <xdr:sp macro="[0]!uudetListat" textlink="">
      <xdr:nvSpPr>
        <xdr:cNvPr id="6" name="Rectangle 4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79164" y="1581219"/>
          <a:ext cx="1445689" cy="1106288"/>
        </a:xfrm>
        <a:prstGeom prst="rect">
          <a:avLst/>
        </a:prstGeom>
        <a:gradFill flip="none" rotWithShape="1">
          <a:gsLst>
            <a:gs pos="2000">
              <a:schemeClr val="accent4">
                <a:lumMod val="75000"/>
              </a:schemeClr>
            </a:gs>
            <a:gs pos="96000">
              <a:schemeClr val="accent4">
                <a:lumMod val="50000"/>
              </a:schemeClr>
            </a:gs>
          </a:gsLst>
          <a:lin ang="5400000" scaled="1"/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Luo uudet listat</a:t>
          </a:r>
        </a:p>
      </xdr:txBody>
    </xdr:sp>
    <xdr:clientData/>
  </xdr:twoCellAnchor>
  <xdr:twoCellAnchor>
    <xdr:from>
      <xdr:col>4</xdr:col>
      <xdr:colOff>171290</xdr:colOff>
      <xdr:row>1</xdr:row>
      <xdr:rowOff>614724</xdr:rowOff>
    </xdr:from>
    <xdr:to>
      <xdr:col>6</xdr:col>
      <xdr:colOff>373143</xdr:colOff>
      <xdr:row>1</xdr:row>
      <xdr:rowOff>1014774</xdr:rowOff>
    </xdr:to>
    <xdr:sp macro="[0]!vk2_tulostus" textlink="">
      <xdr:nvSpPr>
        <xdr:cNvPr id="7" name="Rectangle 4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396183" y="1295081"/>
          <a:ext cx="1426496" cy="400050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Tulosta vk2</a:t>
          </a:r>
        </a:p>
      </xdr:txBody>
    </xdr:sp>
    <xdr:clientData/>
  </xdr:twoCellAnchor>
  <xdr:twoCellAnchor>
    <xdr:from>
      <xdr:col>4</xdr:col>
      <xdr:colOff>171290</xdr:colOff>
      <xdr:row>1</xdr:row>
      <xdr:rowOff>100055</xdr:rowOff>
    </xdr:from>
    <xdr:to>
      <xdr:col>6</xdr:col>
      <xdr:colOff>373143</xdr:colOff>
      <xdr:row>1</xdr:row>
      <xdr:rowOff>500105</xdr:rowOff>
    </xdr:to>
    <xdr:sp macro="[0]!vk1_tulostus" textlink="">
      <xdr:nvSpPr>
        <xdr:cNvPr id="8" name="Rectangle 44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396183" y="780412"/>
          <a:ext cx="1426496" cy="400050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Tulosta vk1</a:t>
          </a:r>
        </a:p>
      </xdr:txBody>
    </xdr:sp>
    <xdr:clientData/>
  </xdr:twoCellAnchor>
  <xdr:twoCellAnchor>
    <xdr:from>
      <xdr:col>11</xdr:col>
      <xdr:colOff>526676</xdr:colOff>
      <xdr:row>1</xdr:row>
      <xdr:rowOff>97756</xdr:rowOff>
    </xdr:from>
    <xdr:to>
      <xdr:col>23</xdr:col>
      <xdr:colOff>561227</xdr:colOff>
      <xdr:row>2</xdr:row>
      <xdr:rowOff>65859</xdr:rowOff>
    </xdr:to>
    <xdr:grpSp>
      <xdr:nvGrpSpPr>
        <xdr:cNvPr id="21" name="Ryhmä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8247529" y="702874"/>
          <a:ext cx="7408022" cy="3318661"/>
          <a:chOff x="7897840" y="1043836"/>
          <a:chExt cx="7706964" cy="3324531"/>
        </a:xfrm>
      </xdr:grpSpPr>
      <xdr:pic macro="[0]!tapionollaus">
        <xdr:nvPicPr>
          <xdr:cNvPr id="3" name="Kuva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8920"/>
          <a:stretch/>
        </xdr:blipFill>
        <xdr:spPr>
          <a:xfrm>
            <a:off x="13191473" y="1235639"/>
            <a:ext cx="2413331" cy="3132728"/>
          </a:xfrm>
          <a:prstGeom prst="rect">
            <a:avLst/>
          </a:prstGeom>
        </xdr:spPr>
      </xdr:pic>
      <xdr:sp macro="" textlink="">
        <xdr:nvSpPr>
          <xdr:cNvPr id="9" name="Ajatuskupla: Pilvi 10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7897840" y="1043836"/>
            <a:ext cx="5103133" cy="3110630"/>
          </a:xfrm>
          <a:prstGeom prst="cloudCallout">
            <a:avLst>
              <a:gd name="adj1" fmla="val 65048"/>
              <a:gd name="adj2" fmla="val -27617"/>
            </a:avLst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i-FI" sz="1100"/>
          </a:p>
        </xdr:txBody>
      </xdr:sp>
    </xdr:grpSp>
    <xdr:clientData/>
  </xdr:twoCellAnchor>
  <xdr:twoCellAnchor>
    <xdr:from>
      <xdr:col>4</xdr:col>
      <xdr:colOff>163782</xdr:colOff>
      <xdr:row>1</xdr:row>
      <xdr:rowOff>1650964</xdr:rowOff>
    </xdr:from>
    <xdr:to>
      <xdr:col>6</xdr:col>
      <xdr:colOff>398914</xdr:colOff>
      <xdr:row>1</xdr:row>
      <xdr:rowOff>2117912</xdr:rowOff>
    </xdr:to>
    <xdr:sp macro="[0]!tulosta_lakanat" textlink="">
      <xdr:nvSpPr>
        <xdr:cNvPr id="13" name="Rectangle 4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424694" y="2603464"/>
          <a:ext cx="1445367" cy="466948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4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Tulosta</a:t>
          </a:r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 lakanat</a:t>
          </a:r>
        </a:p>
      </xdr:txBody>
    </xdr:sp>
    <xdr:clientData/>
  </xdr:twoCellAnchor>
  <xdr:twoCellAnchor>
    <xdr:from>
      <xdr:col>0</xdr:col>
      <xdr:colOff>185089</xdr:colOff>
      <xdr:row>1</xdr:row>
      <xdr:rowOff>95058</xdr:rowOff>
    </xdr:from>
    <xdr:to>
      <xdr:col>1</xdr:col>
      <xdr:colOff>273588</xdr:colOff>
      <xdr:row>1</xdr:row>
      <xdr:rowOff>491298</xdr:rowOff>
    </xdr:to>
    <xdr:sp macro="[0]!liita_isot" textlink="">
      <xdr:nvSpPr>
        <xdr:cNvPr id="17" name="Rectangle 44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85089" y="1047558"/>
          <a:ext cx="1444411" cy="396240"/>
        </a:xfrm>
        <a:prstGeom prst="rect">
          <a:avLst/>
        </a:prstGeom>
        <a:gradFill flip="none" rotWithShape="1">
          <a:gsLst>
            <a:gs pos="2000">
              <a:schemeClr val="bg2">
                <a:lumMod val="25000"/>
              </a:schemeClr>
            </a:gs>
            <a:gs pos="96000">
              <a:schemeClr val="bg2">
                <a:lumMod val="50000"/>
              </a:schemeClr>
            </a:gs>
          </a:gsLst>
          <a:lin ang="5400000" scaled="1"/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Liitä Titania</a:t>
          </a:r>
          <a: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 1</a:t>
          </a:r>
          <a:endParaRPr lang="fi-FI" sz="1600">
            <a:ln w="3175" cap="sq" cmpd="sng">
              <a:solidFill>
                <a:schemeClr val="tx1">
                  <a:alpha val="6000"/>
                </a:schemeClr>
              </a:solidFill>
              <a:miter lim="800000"/>
            </a:ln>
            <a:solidFill>
              <a:schemeClr val="lt1"/>
            </a:solidFill>
          </a:endParaRPr>
        </a:p>
      </xdr:txBody>
    </xdr:sp>
    <xdr:clientData/>
  </xdr:twoCellAnchor>
  <xdr:twoCellAnchor>
    <xdr:from>
      <xdr:col>25</xdr:col>
      <xdr:colOff>421341</xdr:colOff>
      <xdr:row>1</xdr:row>
      <xdr:rowOff>2359959</xdr:rowOff>
    </xdr:from>
    <xdr:to>
      <xdr:col>28</xdr:col>
      <xdr:colOff>111727</xdr:colOff>
      <xdr:row>6</xdr:row>
      <xdr:rowOff>227479</xdr:rowOff>
    </xdr:to>
    <xdr:sp macro="" textlink="">
      <xdr:nvSpPr>
        <xdr:cNvPr id="18" name="Rectangle 44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5573375" y="3045759"/>
          <a:ext cx="0" cy="496420"/>
        </a:xfrm>
        <a:prstGeom prst="rect">
          <a:avLst/>
        </a:prstGeom>
        <a:gradFill flip="none" rotWithShape="1">
          <a:gsLst>
            <a:gs pos="2000">
              <a:schemeClr val="bg2">
                <a:lumMod val="25000"/>
              </a:schemeClr>
            </a:gs>
            <a:gs pos="96000">
              <a:schemeClr val="bg2">
                <a:lumMod val="50000"/>
              </a:schemeClr>
            </a:gs>
          </a:gsLst>
          <a:lin ang="5400000" scaled="1"/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Liitä TAP</a:t>
          </a:r>
        </a:p>
      </xdr:txBody>
    </xdr:sp>
    <xdr:clientData/>
  </xdr:twoCellAnchor>
  <xdr:twoCellAnchor>
    <xdr:from>
      <xdr:col>13</xdr:col>
      <xdr:colOff>606666</xdr:colOff>
      <xdr:row>2</xdr:row>
      <xdr:rowOff>10101</xdr:rowOff>
    </xdr:from>
    <xdr:to>
      <xdr:col>17</xdr:col>
      <xdr:colOff>95388</xdr:colOff>
      <xdr:row>6</xdr:row>
      <xdr:rowOff>287351</xdr:rowOff>
    </xdr:to>
    <xdr:sp macro="[0]!avustaja" textlink="">
      <xdr:nvSpPr>
        <xdr:cNvPr id="19" name="Rectangle 44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9448107" y="4313160"/>
          <a:ext cx="2077281" cy="478956"/>
        </a:xfrm>
        <a:prstGeom prst="rect">
          <a:avLst/>
        </a:prstGeom>
        <a:gradFill flip="none" rotWithShape="1">
          <a:gsLst>
            <a:gs pos="2000">
              <a:schemeClr val="accent1">
                <a:lumMod val="75000"/>
              </a:schemeClr>
            </a:gs>
            <a:gs pos="96000">
              <a:schemeClr val="accent5">
                <a:lumMod val="60000"/>
                <a:lumOff val="40000"/>
              </a:schemeClr>
            </a:gs>
          </a:gsLst>
          <a:lin ang="5400000" scaled="1"/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Kerro uusi vinkki</a:t>
          </a:r>
        </a:p>
      </xdr:txBody>
    </xdr:sp>
    <xdr:clientData/>
  </xdr:twoCellAnchor>
  <xdr:twoCellAnchor>
    <xdr:from>
      <xdr:col>1</xdr:col>
      <xdr:colOff>437029</xdr:colOff>
      <xdr:row>1</xdr:row>
      <xdr:rowOff>628138</xdr:rowOff>
    </xdr:from>
    <xdr:to>
      <xdr:col>4</xdr:col>
      <xdr:colOff>18600</xdr:colOff>
      <xdr:row>1</xdr:row>
      <xdr:rowOff>1725705</xdr:rowOff>
    </xdr:to>
    <xdr:sp macro="[0]!Päivitä" textlink="">
      <xdr:nvSpPr>
        <xdr:cNvPr id="20" name="Rectangle 44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792941" y="1580638"/>
          <a:ext cx="1486571" cy="1097567"/>
        </a:xfrm>
        <a:prstGeom prst="rect">
          <a:avLst/>
        </a:prstGeom>
        <a:gradFill flip="none" rotWithShape="1">
          <a:gsLst>
            <a:gs pos="0">
              <a:schemeClr val="accent1">
                <a:lumMod val="60000"/>
                <a:lumOff val="40000"/>
                <a:shade val="30000"/>
                <a:satMod val="115000"/>
              </a:schemeClr>
            </a:gs>
            <a:gs pos="50000">
              <a:schemeClr val="accent1">
                <a:lumMod val="60000"/>
                <a:lumOff val="40000"/>
                <a:shade val="67500"/>
                <a:satMod val="115000"/>
              </a:schemeClr>
            </a:gs>
            <a:gs pos="100000">
              <a:schemeClr val="accent1">
                <a:lumMod val="60000"/>
                <a:lumOff val="40000"/>
                <a:shade val="100000"/>
                <a:satMod val="115000"/>
              </a:schemeClr>
            </a:gs>
          </a:gsLst>
          <a:lin ang="5400000" scaled="1"/>
          <a:tileRect/>
        </a:gra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Päivitä</a:t>
          </a:r>
          <a:endParaRPr lang="fi-FI" sz="1600" baseline="0">
            <a:ln w="3175" cap="sq" cmpd="sng">
              <a:solidFill>
                <a:schemeClr val="tx1">
                  <a:alpha val="6000"/>
                </a:schemeClr>
              </a:solidFill>
              <a:miter lim="800000"/>
            </a:ln>
            <a:solidFill>
              <a:schemeClr val="lt1"/>
            </a:solidFill>
          </a:endParaRPr>
        </a:p>
        <a:p>
          <a:pPr algn="ctr"/>
          <a: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työntekijät ja ateriat</a:t>
          </a:r>
          <a:endParaRPr lang="fi-FI" sz="1600">
            <a:ln w="3175" cap="sq" cmpd="sng">
              <a:solidFill>
                <a:schemeClr val="tx1">
                  <a:alpha val="6000"/>
                </a:schemeClr>
              </a:solidFill>
              <a:miter lim="800000"/>
            </a:ln>
            <a:solidFill>
              <a:schemeClr val="lt1"/>
            </a:solidFill>
          </a:endParaRPr>
        </a:p>
      </xdr:txBody>
    </xdr:sp>
    <xdr:clientData/>
  </xdr:twoCellAnchor>
  <xdr:twoCellAnchor>
    <xdr:from>
      <xdr:col>6</xdr:col>
      <xdr:colOff>552898</xdr:colOff>
      <xdr:row>1</xdr:row>
      <xdr:rowOff>1142675</xdr:rowOff>
    </xdr:from>
    <xdr:to>
      <xdr:col>9</xdr:col>
      <xdr:colOff>44823</xdr:colOff>
      <xdr:row>1</xdr:row>
      <xdr:rowOff>1550345</xdr:rowOff>
    </xdr:to>
    <xdr:sp macro="[0]!vk3_näytä" textlink="">
      <xdr:nvSpPr>
        <xdr:cNvPr id="22" name="Rectangle 44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5024045" y="2095175"/>
          <a:ext cx="1408131" cy="4076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Näytä vk3</a:t>
          </a:r>
        </a:p>
      </xdr:txBody>
    </xdr:sp>
    <xdr:clientData/>
  </xdr:twoCellAnchor>
  <xdr:twoCellAnchor>
    <xdr:from>
      <xdr:col>6</xdr:col>
      <xdr:colOff>551176</xdr:colOff>
      <xdr:row>1</xdr:row>
      <xdr:rowOff>636253</xdr:rowOff>
    </xdr:from>
    <xdr:to>
      <xdr:col>9</xdr:col>
      <xdr:colOff>39438</xdr:colOff>
      <xdr:row>1</xdr:row>
      <xdr:rowOff>1026778</xdr:rowOff>
    </xdr:to>
    <xdr:sp macro="[0]!vk2_näytä" textlink="">
      <xdr:nvSpPr>
        <xdr:cNvPr id="23" name="Rectangle 44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5022323" y="1588753"/>
          <a:ext cx="1404468" cy="39052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Näytä vk2</a:t>
          </a:r>
        </a:p>
      </xdr:txBody>
    </xdr:sp>
    <xdr:clientData/>
  </xdr:twoCellAnchor>
  <xdr:twoCellAnchor>
    <xdr:from>
      <xdr:col>6</xdr:col>
      <xdr:colOff>551176</xdr:colOff>
      <xdr:row>1</xdr:row>
      <xdr:rowOff>112059</xdr:rowOff>
    </xdr:from>
    <xdr:to>
      <xdr:col>9</xdr:col>
      <xdr:colOff>39438</xdr:colOff>
      <xdr:row>1</xdr:row>
      <xdr:rowOff>521634</xdr:rowOff>
    </xdr:to>
    <xdr:sp macro="[0]!vk1_näytä" textlink="">
      <xdr:nvSpPr>
        <xdr:cNvPr id="24" name="Rectangle 44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5022323" y="1064559"/>
          <a:ext cx="1404468" cy="4095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Näytä vk1</a:t>
          </a:r>
        </a:p>
      </xdr:txBody>
    </xdr:sp>
    <xdr:clientData/>
  </xdr:twoCellAnchor>
  <xdr:twoCellAnchor>
    <xdr:from>
      <xdr:col>9</xdr:col>
      <xdr:colOff>198301</xdr:colOff>
      <xdr:row>1</xdr:row>
      <xdr:rowOff>115644</xdr:rowOff>
    </xdr:from>
    <xdr:to>
      <xdr:col>12</xdr:col>
      <xdr:colOff>259639</xdr:colOff>
      <xdr:row>1</xdr:row>
      <xdr:rowOff>806823</xdr:rowOff>
    </xdr:to>
    <xdr:sp macro="[0]!näytä_varahenkilöt" textlink="">
      <xdr:nvSpPr>
        <xdr:cNvPr id="14" name="Rectangle 44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585654" y="1068144"/>
          <a:ext cx="1876691" cy="691179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6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Näytä varahenkilöt</a:t>
          </a:r>
          <a:r>
            <a:rPr lang="fi-FI" sz="160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lt1"/>
              </a:solidFill>
            </a:rPr>
            <a:t> ja yököt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948690</xdr:colOff>
      <xdr:row>1</xdr:row>
      <xdr:rowOff>1343</xdr:rowOff>
    </xdr:to>
    <xdr:pic>
      <xdr:nvPicPr>
        <xdr:cNvPr id="25" name="Kuva 2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29640" cy="590127"/>
        </a:xfrm>
        <a:prstGeom prst="rect">
          <a:avLst/>
        </a:prstGeom>
      </xdr:spPr>
    </xdr:pic>
    <xdr:clientData/>
  </xdr:twoCellAnchor>
  <xdr:twoCellAnchor>
    <xdr:from>
      <xdr:col>14</xdr:col>
      <xdr:colOff>131444</xdr:colOff>
      <xdr:row>0</xdr:row>
      <xdr:rowOff>0</xdr:rowOff>
    </xdr:from>
    <xdr:to>
      <xdr:col>16</xdr:col>
      <xdr:colOff>238124</xdr:colOff>
      <xdr:row>0</xdr:row>
      <xdr:rowOff>586740</xdr:rowOff>
    </xdr:to>
    <xdr:sp macro="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9646919" y="0"/>
          <a:ext cx="1440180" cy="586740"/>
        </a:xfrm>
        <a:prstGeom prst="roundRect">
          <a:avLst/>
        </a:prstGeom>
        <a:gradFill flip="none" rotWithShape="1">
          <a:gsLst>
            <a:gs pos="0">
              <a:schemeClr val="tx1"/>
            </a:gs>
            <a:gs pos="100000">
              <a:schemeClr val="tx1">
                <a:lumMod val="65000"/>
                <a:lumOff val="35000"/>
              </a:schemeClr>
            </a:gs>
          </a:gsLst>
          <a:lin ang="5400000" scaled="1"/>
          <a:tileRect/>
        </a:gradFill>
        <a:ln w="38100"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2000" b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Ohjeet</a:t>
          </a:r>
        </a:p>
      </xdr:txBody>
    </xdr:sp>
    <xdr:clientData/>
  </xdr:twoCellAnchor>
  <xdr:twoCellAnchor>
    <xdr:from>
      <xdr:col>5</xdr:col>
      <xdr:colOff>125170</xdr:colOff>
      <xdr:row>2</xdr:row>
      <xdr:rowOff>112059</xdr:rowOff>
    </xdr:from>
    <xdr:to>
      <xdr:col>9</xdr:col>
      <xdr:colOff>59616</xdr:colOff>
      <xdr:row>8</xdr:row>
      <xdr:rowOff>207197</xdr:rowOff>
    </xdr:to>
    <xdr:sp macro="[0]!export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237729" y="4067735"/>
          <a:ext cx="2455769" cy="1126080"/>
        </a:xfrm>
        <a:prstGeom prst="roundRect">
          <a:avLst/>
        </a:prstGeom>
        <a:ln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i-FI" sz="1400" b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Varmuuskopioi</a:t>
          </a:r>
          <a:r>
            <a:rPr lang="fi-FI" sz="1400" b="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 tiedot data-tiedostoon</a:t>
          </a:r>
          <a:endParaRPr lang="en-US" sz="1400" b="0">
            <a:ln w="3175" cap="sq" cmpd="sng">
              <a:solidFill>
                <a:schemeClr val="tx1">
                  <a:alpha val="6000"/>
                </a:schemeClr>
              </a:solidFill>
              <a:miter lim="800000"/>
            </a:ln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  <xdr:twoCellAnchor>
    <xdr:from>
      <xdr:col>9</xdr:col>
      <xdr:colOff>169768</xdr:colOff>
      <xdr:row>2</xdr:row>
      <xdr:rowOff>112059</xdr:rowOff>
    </xdr:from>
    <xdr:to>
      <xdr:col>13</xdr:col>
      <xdr:colOff>504264</xdr:colOff>
      <xdr:row>8</xdr:row>
      <xdr:rowOff>209102</xdr:rowOff>
    </xdr:to>
    <xdr:sp macro="[0]!impor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803650" y="4067735"/>
          <a:ext cx="2788585" cy="1127985"/>
        </a:xfrm>
        <a:prstGeom prst="roundRect">
          <a:avLst/>
        </a:prstGeom>
        <a:ln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400" b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Korvaa ohjelman tiedot varmuuskopiosta</a:t>
          </a:r>
          <a:r>
            <a:rPr lang="en-US" sz="1400" b="0" baseline="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 löytyvillä tiedoilla</a:t>
          </a:r>
          <a:endParaRPr lang="en-US" sz="1400" b="0">
            <a:ln w="3175" cap="sq" cmpd="sng">
              <a:solidFill>
                <a:schemeClr val="tx1">
                  <a:alpha val="6000"/>
                </a:schemeClr>
              </a:solidFill>
              <a:miter lim="800000"/>
            </a:ln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  <xdr:twoCellAnchor>
    <xdr:from>
      <xdr:col>2</xdr:col>
      <xdr:colOff>392206</xdr:colOff>
      <xdr:row>123</xdr:row>
      <xdr:rowOff>481853</xdr:rowOff>
    </xdr:from>
    <xdr:to>
      <xdr:col>7</xdr:col>
      <xdr:colOff>78441</xdr:colOff>
      <xdr:row>126</xdr:row>
      <xdr:rowOff>425824</xdr:rowOff>
    </xdr:to>
    <xdr:sp macro="[0]!PoistaData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8720F146-32EA-7288-593F-C7A6AB4F4E76}"/>
            </a:ext>
          </a:extLst>
        </xdr:cNvPr>
        <xdr:cNvSpPr/>
      </xdr:nvSpPr>
      <xdr:spPr>
        <a:xfrm>
          <a:off x="2375647" y="61027235"/>
          <a:ext cx="2924735" cy="1456765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20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accent1">
                  <a:lumMod val="7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</a:rPr>
            <a:t>Poista kaikki data</a:t>
          </a:r>
          <a:br>
            <a:rPr lang="en-US" sz="20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accent1">
                  <a:lumMod val="7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</a:rPr>
          </a:br>
          <a:r>
            <a:rPr lang="en-US" sz="20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accent1">
                  <a:lumMod val="7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</a:rPr>
            <a:t>(älä paina </a:t>
          </a:r>
          <a:r>
            <a:rPr lang="fi-FI" sz="2000">
              <a:ln w="3175" cap="sq" cmpd="sng">
                <a:solidFill>
                  <a:schemeClr val="tx1">
                    <a:alpha val="6000"/>
                  </a:schemeClr>
                </a:solidFill>
                <a:miter lim="800000"/>
              </a:ln>
              <a:solidFill>
                <a:schemeClr val="accent1">
                  <a:lumMod val="7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</a:rPr>
            <a:t>😁)</a:t>
          </a:r>
          <a:endParaRPr lang="en-US" sz="2000">
            <a:ln w="3175" cap="sq" cmpd="sng">
              <a:solidFill>
                <a:schemeClr val="tx1">
                  <a:alpha val="6000"/>
                </a:schemeClr>
              </a:solidFill>
              <a:miter lim="800000"/>
            </a:ln>
            <a:solidFill>
              <a:schemeClr val="accent1">
                <a:lumMod val="75000"/>
              </a:schemeClr>
            </a:solidFill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914400</xdr:colOff>
      <xdr:row>1</xdr:row>
      <xdr:rowOff>1399</xdr:rowOff>
    </xdr:to>
    <xdr:pic>
      <xdr:nvPicPr>
        <xdr:cNvPr id="3" name="Kuva 2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14400" cy="60147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462473</xdr:colOff>
      <xdr:row>1</xdr:row>
      <xdr:rowOff>3221</xdr:rowOff>
    </xdr:to>
    <xdr:pic>
      <xdr:nvPicPr>
        <xdr:cNvPr id="3" name="Kuva 25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12495" cy="60528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914911</xdr:colOff>
      <xdr:row>1</xdr:row>
      <xdr:rowOff>19731</xdr:rowOff>
    </xdr:to>
    <xdr:pic>
      <xdr:nvPicPr>
        <xdr:cNvPr id="4" name="Kuva 25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14911" cy="60647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914400</xdr:colOff>
      <xdr:row>0</xdr:row>
      <xdr:rowOff>593937</xdr:rowOff>
    </xdr:to>
    <xdr:pic>
      <xdr:nvPicPr>
        <xdr:cNvPr id="3" name="Kuva 25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14400" cy="59965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914911</xdr:colOff>
      <xdr:row>1</xdr:row>
      <xdr:rowOff>20191</xdr:rowOff>
    </xdr:to>
    <xdr:pic>
      <xdr:nvPicPr>
        <xdr:cNvPr id="3" name="Kuva 25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14911" cy="60883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62753</xdr:colOff>
      <xdr:row>1</xdr:row>
      <xdr:rowOff>98612</xdr:rowOff>
    </xdr:from>
    <xdr:to>
      <xdr:col>23</xdr:col>
      <xdr:colOff>460674</xdr:colOff>
      <xdr:row>3</xdr:row>
      <xdr:rowOff>182640</xdr:rowOff>
    </xdr:to>
    <xdr:pic>
      <xdr:nvPicPr>
        <xdr:cNvPr id="2" name="Kuva 1"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67412" y="510988"/>
          <a:ext cx="399826" cy="4491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219075</xdr:colOff>
      <xdr:row>0</xdr:row>
      <xdr:rowOff>85725</xdr:rowOff>
    </xdr:from>
    <xdr:to>
      <xdr:col>6</xdr:col>
      <xdr:colOff>626521</xdr:colOff>
      <xdr:row>0</xdr:row>
      <xdr:rowOff>550080</xdr:rowOff>
    </xdr:to>
    <xdr:pic>
      <xdr:nvPicPr>
        <xdr:cNvPr id="2" name="Kuva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24463" y="85725"/>
          <a:ext cx="397921" cy="4643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213360</xdr:colOff>
      <xdr:row>0</xdr:row>
      <xdr:rowOff>78377</xdr:rowOff>
    </xdr:from>
    <xdr:to>
      <xdr:col>6</xdr:col>
      <xdr:colOff>611281</xdr:colOff>
      <xdr:row>0</xdr:row>
      <xdr:rowOff>546542</xdr:rowOff>
    </xdr:to>
    <xdr:pic>
      <xdr:nvPicPr>
        <xdr:cNvPr id="2" name="Kuva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25143" y="78377"/>
          <a:ext cx="397921" cy="4643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195262</xdr:colOff>
      <xdr:row>0</xdr:row>
      <xdr:rowOff>90487</xdr:rowOff>
    </xdr:from>
    <xdr:to>
      <xdr:col>6</xdr:col>
      <xdr:colOff>593183</xdr:colOff>
      <xdr:row>0</xdr:row>
      <xdr:rowOff>554842</xdr:rowOff>
    </xdr:to>
    <xdr:pic>
      <xdr:nvPicPr>
        <xdr:cNvPr id="2" name="Kuva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0650" y="90487"/>
          <a:ext cx="397921" cy="4643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910181A-9995-44EC-9E23-CAC8655AABFD}" name="tbl_t_tyoaikakoonti" displayName="tbl_t_tyoaikakoonti" ref="A2:DJ3" insertRow="1" totalsRowShown="0" dataDxfId="267" tableBorderDxfId="266">
  <autoFilter ref="A2:DJ3" xr:uid="{C910181A-9995-44EC-9E23-CAC8655AABFD}"/>
  <tableColumns count="114">
    <tableColumn id="1" xr3:uid="{92628E7F-ED5B-4277-89D0-9255060F33DD}" name="Kutsumanimi" dataDxfId="265"/>
    <tableColumn id="2" xr3:uid="{B11117AF-3739-4140-AFE2-D367F83FF475}" name="Koko nimi" dataDxfId="264"/>
    <tableColumn id="4" xr3:uid="{B3763A5F-1EE7-4E2A-BB8C-63C14C86B128}" name="Ryhmä" dataDxfId="263"/>
    <tableColumn id="5" xr3:uid="{05A9C2DF-CEB8-4369-9DA1-9CA266D0D9D4}" name="Vastuullinen" dataDxfId="262"/>
    <tableColumn id="6" xr3:uid="{A595FFBF-35F7-4607-8B0D-5176849846AD}" name="Nimike" dataDxfId="261"/>
    <tableColumn id="7" xr3:uid="{04C309CD-4DA2-4803-9F20-148BDFC25A71}" name="Kiertopohja" dataDxfId="260"/>
    <tableColumn id="8" xr3:uid="{F700AFE5-D0A7-4FBD-BBBE-AE2855D454A1}" name="Prosentti" dataDxfId="259"/>
    <tableColumn id="9" xr3:uid="{95040CA6-1A84-47CE-9D0C-396182372E96}" name="Aktiivinen" dataDxfId="258"/>
    <tableColumn id="116" xr3:uid="{7FEAEA53-FA4F-440A-94A3-40CD5E006208}" name="Nimi työvuorolistassa" dataDxfId="257"/>
    <tableColumn id="10" xr3:uid="{E3CDE95E-9609-4F9F-AF00-7272AEE958C2}" name=".Iida Pasanen" dataDxfId="256">
      <calculatedColumnFormula array="1">_xlfn.XLOOKUP($B3,Isojen_lista!$A$1:'Isojen_lista'!$A$6440,Isojen_lista!B$1:'Isojen_lista'!B$6440,_xlfn.XLOOKUP($B3,Pienten_lista!$A$1:'Pienten_lista'!$A$4860,Pienten_lista!B$1:'Pienten_lista'!B$4860,"Ei oo"))</calculatedColumnFormula>
    </tableColumn>
    <tableColumn id="11" xr3:uid="{8FDCEEEC-AD3C-420F-BF40-7935705CBF8C}" name=" " dataDxfId="255">
      <calculatedColumnFormula array="1">_xlfn.XLOOKUP($B3,Isojen_lista!$A$1:'Isojen_lista'!$A$6440,Isojen_lista!C$1:'Isojen_lista'!C$6440,_xlfn.XLOOKUP($B3,Pienten_lista!$A$1:'Pienten_lista'!$A$4860,Pienten_lista!C$1:'Pienten_lista'!C$4860,"Ei oo"))</calculatedColumnFormula>
    </tableColumn>
    <tableColumn id="12" xr3:uid="{757253C3-6614-48FD-A4A3-10BD3E48D63A}" name="Sarake1" dataDxfId="254">
      <calculatedColumnFormula array="1">_xlfn.XLOOKUP($B3,Isojen_lista!$A$1:'Isojen_lista'!$A$6440,Isojen_lista!D$1:'Isojen_lista'!D$6440,_xlfn.XLOOKUP($B3,Pienten_lista!$A$1:'Pienten_lista'!$A$4860,Pienten_lista!D$1:'Pienten_lista'!D$4860,"Ei oo"))</calculatedColumnFormula>
    </tableColumn>
    <tableColumn id="13" xr3:uid="{D3CAFB7D-CAE7-4BC6-B9C8-FF36B427C389}" name="Sarake2" dataDxfId="253">
      <calculatedColumnFormula array="1">_xlfn.XLOOKUP($B3,Isojen_lista!$A$1:'Isojen_lista'!$A$6440,Isojen_lista!E$1:'Isojen_lista'!E$6440,_xlfn.XLOOKUP($B3,Pienten_lista!$A$1:'Pienten_lista'!$A$4860,Pienten_lista!E$1:'Pienten_lista'!E$4860,"Ei oo"))</calculatedColumnFormula>
    </tableColumn>
    <tableColumn id="14" xr3:uid="{F4B7B4DA-27CD-468D-A5BE-DB1E926D346E}" name="Sarake3" dataDxfId="252">
      <calculatedColumnFormula array="1">_xlfn.XLOOKUP($B3,Isojen_lista!$A$1:'Isojen_lista'!$A$6440,Isojen_lista!F$1:'Isojen_lista'!F$6440,_xlfn.XLOOKUP($B3,Pienten_lista!$A$1:'Pienten_lista'!$A$4860,Pienten_lista!F$1:'Pienten_lista'!F$4860,"Ei oo"))</calculatedColumnFormula>
    </tableColumn>
    <tableColumn id="15" xr3:uid="{A11B68A7-B3D8-41C7-A3DD-7B01CE279502}" name="Sarake4" dataDxfId="251">
      <calculatedColumnFormula array="1">_xlfn.XLOOKUP($B3,Isojen_lista!$A$1:'Isojen_lista'!$A$6440,Isojen_lista!G$1:'Isojen_lista'!G$6440,_xlfn.XLOOKUP($B3,Pienten_lista!$A$1:'Pienten_lista'!$A$4860,Pienten_lista!G$1:'Pienten_lista'!G$4860,"Ei oo"))</calculatedColumnFormula>
    </tableColumn>
    <tableColumn id="16" xr3:uid="{BA07CF5B-531A-47E2-ACDB-9E1FCFFB838D}" name="Sarake5" dataDxfId="250">
      <calculatedColumnFormula array="1">_xlfn.XLOOKUP($B3,Isojen_lista!$A$1:'Isojen_lista'!$A$6440,Isojen_lista!H$1:'Isojen_lista'!H$6440,_xlfn.XLOOKUP($B3,Pienten_lista!$A$1:'Pienten_lista'!$A$4860,Pienten_lista!H$1:'Pienten_lista'!H$4860,"Ei oo"))</calculatedColumnFormula>
    </tableColumn>
    <tableColumn id="17" xr3:uid="{5ADDD4B8-C550-40A6-BB9A-F45E69E8B8FE}" name="Sarake6" dataDxfId="249">
      <calculatedColumnFormula array="1">_xlfn.XLOOKUP($B3,Isojen_lista!$A$1:'Isojen_lista'!$A$6440,Isojen_lista!I$1:'Isojen_lista'!I$6440,_xlfn.XLOOKUP($B3,Pienten_lista!$A$1:'Pienten_lista'!$A$4860,Pienten_lista!I$1:'Pienten_lista'!I$4860,"Ei oo"))</calculatedColumnFormula>
    </tableColumn>
    <tableColumn id="18" xr3:uid="{223726FA-4B9E-4D52-BC5D-727A25935CE7}" name="Sarake7" dataDxfId="248">
      <calculatedColumnFormula array="1">_xlfn.XLOOKUP($B3,Isojen_lista!$A$1:'Isojen_lista'!$A$6440,Isojen_lista!J$1:'Isojen_lista'!J$6440,_xlfn.XLOOKUP($B3,Pienten_lista!$A$1:'Pienten_lista'!$A$4860,Pienten_lista!J$1:'Pienten_lista'!J$4860,"Ei oo"))</calculatedColumnFormula>
    </tableColumn>
    <tableColumn id="19" xr3:uid="{FE3AEDED-2799-42B0-BAB4-679A4E2EC6F4}" name="Sarake8" dataDxfId="247">
      <calculatedColumnFormula array="1">_xlfn.XLOOKUP($B3,Isojen_lista!$A$1:'Isojen_lista'!$A$6440,Isojen_lista!K$1:'Isojen_lista'!K$6440,_xlfn.XLOOKUP($B3,Pienten_lista!$A$1:'Pienten_lista'!$A$4860,Pienten_lista!K$1:'Pienten_lista'!K$4860,"Ei oo"))</calculatedColumnFormula>
    </tableColumn>
    <tableColumn id="20" xr3:uid="{3D40F9EE-E53A-4468-A221-C4E96AFD03CB}" name="Sarake9" dataDxfId="246">
      <calculatedColumnFormula array="1">_xlfn.XLOOKUP($B3,Isojen_lista!$A$1:'Isojen_lista'!$A$6440,Isojen_lista!L$1:'Isojen_lista'!L$6440,_xlfn.XLOOKUP($B3,Pienten_lista!$A$1:'Pienten_lista'!$A$4860,Pienten_lista!L$1:'Pienten_lista'!L$4860,"Ei oo"))</calculatedColumnFormula>
    </tableColumn>
    <tableColumn id="21" xr3:uid="{6FBF4F15-EFE3-41AF-8399-DEE8E49A216C}" name="Sarake10" dataDxfId="245">
      <calculatedColumnFormula array="1">_xlfn.XLOOKUP($B3,Isojen_lista!$A$1:'Isojen_lista'!$A$6440,Isojen_lista!M$1:'Isojen_lista'!M$6440,_xlfn.XLOOKUP($B3,Pienten_lista!$A$1:'Pienten_lista'!$A$4860,Pienten_lista!M$1:'Pienten_lista'!M$4860,"Ei oo"))</calculatedColumnFormula>
    </tableColumn>
    <tableColumn id="22" xr3:uid="{B5FDB025-5F47-407F-B236-4CA8E533FAB5}" name="Sarake11" dataDxfId="244">
      <calculatedColumnFormula array="1">_xlfn.XLOOKUP($B3,Isojen_lista!$A$1:'Isojen_lista'!$A$6440,Isojen_lista!N$1:'Isojen_lista'!N$6440,_xlfn.XLOOKUP($B3,Pienten_lista!$A$1:'Pienten_lista'!$A$4860,Pienten_lista!N$1:'Pienten_lista'!N$4860,"Ei oo"))</calculatedColumnFormula>
    </tableColumn>
    <tableColumn id="23" xr3:uid="{8477BE1D-2585-4599-A65A-583946035CF2}" name="Sarake12" dataDxfId="243">
      <calculatedColumnFormula array="1">_xlfn.XLOOKUP($B3,Isojen_lista!$A$1:'Isojen_lista'!$A$6440,Isojen_lista!O$1:'Isojen_lista'!O$6440,_xlfn.XLOOKUP($B3,Pienten_lista!$A$1:'Pienten_lista'!$A$4860,Pienten_lista!O$1:'Pienten_lista'!O$4860,"Ei oo"))</calculatedColumnFormula>
    </tableColumn>
    <tableColumn id="24" xr3:uid="{7C22C2FD-A500-4990-85E6-15A5ADF6DFF2}" name="Sarake13" dataDxfId="242">
      <calculatedColumnFormula array="1">_xlfn.XLOOKUP($B3,Isojen_lista!$A$1:'Isojen_lista'!$A$6440,Isojen_lista!P$1:'Isojen_lista'!P$6440,_xlfn.XLOOKUP($B3,Pienten_lista!$A$1:'Pienten_lista'!$A$4860,Pienten_lista!P$1:'Pienten_lista'!P$4860,"Ei oo"))</calculatedColumnFormula>
    </tableColumn>
    <tableColumn id="25" xr3:uid="{2D3860B9-894D-4DAB-9739-61D4BF41CE24}" name="Sarake14" dataDxfId="241">
      <calculatedColumnFormula array="1">_xlfn.XLOOKUP($B3,Isojen_lista!$A$1:'Isojen_lista'!$A$6440,Isojen_lista!Q$1:'Isojen_lista'!Q$6440,_xlfn.XLOOKUP($B3,Pienten_lista!$A$1:'Pienten_lista'!$A$4860,Pienten_lista!Q$1:'Pienten_lista'!Q$4860,"Ei oo"))</calculatedColumnFormula>
    </tableColumn>
    <tableColumn id="26" xr3:uid="{8489A67E-D90E-4A14-BA3B-E9B39EF08EA3}" name="Sarake15" dataDxfId="240">
      <calculatedColumnFormula array="1">_xlfn.XLOOKUP($B3,Isojen_lista!$A$1:'Isojen_lista'!$A$6440,Isojen_lista!R$1:'Isojen_lista'!R$6440,_xlfn.XLOOKUP($B3,Pienten_lista!$A$1:'Pienten_lista'!$A$4860,Pienten_lista!R$1:'Pienten_lista'!R$4860,"Ei oo"))</calculatedColumnFormula>
    </tableColumn>
    <tableColumn id="27" xr3:uid="{640E4F8D-D5AA-462C-841E-7D2C35B798CF}" name="Sarake16" dataDxfId="239">
      <calculatedColumnFormula array="1">_xlfn.XLOOKUP($B3,Isojen_lista!$A$1:'Isojen_lista'!$A$6440,Isojen_lista!S$1:'Isojen_lista'!S$6440,_xlfn.XLOOKUP($B3,Pienten_lista!$A$1:'Pienten_lista'!$A$4860,Pienten_lista!S$1:'Pienten_lista'!S$4860,"Ei oo"))</calculatedColumnFormula>
    </tableColumn>
    <tableColumn id="28" xr3:uid="{DBA0C9C6-A3ED-4A2E-AB50-990D903885CA}" name="Sarake17" dataDxfId="238">
      <calculatedColumnFormula array="1">_xlfn.XLOOKUP($B3,Isojen_lista!$A$1:'Isojen_lista'!$A$6440,Isojen_lista!T$1:'Isojen_lista'!T$6440,_xlfn.XLOOKUP($B3,Pienten_lista!$A$1:'Pienten_lista'!$A$4860,Pienten_lista!T$1:'Pienten_lista'!T$4860,"Ei oo"))</calculatedColumnFormula>
    </tableColumn>
    <tableColumn id="29" xr3:uid="{D18FC0CB-F98D-4D35-9295-205044B53172}" name="Sarake18" dataDxfId="237">
      <calculatedColumnFormula array="1">_xlfn.XLOOKUP($B3,Isojen_lista!$A$1:'Isojen_lista'!$A$6440,Isojen_lista!U$1:'Isojen_lista'!U$6440,_xlfn.XLOOKUP($B3,Pienten_lista!$A$1:'Pienten_lista'!$A$4860,Pienten_lista!U$1:'Pienten_lista'!U$4860,"Ei oo"))</calculatedColumnFormula>
    </tableColumn>
    <tableColumn id="30" xr3:uid="{18A41226-3F1F-41D4-9160-868A40BA53EF}" name="Sarake19" dataDxfId="236">
      <calculatedColumnFormula array="1">_xlfn.XLOOKUP($B3,Isojen_lista!$A$1:'Isojen_lista'!$A$6440,Isojen_lista!V$1:'Isojen_lista'!V$6440,_xlfn.XLOOKUP($B3,Pienten_lista!$A$1:'Pienten_lista'!$A$4860,Pienten_lista!V$1:'Pienten_lista'!V$4860,"Ei oo"))</calculatedColumnFormula>
    </tableColumn>
    <tableColumn id="31" xr3:uid="{97DFA372-F582-4DB0-901C-BA34AD706AEF}" name="Sarake20" dataDxfId="235">
      <calculatedColumnFormula array="1">_xlfn.XLOOKUP($B3,Isojen_lista!$A$1:'Isojen_lista'!$A$6440,Isojen_lista!B$2:'Isojen_lista'!B$6441,_xlfn.XLOOKUP($B3,Pienten_lista!$A$1:'Pienten_lista'!$A$4860,Pienten_lista!B$2:'Pienten_lista'!B$4861,"Ei oo"))</calculatedColumnFormula>
    </tableColumn>
    <tableColumn id="32" xr3:uid="{3B77DCDC-7F44-4134-85E1-02E79A3B7560}" name="Sarake21" dataDxfId="234">
      <calculatedColumnFormula array="1">_xlfn.XLOOKUP($B3,Isojen_lista!$A$1:'Isojen_lista'!$A$6440,Isojen_lista!C$2:'Isojen_lista'!C$6441,_xlfn.XLOOKUP($B3,Pienten_lista!$A$1:'Pienten_lista'!$A$4860,Pienten_lista!C$2:'Pienten_lista'!C$4861,"Ei oo"))</calculatedColumnFormula>
    </tableColumn>
    <tableColumn id="33" xr3:uid="{2FD272BC-2529-498B-B6F4-8C8AD953C870}" name="Sarake22" dataDxfId="233">
      <calculatedColumnFormula array="1">_xlfn.XLOOKUP($B3,Isojen_lista!$A$1:'Isojen_lista'!$A$6440,Isojen_lista!D$2:'Isojen_lista'!D$6441,_xlfn.XLOOKUP($B3,Pienten_lista!$A$1:'Pienten_lista'!$A$4860,Pienten_lista!D$2:'Pienten_lista'!D$4861,"Ei oo"))</calculatedColumnFormula>
    </tableColumn>
    <tableColumn id="34" xr3:uid="{E4110CE7-D4F3-4556-99F8-E01E3EC9D7B1}" name="Sarake23" dataDxfId="232">
      <calculatedColumnFormula array="1">_xlfn.XLOOKUP($B3,Isojen_lista!$A$1:'Isojen_lista'!$A$6440,Isojen_lista!E$2:'Isojen_lista'!E$6441,_xlfn.XLOOKUP($B3,Pienten_lista!$A$1:'Pienten_lista'!$A$4860,Pienten_lista!E$2:'Pienten_lista'!E$4861,"Ei oo"))</calculatedColumnFormula>
    </tableColumn>
    <tableColumn id="35" xr3:uid="{CC563ECF-F3EB-47BB-B151-502EBA6E2EBD}" name="Sarake24" dataDxfId="231">
      <calculatedColumnFormula array="1">_xlfn.XLOOKUP($B3,Isojen_lista!$A$1:'Isojen_lista'!$A$6440,Isojen_lista!F$2:'Isojen_lista'!F$6441,_xlfn.XLOOKUP($B3,Pienten_lista!$A$1:'Pienten_lista'!$A$4860,Pienten_lista!F$2:'Pienten_lista'!F$4861,"Ei oo"))</calculatedColumnFormula>
    </tableColumn>
    <tableColumn id="36" xr3:uid="{C031564C-3773-4DDA-9D8B-09A8DCEC1C8D}" name="Sarake25" dataDxfId="230">
      <calculatedColumnFormula array="1">_xlfn.XLOOKUP($B3,Isojen_lista!$A$1:'Isojen_lista'!$A$6440,Isojen_lista!G$2:'Isojen_lista'!G$6441,_xlfn.XLOOKUP($B3,Pienten_lista!$A$1:'Pienten_lista'!$A$4860,Pienten_lista!G$2:'Pienten_lista'!G$4861,"Ei oo"))</calculatedColumnFormula>
    </tableColumn>
    <tableColumn id="37" xr3:uid="{292B0384-A36C-4A48-8D55-9DD33C8BE046}" name="Sarake26" dataDxfId="229">
      <calculatedColumnFormula array="1">_xlfn.XLOOKUP($B3,Isojen_lista!$A$1:'Isojen_lista'!$A$6440,Isojen_lista!H$2:'Isojen_lista'!H$6441,_xlfn.XLOOKUP($B3,Pienten_lista!$A$1:'Pienten_lista'!$A$4860,Pienten_lista!H$2:'Pienten_lista'!H$4861,"Ei oo"))</calculatedColumnFormula>
    </tableColumn>
    <tableColumn id="38" xr3:uid="{6D8AFB86-1AE6-42DB-91EE-F734C156C5F5}" name="Sarake27" dataDxfId="228">
      <calculatedColumnFormula array="1">_xlfn.XLOOKUP($B3,Isojen_lista!$A$1:'Isojen_lista'!$A$6440,Isojen_lista!I$2:'Isojen_lista'!I$6441,_xlfn.XLOOKUP($B3,Pienten_lista!$A$1:'Pienten_lista'!$A$4860,Pienten_lista!I$2:'Pienten_lista'!I$4861,"Ei oo"))</calculatedColumnFormula>
    </tableColumn>
    <tableColumn id="39" xr3:uid="{F8E6741F-E4BA-47F1-A62D-F19750CC5D88}" name="Sarake28" dataDxfId="227">
      <calculatedColumnFormula array="1">_xlfn.XLOOKUP($B3,Isojen_lista!$A$1:'Isojen_lista'!$A$6440,Isojen_lista!J$2:'Isojen_lista'!J$6441,_xlfn.XLOOKUP($B3,Pienten_lista!$A$1:'Pienten_lista'!$A$4860,Pienten_lista!J$2:'Pienten_lista'!J$4861,"Ei oo"))</calculatedColumnFormula>
    </tableColumn>
    <tableColumn id="40" xr3:uid="{7622664C-8042-4B96-A8E0-DC0CC2B979D5}" name="Sarake29" dataDxfId="226">
      <calculatedColumnFormula array="1">_xlfn.XLOOKUP($B3,Isojen_lista!$A$1:'Isojen_lista'!$A$6440,Isojen_lista!K$2:'Isojen_lista'!K$6441,_xlfn.XLOOKUP($B3,Pienten_lista!$A$1:'Pienten_lista'!$A$4860,Pienten_lista!K$2:'Pienten_lista'!K$4861,"Ei oo"))</calculatedColumnFormula>
    </tableColumn>
    <tableColumn id="41" xr3:uid="{8082B40F-B80C-4E66-91CB-00E99718AAC5}" name="Sarake30" dataDxfId="225">
      <calculatedColumnFormula array="1">_xlfn.XLOOKUP($B3,Isojen_lista!$A$1:'Isojen_lista'!$A$6440,Isojen_lista!L$2:'Isojen_lista'!L$6441,_xlfn.XLOOKUP($B3,Pienten_lista!$A$1:'Pienten_lista'!$A$4860,Pienten_lista!L$2:'Pienten_lista'!L$4861,"Ei oo"))</calculatedColumnFormula>
    </tableColumn>
    <tableColumn id="42" xr3:uid="{4F607741-D7E6-49EC-B973-8A4F21D566AB}" name="Sarake31" dataDxfId="224">
      <calculatedColumnFormula array="1">_xlfn.XLOOKUP($B3,Isojen_lista!$A$1:'Isojen_lista'!$A$6440,Isojen_lista!M$2:'Isojen_lista'!M$6441,_xlfn.XLOOKUP($B3,Pienten_lista!$A$1:'Pienten_lista'!$A$4860,Pienten_lista!M$2:'Pienten_lista'!M$4861,"Ei oo"))</calculatedColumnFormula>
    </tableColumn>
    <tableColumn id="43" xr3:uid="{E34DF3C8-710E-42A6-97E0-EF5442B5A7F9}" name="Sarake32" dataDxfId="223">
      <calculatedColumnFormula array="1">_xlfn.XLOOKUP($B3,Isojen_lista!$A$1:'Isojen_lista'!$A$6440,Isojen_lista!N$2:'Isojen_lista'!N$6441,_xlfn.XLOOKUP($B3,Pienten_lista!$A$1:'Pienten_lista'!$A$4860,Pienten_lista!N$2:'Pienten_lista'!N$4861,"Ei oo"))</calculatedColumnFormula>
    </tableColumn>
    <tableColumn id="44" xr3:uid="{35C71920-8689-4D96-8994-35BF3ABD4E80}" name="Sarake33" dataDxfId="222">
      <calculatedColumnFormula array="1">_xlfn.XLOOKUP($B3,Isojen_lista!$A$1:'Isojen_lista'!$A$6440,Isojen_lista!O$2:'Isojen_lista'!O$6441,_xlfn.XLOOKUP($B3,Pienten_lista!$A$1:'Pienten_lista'!$A$4860,Pienten_lista!O$2:'Pienten_lista'!O$4861,"Ei oo"))</calculatedColumnFormula>
    </tableColumn>
    <tableColumn id="45" xr3:uid="{B784D1AC-535A-4C17-9969-5858B6AE2AF0}" name="Sarake34" dataDxfId="221">
      <calculatedColumnFormula array="1">_xlfn.XLOOKUP($B3,Isojen_lista!$A$1:'Isojen_lista'!$A$6440,Isojen_lista!P$2:'Isojen_lista'!P$6441,_xlfn.XLOOKUP($B3,Pienten_lista!$A$1:'Pienten_lista'!$A$4860,Pienten_lista!P$2:'Pienten_lista'!P$4861,"Ei oo"))</calculatedColumnFormula>
    </tableColumn>
    <tableColumn id="46" xr3:uid="{639FC3BE-191D-471E-986F-1AC03454B561}" name="Sarake35" dataDxfId="220">
      <calculatedColumnFormula array="1">_xlfn.XLOOKUP($B3,Isojen_lista!$A$1:'Isojen_lista'!$A$6440,Isojen_lista!Q$2:'Isojen_lista'!Q$6441,_xlfn.XLOOKUP($B3,Pienten_lista!$A$1:'Pienten_lista'!$A$4860,Pienten_lista!Q$2:'Pienten_lista'!Q$4861,"Ei oo"))</calculatedColumnFormula>
    </tableColumn>
    <tableColumn id="47" xr3:uid="{C70F6B01-39BB-497B-A175-D94871A7C66D}" name="Sarake36" dataDxfId="219">
      <calculatedColumnFormula array="1">_xlfn.XLOOKUP($B3,Isojen_lista!$A$1:'Isojen_lista'!$A$6440,Isojen_lista!R$2:'Isojen_lista'!R$6441,_xlfn.XLOOKUP($B3,Pienten_lista!$A$1:'Pienten_lista'!$A$4860,Pienten_lista!R$2:'Pienten_lista'!R$4861,"Ei oo"))</calculatedColumnFormula>
    </tableColumn>
    <tableColumn id="48" xr3:uid="{85068E71-DC1E-4DA4-94F0-A8EA984A5250}" name="Sarake37" dataDxfId="218">
      <calculatedColumnFormula array="1">_xlfn.XLOOKUP($B3,Isojen_lista!$A$1:'Isojen_lista'!$A$6440,Isojen_lista!S$2:'Isojen_lista'!S$6441,_xlfn.XLOOKUP($B3,Pienten_lista!$A$1:'Pienten_lista'!$A$4860,Pienten_lista!S$2:'Pienten_lista'!S$4861,"Ei oo"))</calculatedColumnFormula>
    </tableColumn>
    <tableColumn id="49" xr3:uid="{9C2F6582-37B4-4A07-B60B-0E0C0B8F49BC}" name="Sarake38" dataDxfId="217">
      <calculatedColumnFormula array="1">_xlfn.XLOOKUP($B3,Isojen_lista!$A$1:'Isojen_lista'!$A$6440,Isojen_lista!T$2:'Isojen_lista'!T$6441,_xlfn.XLOOKUP($B3,Pienten_lista!$A$1:'Pienten_lista'!$A$4860,Pienten_lista!T$2:'Pienten_lista'!T$4861,"Ei oo"))</calculatedColumnFormula>
    </tableColumn>
    <tableColumn id="50" xr3:uid="{AA2119AB-4564-4BD4-B368-5034F429B062}" name="Sarake39" dataDxfId="216">
      <calculatedColumnFormula array="1">_xlfn.XLOOKUP($B3,Isojen_lista!$A$1:'Isojen_lista'!$A$6440,Isojen_lista!U$2:'Isojen_lista'!U$6441,_xlfn.XLOOKUP($B3,Pienten_lista!$A$1:'Pienten_lista'!$A$4860,Pienten_lista!U$2:'Pienten_lista'!U$4861,"Ei oo"))</calculatedColumnFormula>
    </tableColumn>
    <tableColumn id="51" xr3:uid="{405F694C-3304-4CB2-8C7D-BBE09EE0B8B6}" name="Sarake40" dataDxfId="215">
      <calculatedColumnFormula array="1">_xlfn.XLOOKUP($B3,Isojen_lista!$A$1:'Isojen_lista'!$A$6440,Isojen_lista!V$2:'Isojen_lista'!V$6441,_xlfn.XLOOKUP($B3,Pienten_lista!$A$1:'Pienten_lista'!$A$4860,Pienten_lista!V$2:'Pienten_lista'!V$4861,"Ei oo"))</calculatedColumnFormula>
    </tableColumn>
    <tableColumn id="52" xr3:uid="{E8FD7082-70D6-4B87-99D6-A825E26BFB32}" name="Sarake41" dataDxfId="214">
      <calculatedColumnFormula array="1">_xlfn.XLOOKUP($B3,Isojen_lista!$A$1:'Isojen_lista'!$A$6440,Isojen_lista!B$3:'Isojen_lista'!B$6442,_xlfn.XLOOKUP($B3,Pienten_lista!$A$1:'Pienten_lista'!$A$4860,Pienten_lista!B$3:'Pienten_lista'!B$4862,"Ei oo"))</calculatedColumnFormula>
    </tableColumn>
    <tableColumn id="53" xr3:uid="{D20318AF-89D5-4E7E-91A3-DE6676C4CEB6}" name="Sarake42" dataDxfId="213">
      <calculatedColumnFormula array="1">_xlfn.XLOOKUP($B3,Isojen_lista!$A$1:'Isojen_lista'!$A$6440,Isojen_lista!C$3:'Isojen_lista'!C$6442,_xlfn.XLOOKUP($B3,Pienten_lista!$A$1:'Pienten_lista'!$A$4860,Pienten_lista!C$3:'Pienten_lista'!C$4862,"Ei oo"))</calculatedColumnFormula>
    </tableColumn>
    <tableColumn id="54" xr3:uid="{C2270341-BE56-448E-8913-70CFAA2AB941}" name="Sarake43" dataDxfId="212">
      <calculatedColumnFormula array="1">_xlfn.XLOOKUP($B3,Isojen_lista!$A$1:'Isojen_lista'!$A$6440,Isojen_lista!D$3:'Isojen_lista'!D$6442,_xlfn.XLOOKUP($B3,Pienten_lista!$A$1:'Pienten_lista'!$A$4860,Pienten_lista!D$3:'Pienten_lista'!D$4862,"Ei oo"))</calculatedColumnFormula>
    </tableColumn>
    <tableColumn id="55" xr3:uid="{A9F1BB7F-A1BA-4FCF-8A37-DDC512DDDDD3}" name="Sarake44" dataDxfId="211">
      <calculatedColumnFormula array="1">_xlfn.XLOOKUP($B3,Isojen_lista!$A$1:'Isojen_lista'!$A$6440,Isojen_lista!E$3:'Isojen_lista'!E$6442,_xlfn.XLOOKUP($B3,Pienten_lista!$A$1:'Pienten_lista'!$A$4860,Pienten_lista!E$3:'Pienten_lista'!E$4862,"Ei oo"))</calculatedColumnFormula>
    </tableColumn>
    <tableColumn id="56" xr3:uid="{6CB92B6C-4B11-4E76-A2BF-E5E7A9FCCC2B}" name="Sarake45" dataDxfId="210">
      <calculatedColumnFormula array="1">_xlfn.XLOOKUP($B3,Isojen_lista!$A$1:'Isojen_lista'!$A$6440,Isojen_lista!F$3:'Isojen_lista'!F$6442,_xlfn.XLOOKUP($B3,Pienten_lista!$A$1:'Pienten_lista'!$A$4860,Pienten_lista!F$3:'Pienten_lista'!F$4862,"Ei oo"))</calculatedColumnFormula>
    </tableColumn>
    <tableColumn id="57" xr3:uid="{8181C3A1-DA8D-41C8-875C-BD1CF1B01145}" name="Sarake46" dataDxfId="209">
      <calculatedColumnFormula array="1">_xlfn.XLOOKUP($B3,Isojen_lista!$A$1:'Isojen_lista'!$A$6440,Isojen_lista!G$3:'Isojen_lista'!G$6442,_xlfn.XLOOKUP($B3,Pienten_lista!$A$1:'Pienten_lista'!$A$4860,Pienten_lista!G$3:'Pienten_lista'!G$4862,"Ei oo"))</calculatedColumnFormula>
    </tableColumn>
    <tableColumn id="58" xr3:uid="{9D0C59C8-7344-4A28-BD77-C42D92F4092D}" name="Sarake47" dataDxfId="208">
      <calculatedColumnFormula array="1">_xlfn.XLOOKUP($B3,Isojen_lista!$A$1:'Isojen_lista'!$A$6440,Isojen_lista!H$3:'Isojen_lista'!H$6442,_xlfn.XLOOKUP($B3,Pienten_lista!$A$1:'Pienten_lista'!$A$4860,Pienten_lista!H$3:'Pienten_lista'!H$4862,"Ei oo"))</calculatedColumnFormula>
    </tableColumn>
    <tableColumn id="59" xr3:uid="{0BF1F7B6-11B5-4C1B-BCE0-26F321ACDFB2}" name="Sarake48" dataDxfId="207">
      <calculatedColumnFormula array="1">_xlfn.XLOOKUP($B3,Isojen_lista!$A$1:'Isojen_lista'!$A$6440,Isojen_lista!I$3:'Isojen_lista'!I$6442,_xlfn.XLOOKUP($B3,Pienten_lista!$A$1:'Pienten_lista'!$A$4860,Pienten_lista!I$3:'Pienten_lista'!I$4862,"Ei oo"))</calculatedColumnFormula>
    </tableColumn>
    <tableColumn id="60" xr3:uid="{BF21B73C-11B3-449C-96B2-85FF6ECFA80D}" name="Sarake49" dataDxfId="206">
      <calculatedColumnFormula array="1">_xlfn.XLOOKUP($B3,Isojen_lista!$A$1:'Isojen_lista'!$A$6440,Isojen_lista!J$3:'Isojen_lista'!J$6442,_xlfn.XLOOKUP($B3,Pienten_lista!$A$1:'Pienten_lista'!$A$4860,Pienten_lista!J$3:'Pienten_lista'!J$4862,"Ei oo"))</calculatedColumnFormula>
    </tableColumn>
    <tableColumn id="61" xr3:uid="{497C0255-13D4-44D4-A1AB-9A27459F8972}" name="Sarake50" dataDxfId="205">
      <calculatedColumnFormula array="1">_xlfn.XLOOKUP($B3,Isojen_lista!$A$1:'Isojen_lista'!$A$6440,Isojen_lista!K$3:'Isojen_lista'!K$6442,_xlfn.XLOOKUP($B3,Pienten_lista!$A$1:'Pienten_lista'!$A$4860,Pienten_lista!K$3:'Pienten_lista'!K$4862,"Ei oo"))</calculatedColumnFormula>
    </tableColumn>
    <tableColumn id="62" xr3:uid="{A4CDD0CE-ADDC-43B1-BE7B-7087224F6A8F}" name="Sarake51" dataDxfId="204">
      <calculatedColumnFormula array="1">_xlfn.XLOOKUP($B3,Isojen_lista!$A$1:'Isojen_lista'!$A$6440,Isojen_lista!L$3:'Isojen_lista'!L$6442,_xlfn.XLOOKUP($B3,Pienten_lista!$A$1:'Pienten_lista'!$A$4860,Pienten_lista!L$3:'Pienten_lista'!L$4862,"Ei oo"))</calculatedColumnFormula>
    </tableColumn>
    <tableColumn id="63" xr3:uid="{F91B87CF-78D5-4CE3-82F4-B7E9EAF4DE13}" name="Sarake52" dataDxfId="203">
      <calculatedColumnFormula array="1">_xlfn.XLOOKUP($B3,Isojen_lista!$A$1:'Isojen_lista'!$A$6440,Isojen_lista!M$3:'Isojen_lista'!M$6442,_xlfn.XLOOKUP($B3,Pienten_lista!$A$1:'Pienten_lista'!$A$4860,Pienten_lista!M$3:'Pienten_lista'!M$4862,"Ei oo"))</calculatedColumnFormula>
    </tableColumn>
    <tableColumn id="64" xr3:uid="{69C76AE0-C556-4B9F-9E0D-BD3D7E45C05A}" name="Sarake53" dataDxfId="202">
      <calculatedColumnFormula array="1">_xlfn.XLOOKUP($B3,Isojen_lista!$A$1:'Isojen_lista'!$A$6440,Isojen_lista!N$3:'Isojen_lista'!N$6442,_xlfn.XLOOKUP($B3,Pienten_lista!$A$1:'Pienten_lista'!$A$4860,Pienten_lista!N$3:'Pienten_lista'!N$4862,"Ei oo"))</calculatedColumnFormula>
    </tableColumn>
    <tableColumn id="65" xr3:uid="{0445D164-9E3D-42F1-8EC0-8B70DCA46C18}" name="Sarake54" dataDxfId="201">
      <calculatedColumnFormula array="1">_xlfn.XLOOKUP($B3,Isojen_lista!$A$1:'Isojen_lista'!$A$6440,Isojen_lista!O$3:'Isojen_lista'!O$6442,_xlfn.XLOOKUP($B3,Pienten_lista!$A$1:'Pienten_lista'!$A$4860,Pienten_lista!O$3:'Pienten_lista'!O$4862,"Ei oo"))</calculatedColumnFormula>
    </tableColumn>
    <tableColumn id="66" xr3:uid="{D1EFA5F7-6302-489C-AE19-AE25F673FB38}" name="Sarake55" dataDxfId="200">
      <calculatedColumnFormula array="1">_xlfn.XLOOKUP($B3,Isojen_lista!$A$1:'Isojen_lista'!$A$6440,Isojen_lista!P$3:'Isojen_lista'!P$6442,_xlfn.XLOOKUP($B3,Pienten_lista!$A$1:'Pienten_lista'!$A$4860,Pienten_lista!P$3:'Pienten_lista'!P$4862,"Ei oo"))</calculatedColumnFormula>
    </tableColumn>
    <tableColumn id="67" xr3:uid="{E4CAC08F-3DD6-4DCA-934F-9732353AF94C}" name="Sarake56" dataDxfId="199">
      <calculatedColumnFormula array="1">_xlfn.XLOOKUP($B3,Isojen_lista!$A$1:'Isojen_lista'!$A$6440,Isojen_lista!Q$3:'Isojen_lista'!Q$6442,_xlfn.XLOOKUP($B3,Pienten_lista!$A$1:'Pienten_lista'!$A$4860,Pienten_lista!Q$3:'Pienten_lista'!Q$4862,"Ei oo"))</calculatedColumnFormula>
    </tableColumn>
    <tableColumn id="68" xr3:uid="{9385CFF1-7187-4DB3-B18C-3965F5DBC30C}" name="Sarake57" dataDxfId="198">
      <calculatedColumnFormula array="1">_xlfn.XLOOKUP($B3,Isojen_lista!$A$1:'Isojen_lista'!$A$6440,Isojen_lista!R$3:'Isojen_lista'!R$6442,_xlfn.XLOOKUP($B3,Pienten_lista!$A$1:'Pienten_lista'!$A$4860,Pienten_lista!R$3:'Pienten_lista'!R$4862,"Ei oo"))</calculatedColumnFormula>
    </tableColumn>
    <tableColumn id="69" xr3:uid="{6D5E9386-AD26-4819-9AC5-CC3D7F703D07}" name="Sarake58" dataDxfId="197">
      <calculatedColumnFormula array="1">_xlfn.XLOOKUP($B3,Isojen_lista!$A$1:'Isojen_lista'!$A$6440,Isojen_lista!S$3:'Isojen_lista'!S$6442,_xlfn.XLOOKUP($B3,Pienten_lista!$A$1:'Pienten_lista'!$A$4860,Pienten_lista!S$3:'Pienten_lista'!S$4862,"Ei oo"))</calculatedColumnFormula>
    </tableColumn>
    <tableColumn id="70" xr3:uid="{44DDBA7E-36E7-4C00-B177-D2B366A5B4A3}" name="Sarake59" dataDxfId="196">
      <calculatedColumnFormula array="1">_xlfn.XLOOKUP($B3,Isojen_lista!$A$1:'Isojen_lista'!$A$6440,Isojen_lista!T$3:'Isojen_lista'!T$6442,_xlfn.XLOOKUP($B3,Pienten_lista!$A$1:'Pienten_lista'!$A$4860,Pienten_lista!T$3:'Pienten_lista'!T$4862,"Ei oo"))</calculatedColumnFormula>
    </tableColumn>
    <tableColumn id="71" xr3:uid="{EE8A61C5-5045-4239-A6A6-6E4B203600F9}" name="Sarake60" dataDxfId="195">
      <calculatedColumnFormula array="1">_xlfn.XLOOKUP($B3,Isojen_lista!$A$1:'Isojen_lista'!$A$6440,Isojen_lista!U$3:'Isojen_lista'!U$6442,_xlfn.XLOOKUP($B3,Pienten_lista!$A$1:'Pienten_lista'!$A$4860,Pienten_lista!U$3:'Pienten_lista'!U$4862,"Ei oo"))</calculatedColumnFormula>
    </tableColumn>
    <tableColumn id="72" xr3:uid="{7046A50C-EC3D-456C-9162-F7A15E90CE58}" name="Sarake61" dataDxfId="194">
      <calculatedColumnFormula array="1">_xlfn.XLOOKUP($B3,Isojen_lista!$A$1:'Isojen_lista'!$A$6440,Isojen_lista!V$3:'Isojen_lista'!V$6442,_xlfn.XLOOKUP($B3,Pienten_lista!$A$1:'Pienten_lista'!$A$4860,Pienten_lista!V$3:'Pienten_lista'!V$4862,"Ei oo"))</calculatedColumnFormula>
    </tableColumn>
    <tableColumn id="73" xr3:uid="{21A8A84E-7875-4705-8BB6-C7703314E345}" name="Sarake62" dataDxfId="193">
      <calculatedColumnFormula array="1">_xlfn.XLOOKUP($B3,Isojen_lista!$A$1:'Isojen_lista'!$A$6440,Isojen_lista!B$4:'Isojen_lista'!B$6443,_xlfn.XLOOKUP($B3,Pienten_lista!$A$1:'Pienten_lista'!$A$4860,Pienten_lista!B$4:'Pienten_lista'!B$4863,"Ei oo"))</calculatedColumnFormula>
    </tableColumn>
    <tableColumn id="74" xr3:uid="{BEB191C2-4E1B-46DF-A615-9F07E1046FB7}" name="Sarake63" dataDxfId="192">
      <calculatedColumnFormula array="1">_xlfn.XLOOKUP($B3,Isojen_lista!$A$1:'Isojen_lista'!$A$6440,Isojen_lista!C$4:'Isojen_lista'!C$6443,_xlfn.XLOOKUP($B3,Pienten_lista!$A$1:'Pienten_lista'!$A$4860,Pienten_lista!C$4:'Pienten_lista'!C$4863,"Ei oo"))</calculatedColumnFormula>
    </tableColumn>
    <tableColumn id="75" xr3:uid="{659DFFE8-F4F1-446B-B0D0-D9FE2CBC80D9}" name="Sarake64" dataDxfId="191">
      <calculatedColumnFormula array="1">_xlfn.XLOOKUP($B3,Isojen_lista!$A$1:'Isojen_lista'!$A$6440,Isojen_lista!D$4:'Isojen_lista'!D$6443,_xlfn.XLOOKUP($B3,Pienten_lista!$A$1:'Pienten_lista'!$A$4860,Pienten_lista!D$4:'Pienten_lista'!D$4863,"Ei oo"))</calculatedColumnFormula>
    </tableColumn>
    <tableColumn id="76" xr3:uid="{4BE8366F-D71C-4E49-9DC7-D5BE797431A8}" name="Sarake65" dataDxfId="190">
      <calculatedColumnFormula array="1">_xlfn.XLOOKUP($B3,Isojen_lista!$A$1:'Isojen_lista'!$A$6440,Isojen_lista!E$4:'Isojen_lista'!E$6443,_xlfn.XLOOKUP($B3,Pienten_lista!$A$1:'Pienten_lista'!$A$4860,Pienten_lista!E$4:'Pienten_lista'!E$4863,"Ei oo"))</calculatedColumnFormula>
    </tableColumn>
    <tableColumn id="77" xr3:uid="{B02D6981-AE1F-440A-B515-FF7F5743D09E}" name="Sarake66" dataDxfId="189">
      <calculatedColumnFormula array="1">_xlfn.XLOOKUP($B3,Isojen_lista!$A$1:'Isojen_lista'!$A$6440,Isojen_lista!F$4:'Isojen_lista'!F$6443,_xlfn.XLOOKUP($B3,Pienten_lista!$A$1:'Pienten_lista'!$A$4860,Pienten_lista!F$4:'Pienten_lista'!F$4863,"Ei oo"))</calculatedColumnFormula>
    </tableColumn>
    <tableColumn id="78" xr3:uid="{8FE5A5F7-6B10-441F-97CF-E289BA53FBBA}" name="Sarake67" dataDxfId="188">
      <calculatedColumnFormula array="1">_xlfn.XLOOKUP($B3,Isojen_lista!$A$1:'Isojen_lista'!$A$6440,Isojen_lista!G$4:'Isojen_lista'!G$6443,_xlfn.XLOOKUP($B3,Pienten_lista!$A$1:'Pienten_lista'!$A$4860,Pienten_lista!G$4:'Pienten_lista'!G$4863,"Ei oo"))</calculatedColumnFormula>
    </tableColumn>
    <tableColumn id="79" xr3:uid="{723572FF-094E-42F6-9DD0-2F6F42CA1215}" name="Sarake68" dataDxfId="187">
      <calculatedColumnFormula array="1">_xlfn.XLOOKUP($B3,Isojen_lista!$A$1:'Isojen_lista'!$A$6440,Isojen_lista!H$4:'Isojen_lista'!H$6443,_xlfn.XLOOKUP($B3,Pienten_lista!$A$1:'Pienten_lista'!$A$4860,Pienten_lista!H$4:'Pienten_lista'!H$4863,"Ei oo"))</calculatedColumnFormula>
    </tableColumn>
    <tableColumn id="80" xr3:uid="{9D3665E6-C533-4168-BF36-B134A47C9890}" name="Sarake69" dataDxfId="186">
      <calculatedColumnFormula array="1">_xlfn.XLOOKUP($B3,Isojen_lista!$A$1:'Isojen_lista'!$A$6440,Isojen_lista!I$4:'Isojen_lista'!I$6443,_xlfn.XLOOKUP($B3,Pienten_lista!$A$1:'Pienten_lista'!$A$4860,Pienten_lista!I$4:'Pienten_lista'!I$4863,"Ei oo"))</calculatedColumnFormula>
    </tableColumn>
    <tableColumn id="81" xr3:uid="{8115989D-4C65-4D66-A1EA-5397D74CEC53}" name="Sarake70" dataDxfId="185">
      <calculatedColumnFormula array="1">_xlfn.XLOOKUP($B3,Isojen_lista!$A$1:'Isojen_lista'!$A$6440,Isojen_lista!J$4:'Isojen_lista'!J$6443,_xlfn.XLOOKUP($B3,Pienten_lista!$A$1:'Pienten_lista'!$A$4860,Pienten_lista!J$4:'Pienten_lista'!J$4863,"Ei oo"))</calculatedColumnFormula>
    </tableColumn>
    <tableColumn id="82" xr3:uid="{9F49BE1E-6328-40C7-8704-56959C5E7462}" name="Sarake71" dataDxfId="184">
      <calculatedColumnFormula array="1">_xlfn.XLOOKUP($B3,Isojen_lista!$A$1:'Isojen_lista'!$A$6440,Isojen_lista!K$4:'Isojen_lista'!K$6443,_xlfn.XLOOKUP($B3,Pienten_lista!$A$1:'Pienten_lista'!$A$4860,Pienten_lista!K$4:'Pienten_lista'!K$4863,"Ei oo"))</calculatedColumnFormula>
    </tableColumn>
    <tableColumn id="83" xr3:uid="{B2E900AA-728C-42F1-ABE8-A040BABCA17A}" name="Sarake72" dataDxfId="183">
      <calculatedColumnFormula array="1">_xlfn.XLOOKUP($B3,Isojen_lista!$A$1:'Isojen_lista'!$A$6440,Isojen_lista!L$4:'Isojen_lista'!L$6443,_xlfn.XLOOKUP($B3,Pienten_lista!$A$1:'Pienten_lista'!$A$4860,Pienten_lista!L$4:'Pienten_lista'!L$4863,"Ei oo"))</calculatedColumnFormula>
    </tableColumn>
    <tableColumn id="84" xr3:uid="{A926995C-75EA-4A74-B1A0-8345BE74863E}" name="Sarake73" dataDxfId="182">
      <calculatedColumnFormula array="1">_xlfn.XLOOKUP($B3,Isojen_lista!$A$1:'Isojen_lista'!$A$6440,Isojen_lista!M$4:'Isojen_lista'!M$6443,_xlfn.XLOOKUP($B3,Pienten_lista!$A$1:'Pienten_lista'!$A$4860,Pienten_lista!M$4:'Pienten_lista'!M$4863,"Ei oo"))</calculatedColumnFormula>
    </tableColumn>
    <tableColumn id="85" xr3:uid="{F0A7EF39-3336-4533-AEA0-5DBF26C55FDD}" name="Sarake74" dataDxfId="181">
      <calculatedColumnFormula array="1">_xlfn.XLOOKUP($B3,Isojen_lista!$A$1:'Isojen_lista'!$A$6440,Isojen_lista!N$4:'Isojen_lista'!N$6443,_xlfn.XLOOKUP($B3,Pienten_lista!$A$1:'Pienten_lista'!$A$4860,Pienten_lista!N$4:'Pienten_lista'!N$4863,"Ei oo"))</calculatedColumnFormula>
    </tableColumn>
    <tableColumn id="86" xr3:uid="{C65DE614-A92A-4719-A2EF-83A08171BF0F}" name="Sarake75" dataDxfId="180">
      <calculatedColumnFormula array="1">_xlfn.XLOOKUP($B3,Isojen_lista!$A$1:'Isojen_lista'!$A$6440,Isojen_lista!O$4:'Isojen_lista'!O$6443,_xlfn.XLOOKUP($B3,Pienten_lista!$A$1:'Pienten_lista'!$A$4860,Pienten_lista!O$4:'Pienten_lista'!O$4863,"Ei oo"))</calculatedColumnFormula>
    </tableColumn>
    <tableColumn id="87" xr3:uid="{BF312230-D7E3-40E7-AAE5-487AFABB955C}" name="Sarake76" dataDxfId="179">
      <calculatedColumnFormula array="1">_xlfn.XLOOKUP($B3,Isojen_lista!$A$1:'Isojen_lista'!$A$6440,Isojen_lista!P$4:'Isojen_lista'!P$6443,_xlfn.XLOOKUP($B3,Pienten_lista!$A$1:'Pienten_lista'!$A$4860,Pienten_lista!P$4:'Pienten_lista'!P$4863,"Ei oo"))</calculatedColumnFormula>
    </tableColumn>
    <tableColumn id="88" xr3:uid="{98291E46-B821-4BA2-BD53-1F506D226C0B}" name="Sarake77" dataDxfId="178">
      <calculatedColumnFormula array="1">_xlfn.XLOOKUP($B3,Isojen_lista!$A$1:'Isojen_lista'!$A$6440,Isojen_lista!Q$4:'Isojen_lista'!Q$6443,_xlfn.XLOOKUP($B3,Pienten_lista!$A$1:'Pienten_lista'!$A$4860,Pienten_lista!Q$4:'Pienten_lista'!Q$4863,"Ei oo"))</calculatedColumnFormula>
    </tableColumn>
    <tableColumn id="89" xr3:uid="{6E0C419F-03BF-4A69-8D1D-DEA917AE3D70}" name="Sarake78" dataDxfId="177">
      <calculatedColumnFormula array="1">_xlfn.XLOOKUP($B3,Isojen_lista!$A$1:'Isojen_lista'!$A$6440,Isojen_lista!R$4:'Isojen_lista'!R$6443,_xlfn.XLOOKUP($B3,Pienten_lista!$A$1:'Pienten_lista'!$A$4860,Pienten_lista!R$4:'Pienten_lista'!R$4863,"Ei oo"))</calculatedColumnFormula>
    </tableColumn>
    <tableColumn id="90" xr3:uid="{CAFD7422-11DA-4A34-8B8F-3016130DA554}" name="Sarake79" dataDxfId="176">
      <calculatedColumnFormula array="1">_xlfn.XLOOKUP($B3,Isojen_lista!$A$1:'Isojen_lista'!$A$6440,Isojen_lista!S$4:'Isojen_lista'!S$6443,_xlfn.XLOOKUP($B3,Pienten_lista!$A$1:'Pienten_lista'!$A$4860,Pienten_lista!S$4:'Pienten_lista'!S$4863,"Ei oo"))</calculatedColumnFormula>
    </tableColumn>
    <tableColumn id="91" xr3:uid="{B759809E-E42D-4797-A344-80A45108976A}" name="Sarake80" dataDxfId="175">
      <calculatedColumnFormula array="1">_xlfn.XLOOKUP($B3,Isojen_lista!$A$1:'Isojen_lista'!$A$6440,Isojen_lista!T$4:'Isojen_lista'!T$6443,_xlfn.XLOOKUP($B3,Pienten_lista!$A$1:'Pienten_lista'!$A$4860,Pienten_lista!T$4:'Pienten_lista'!T$4863,"Ei oo"))</calculatedColumnFormula>
    </tableColumn>
    <tableColumn id="92" xr3:uid="{F40E1D68-6CBC-45F7-9E5A-8CC60CF378E3}" name="Sarake81" dataDxfId="174">
      <calculatedColumnFormula array="1">_xlfn.XLOOKUP($B3,Isojen_lista!$A$1:'Isojen_lista'!$A$6440,Isojen_lista!U$4:'Isojen_lista'!U$6443,_xlfn.XLOOKUP($B3,Pienten_lista!$A$1:'Pienten_lista'!$A$4860,Pienten_lista!U$4:'Pienten_lista'!U$4863,"Ei oo"))</calculatedColumnFormula>
    </tableColumn>
    <tableColumn id="93" xr3:uid="{B686CC72-B269-43E8-A659-A626FEEA7B32}" name="Sarake82" dataDxfId="173">
      <calculatedColumnFormula array="1">_xlfn.XLOOKUP($B3,Isojen_lista!$A$1:'Isojen_lista'!$A$6440,Isojen_lista!V$4:'Isojen_lista'!V$6443,_xlfn.XLOOKUP($B3,Pienten_lista!$A$1:'Pienten_lista'!$A$4860,Pienten_lista!V$4:'Pienten_lista'!V$4863,"Ei oo"))</calculatedColumnFormula>
    </tableColumn>
    <tableColumn id="94" xr3:uid="{46AE195B-E58B-4121-A5E6-16E4506B13DE}" name="Sarake83" dataDxfId="172">
      <calculatedColumnFormula array="1">_xlfn.XLOOKUP($B3,Isojen_lista!$A$1:'Isojen_lista'!$A$6440,Isojen_lista!B$5:'Isojen_lista'!B$6444,_xlfn.XLOOKUP($B3,Pienten_lista!$A$1:'Pienten_lista'!$A$4860,Pienten_lista!B$5:'Pienten_lista'!B$4864,"Ei oo"))</calculatedColumnFormula>
    </tableColumn>
    <tableColumn id="95" xr3:uid="{BF511F2D-1E2B-47DA-A9D2-BB5A0EDA3E23}" name="Sarake84" dataDxfId="171">
      <calculatedColumnFormula array="1">_xlfn.XLOOKUP($B3,Isojen_lista!$A$1:'Isojen_lista'!$A$6440,Isojen_lista!C$5:'Isojen_lista'!C$6444,_xlfn.XLOOKUP($B3,Pienten_lista!$A$1:'Pienten_lista'!$A$4860,Pienten_lista!C$5:'Pienten_lista'!C$4864,"Ei oo"))</calculatedColumnFormula>
    </tableColumn>
    <tableColumn id="96" xr3:uid="{13F67D78-ABC5-42AB-9EDC-B4F211BF2636}" name="Sarake85" dataDxfId="170">
      <calculatedColumnFormula array="1">_xlfn.XLOOKUP($B3,Isojen_lista!$A$1:'Isojen_lista'!$A$6440,Isojen_lista!D$5:'Isojen_lista'!D$6444,_xlfn.XLOOKUP($B3,Pienten_lista!$A$1:'Pienten_lista'!$A$4860,Pienten_lista!D$5:'Pienten_lista'!D$4864,"Ei oo"))</calculatedColumnFormula>
    </tableColumn>
    <tableColumn id="97" xr3:uid="{24F825F2-A6AF-496C-A82F-60C1A05441C2}" name="Sarake86" dataDxfId="169">
      <calculatedColumnFormula array="1">_xlfn.XLOOKUP($B3,Isojen_lista!$A$1:'Isojen_lista'!$A$6440,Isojen_lista!E$5:'Isojen_lista'!E$6444,_xlfn.XLOOKUP($B3,Pienten_lista!$A$1:'Pienten_lista'!$A$4860,Pienten_lista!E$5:'Pienten_lista'!E$4864,"Ei oo"))</calculatedColumnFormula>
    </tableColumn>
    <tableColumn id="98" xr3:uid="{B403279F-DE5A-4F33-826B-B8247DF081C4}" name="Sarake87" dataDxfId="168">
      <calculatedColumnFormula array="1">_xlfn.XLOOKUP($B3,Isojen_lista!$A$1:'Isojen_lista'!$A$6440,Isojen_lista!F$5:'Isojen_lista'!F$6444,_xlfn.XLOOKUP($B3,Pienten_lista!$A$1:'Pienten_lista'!$A$4860,Pienten_lista!F$5:'Pienten_lista'!F$4864,"Ei oo"))</calculatedColumnFormula>
    </tableColumn>
    <tableColumn id="99" xr3:uid="{BE608409-27D3-4638-9C0A-5080EFDA3B26}" name="Sarake88" dataDxfId="167">
      <calculatedColumnFormula array="1">_xlfn.XLOOKUP($B3,Isojen_lista!$A$1:'Isojen_lista'!$A$6440,Isojen_lista!G$5:'Isojen_lista'!G$6444,_xlfn.XLOOKUP($B3,Pienten_lista!$A$1:'Pienten_lista'!$A$4860,Pienten_lista!G$5:'Pienten_lista'!G$4864,"Ei oo"))</calculatedColumnFormula>
    </tableColumn>
    <tableColumn id="100" xr3:uid="{D0124B85-E0A6-4F69-9D95-43DF5818A641}" name="Sarake89" dataDxfId="166">
      <calculatedColumnFormula array="1">_xlfn.XLOOKUP($B3,Isojen_lista!$A$1:'Isojen_lista'!$A$6440,Isojen_lista!H$5:'Isojen_lista'!H$6444,_xlfn.XLOOKUP($B3,Pienten_lista!$A$1:'Pienten_lista'!$A$4860,Pienten_lista!H$5:'Pienten_lista'!H$4864,"Ei oo"))</calculatedColumnFormula>
    </tableColumn>
    <tableColumn id="101" xr3:uid="{23085B38-CF5B-4273-9B2B-B4DD88ED583D}" name="Sarake90" dataDxfId="165">
      <calculatedColumnFormula array="1">_xlfn.XLOOKUP($B3,Isojen_lista!$A$1:'Isojen_lista'!$A$6440,Isojen_lista!I$5:'Isojen_lista'!I$6444,_xlfn.XLOOKUP($B3,Pienten_lista!$A$1:'Pienten_lista'!$A$4860,Pienten_lista!I$5:'Pienten_lista'!I$4864,"Ei oo"))</calculatedColumnFormula>
    </tableColumn>
    <tableColumn id="102" xr3:uid="{ADCB882D-ED30-4BD5-93D9-7EA9FDFF874A}" name="Sarake91" dataDxfId="164">
      <calculatedColumnFormula array="1">_xlfn.XLOOKUP($B3,Isojen_lista!$A$1:'Isojen_lista'!$A$6440,Isojen_lista!J$5:'Isojen_lista'!J$6444,_xlfn.XLOOKUP($B3,Pienten_lista!$A$1:'Pienten_lista'!$A$4860,Pienten_lista!J$5:'Pienten_lista'!J$4864,"Ei oo"))</calculatedColumnFormula>
    </tableColumn>
    <tableColumn id="103" xr3:uid="{ED34470C-9315-42AB-A09B-145D51884003}" name="Sarake92" dataDxfId="163">
      <calculatedColumnFormula array="1">_xlfn.XLOOKUP($B3,Isojen_lista!$A$1:'Isojen_lista'!$A$6440,Isojen_lista!K$5:'Isojen_lista'!K$6444,_xlfn.XLOOKUP($B3,Pienten_lista!$A$1:'Pienten_lista'!$A$4860,Pienten_lista!K$5:'Pienten_lista'!K$4864,"Ei oo"))</calculatedColumnFormula>
    </tableColumn>
    <tableColumn id="104" xr3:uid="{10A216AE-B8D4-403A-8224-D272BE5B88B3}" name="Sarake93" dataDxfId="162">
      <calculatedColumnFormula array="1">_xlfn.XLOOKUP($B3,Isojen_lista!$A$1:'Isojen_lista'!$A$6440,Isojen_lista!L$5:'Isojen_lista'!L$6444,_xlfn.XLOOKUP($B3,Pienten_lista!$A$1:'Pienten_lista'!$A$4860,Pienten_lista!L$5:'Pienten_lista'!L$4864,"Ei oo"))</calculatedColumnFormula>
    </tableColumn>
    <tableColumn id="105" xr3:uid="{91D7D0B4-AA7C-475D-88C2-01C9B8FDFB73}" name="Sarake94" dataDxfId="161">
      <calculatedColumnFormula array="1">_xlfn.XLOOKUP($B3,Isojen_lista!$A$1:'Isojen_lista'!$A$6440,Isojen_lista!M$5:'Isojen_lista'!M$6444,_xlfn.XLOOKUP($B3,Pienten_lista!$A$1:'Pienten_lista'!$A$4860,Pienten_lista!M$5:'Pienten_lista'!M$4864,"Ei oo"))</calculatedColumnFormula>
    </tableColumn>
    <tableColumn id="106" xr3:uid="{C31CA8CF-D820-407B-AFA6-9295A924EFDD}" name="Sarake95" dataDxfId="160">
      <calculatedColumnFormula array="1">_xlfn.XLOOKUP($B3,Isojen_lista!$A$1:'Isojen_lista'!$A$6440,Isojen_lista!N$5:'Isojen_lista'!N$6444,_xlfn.XLOOKUP($B3,Pienten_lista!$A$1:'Pienten_lista'!$A$4860,Pienten_lista!N$5:'Pienten_lista'!N$4864,"Ei oo"))</calculatedColumnFormula>
    </tableColumn>
    <tableColumn id="107" xr3:uid="{3E85F82C-748C-422E-AAED-0D08063D4DB8}" name="Sarake96" dataDxfId="159">
      <calculatedColumnFormula array="1">_xlfn.XLOOKUP($B3,Isojen_lista!$A$1:'Isojen_lista'!$A$6440,Isojen_lista!O$5:'Isojen_lista'!O$6444,_xlfn.XLOOKUP($B3,Pienten_lista!$A$1:'Pienten_lista'!$A$4860,Pienten_lista!O$5:'Pienten_lista'!O$4864,"Ei oo"))</calculatedColumnFormula>
    </tableColumn>
    <tableColumn id="108" xr3:uid="{00B90A9C-5D34-4EBF-9411-97216704E1E2}" name="Sarake97" dataDxfId="158">
      <calculatedColumnFormula array="1">_xlfn.XLOOKUP($B3,Isojen_lista!$A$1:'Isojen_lista'!$A$6440,Isojen_lista!P$5:'Isojen_lista'!P$6444,_xlfn.XLOOKUP($B3,Pienten_lista!$A$1:'Pienten_lista'!$A$4860,Pienten_lista!P$5:'Pienten_lista'!P$4864,"Ei oo"))</calculatedColumnFormula>
    </tableColumn>
    <tableColumn id="109" xr3:uid="{EDBF5F37-16E5-47EE-85C9-E943C65024B4}" name="Sarake98" dataDxfId="157">
      <calculatedColumnFormula array="1">_xlfn.XLOOKUP($B3,Isojen_lista!$A$1:'Isojen_lista'!$A$6440,Isojen_lista!Q$5:'Isojen_lista'!Q$6444,_xlfn.XLOOKUP($B3,Pienten_lista!$A$1:'Pienten_lista'!$A$4860,Pienten_lista!Q$5:'Pienten_lista'!Q$4864,"Ei oo"))</calculatedColumnFormula>
    </tableColumn>
    <tableColumn id="110" xr3:uid="{F0AEA347-8FB9-4C6F-9A91-FAACF1E5C621}" name="Sarake99" dataDxfId="156">
      <calculatedColumnFormula array="1">_xlfn.XLOOKUP($B3,Isojen_lista!$A$1:'Isojen_lista'!$A$6440,Isojen_lista!R$5:'Isojen_lista'!R$6444,_xlfn.XLOOKUP($B3,Pienten_lista!$A$1:'Pienten_lista'!$A$4860,Pienten_lista!R$5:'Pienten_lista'!R$4864,"Ei oo"))</calculatedColumnFormula>
    </tableColumn>
    <tableColumn id="111" xr3:uid="{38B87290-4E58-492D-9CE1-B6CF7C9D78A5}" name="Sarake100" dataDxfId="155">
      <calculatedColumnFormula array="1">_xlfn.XLOOKUP($B3,Isojen_lista!$A$1:'Isojen_lista'!$A$6440,Isojen_lista!S$5:'Isojen_lista'!S$6444,_xlfn.XLOOKUP($B3,Pienten_lista!$A$1:'Pienten_lista'!$A$4860,Pienten_lista!S$5:'Pienten_lista'!S$4864,"Ei oo"))</calculatedColumnFormula>
    </tableColumn>
    <tableColumn id="112" xr3:uid="{99E070FE-0C12-4B2C-BC04-855199FC8A6A}" name="Sarake101" dataDxfId="154">
      <calculatedColumnFormula array="1">_xlfn.XLOOKUP($B3,Isojen_lista!$A$1:'Isojen_lista'!$A$6440,Isojen_lista!T$5:'Isojen_lista'!T$6444,_xlfn.XLOOKUP($B3,Pienten_lista!$A$1:'Pienten_lista'!$A$4860,Pienten_lista!T$5:'Pienten_lista'!T$4864,"Ei oo"))</calculatedColumnFormula>
    </tableColumn>
    <tableColumn id="113" xr3:uid="{D37EFA66-CC75-4F07-8D4B-645BB2C493D1}" name="Sarake102" dataDxfId="153">
      <calculatedColumnFormula array="1">_xlfn.XLOOKUP($B3,Isojen_lista!$A$1:'Isojen_lista'!$A$6440,Isojen_lista!U$5:'Isojen_lista'!U$6444,_xlfn.XLOOKUP($B3,Pienten_lista!$A$1:'Pienten_lista'!$A$4860,Pienten_lista!U$5:'Pienten_lista'!U$4864,"Ei oo"))</calculatedColumnFormula>
    </tableColumn>
    <tableColumn id="114" xr3:uid="{D836F396-53BB-4B8D-98E8-74E40DB489BE}" name="Sarake103" dataDxfId="152">
      <calculatedColumnFormula array="1">_xlfn.XLOOKUP($B3,Isojen_lista!$A$1:'Isojen_lista'!$A$6440,Isojen_lista!V$5:'Isojen_lista'!V$6444,_xlfn.XLOOKUP($B3,Pienten_lista!$A$1:'Pienten_lista'!$A$4860,Pienten_lista!V$5:'Pienten_lista'!V$4864,"Ei oo"))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3DA3164-8C44-4156-9156-A3438B7964F3}" name="tbl_t_lakananimet" displayName="tbl_t_lakananimet" ref="A2:B3" insertRow="1" totalsRowShown="0" tableBorderDxfId="151">
  <autoFilter ref="A2:B3" xr:uid="{23DA3164-8C44-4156-9156-A3438B7964F3}"/>
  <tableColumns count="2">
    <tableColumn id="1" xr3:uid="{E148D4F0-0B1D-4B99-8D0C-BEE0B8F3FB1D}" name="Ryhmän nimi"/>
    <tableColumn id="2" xr3:uid="{FB276D6A-3A15-40AD-8434-B14D1BB31A26}" name="Näytettävä nimi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0F6D6D-A295-40C5-B2A8-A043449089CC}" name="tbl_t_viikkoliitokset" displayName="tbl_t_viikkoliitokset" ref="A2:C3" insertRow="1" totalsRowShown="0" headerRowDxfId="150" dataDxfId="149">
  <autoFilter ref="A2:C3" xr:uid="{260F6D6D-A295-40C5-B2A8-A043449089CC}"/>
  <tableColumns count="3">
    <tableColumn id="1" xr3:uid="{9057AB54-F279-4B45-A315-DA1F90DB1FF1}" name="Nimi" dataDxfId="148"/>
    <tableColumn id="2" xr3:uid="{CE2CE6A9-261C-454B-A3F3-3D4BD01A25BD}" name="Viikkolistaan" dataDxfId="147"/>
    <tableColumn id="3" xr3:uid="{B1238B12-1D5A-443C-819D-B471606A0A47}" name="Ruokatilaukseen" dataDxfId="14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7FB42-B28A-4329-A510-B831B2CB23A9}" name="tbl_t_kalenteri" displayName="tbl_t_kalenteri" ref="A2:G3" insertRow="1" totalsRowShown="0">
  <autoFilter ref="A2:G3" xr:uid="{6D37FB42-B28A-4329-A510-B831B2CB23A9}"/>
  <sortState xmlns:xlrd2="http://schemas.microsoft.com/office/spreadsheetml/2017/richdata2" ref="A3:G3">
    <sortCondition ref="D3"/>
    <sortCondition ref="E3"/>
    <sortCondition ref="C3"/>
  </sortState>
  <tableColumns count="7">
    <tableColumn id="1" xr3:uid="{B21973B1-3453-4074-9DFB-D708086FDBAC}" name="Ryhmä"/>
    <tableColumn id="9" xr3:uid="{015ED99F-5896-4471-A3D1-7FA03BBAE557}" name="Käytössä"/>
    <tableColumn id="8" xr3:uid="{8064171C-D80B-4170-80E7-8309E285DB1A}" name="Aihe" dataDxfId="145"/>
    <tableColumn id="2" xr3:uid="{5C6F0E37-50FE-470D-9D1A-5F59C7B6220F}" name="Pvm" dataDxfId="144"/>
    <tableColumn id="3" xr3:uid="{C283A2E4-BDD7-4BC4-8416-ECF75817EC03}" name="Tuloaika" dataDxfId="143"/>
    <tableColumn id="4" xr3:uid="{4EE604CB-8D9A-474B-8A56-DCAAD7C23F95}" name="Lähtöaika" dataDxfId="142"/>
    <tableColumn id="5" xr3:uid="{DB328B1C-739F-4928-8F36-BEE6E33F787E}" name="ID" dataDxfId="14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/>
        </a:solidFill>
        <a:ln>
          <a:solidFill>
            <a:schemeClr val="tx1"/>
          </a:solidFill>
        </a:ln>
        <a:effectLst/>
      </a:spPr>
      <a:bodyPr vertOverflow="clip" horzOverflow="clip" rtlCol="0" anchor="ctr" anchorCtr="0"/>
      <a:lstStyle>
        <a:defPPr algn="ctr">
          <a:defRPr sz="1300">
            <a:ln w="3175" cap="sq" cmpd="sng">
              <a:solidFill>
                <a:schemeClr val="tx1">
                  <a:alpha val="6000"/>
                </a:schemeClr>
              </a:solidFill>
              <a:miter lim="800000"/>
            </a:ln>
            <a:solidFill>
              <a:schemeClr val="accent1">
                <a:lumMod val="75000"/>
              </a:schemeClr>
            </a:solidFill>
            <a:latin typeface="Verdana" panose="020B0604030504040204" pitchFamily="34" charset="0"/>
            <a:ea typeface="Verdana" panose="020B0604030504040204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1B4EB-51BD-47BF-AB41-0782DE8CB43C}">
  <sheetPr codeName="Taul35">
    <tabColor theme="0" tint="-0.499984740745262"/>
  </sheetPr>
  <dimension ref="A1:AH29"/>
  <sheetViews>
    <sheetView tabSelected="1" zoomScale="85" zoomScaleNormal="85" workbookViewId="0">
      <selection activeCell="J10" sqref="J10"/>
    </sheetView>
  </sheetViews>
  <sheetFormatPr defaultRowHeight="40.15" customHeight="1" x14ac:dyDescent="0.25"/>
  <cols>
    <col min="1" max="1" width="19.7109375" customWidth="1"/>
    <col min="2" max="2" width="10.140625" customWidth="1"/>
    <col min="4" max="4" width="12.28515625" customWidth="1"/>
    <col min="8" max="8" width="10.28515625" customWidth="1"/>
    <col min="13" max="14" width="9.28515625" customWidth="1"/>
    <col min="15" max="16" width="9.7109375" customWidth="1"/>
    <col min="25" max="30" width="9.140625" hidden="1" customWidth="1"/>
  </cols>
  <sheetData>
    <row r="1" spans="1:34" ht="47.45" customHeight="1" thickBot="1" x14ac:dyDescent="0.3">
      <c r="A1" s="93" t="s">
        <v>0</v>
      </c>
      <c r="B1" s="162" t="s">
        <v>283</v>
      </c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94" t="s">
        <v>0</v>
      </c>
      <c r="P1" s="94" t="s">
        <v>0</v>
      </c>
      <c r="Q1" s="161" t="s">
        <v>286</v>
      </c>
      <c r="R1" s="161"/>
      <c r="S1" s="161"/>
      <c r="T1" s="94" t="s">
        <v>0</v>
      </c>
      <c r="U1" s="156" t="s">
        <v>313</v>
      </c>
      <c r="V1" s="156"/>
      <c r="W1" s="156"/>
      <c r="X1" s="157"/>
      <c r="Y1" t="s">
        <v>0</v>
      </c>
      <c r="Z1" t="s">
        <v>0</v>
      </c>
      <c r="AA1" t="s">
        <v>0</v>
      </c>
      <c r="AB1" t="s">
        <v>0</v>
      </c>
      <c r="AC1" t="s">
        <v>0</v>
      </c>
      <c r="AD1" t="s">
        <v>0</v>
      </c>
      <c r="AE1" t="s">
        <v>0</v>
      </c>
      <c r="AF1" t="s">
        <v>0</v>
      </c>
      <c r="AG1" t="s">
        <v>0</v>
      </c>
      <c r="AH1" t="s">
        <v>0</v>
      </c>
    </row>
    <row r="2" spans="1:34" ht="264" customHeight="1" x14ac:dyDescent="0.3">
      <c r="A2" s="63" t="s">
        <v>0</v>
      </c>
      <c r="B2" s="58" t="s">
        <v>0</v>
      </c>
      <c r="C2" s="58" t="s">
        <v>0</v>
      </c>
      <c r="D2" s="168" t="s">
        <v>0</v>
      </c>
      <c r="E2" s="168" t="s">
        <v>0</v>
      </c>
      <c r="F2" s="168" t="s">
        <v>0</v>
      </c>
      <c r="G2" s="58" t="s">
        <v>0</v>
      </c>
      <c r="H2" s="58" t="s">
        <v>0</v>
      </c>
      <c r="I2" s="58" t="s">
        <v>0</v>
      </c>
      <c r="J2" s="58" t="s">
        <v>0</v>
      </c>
      <c r="K2" s="58" t="s">
        <v>0</v>
      </c>
      <c r="L2" s="58" t="s">
        <v>0</v>
      </c>
      <c r="M2" s="58" t="s">
        <v>0</v>
      </c>
      <c r="N2" s="163" t="s">
        <v>312</v>
      </c>
      <c r="O2" s="163"/>
      <c r="P2" s="163"/>
      <c r="Q2" s="163"/>
      <c r="R2" s="163"/>
      <c r="S2" s="62" t="s">
        <v>0</v>
      </c>
      <c r="T2" s="58" t="s">
        <v>0</v>
      </c>
      <c r="U2" s="58" t="s">
        <v>0</v>
      </c>
      <c r="V2" s="58">
        <v>6</v>
      </c>
      <c r="W2" s="58" t="s">
        <v>0</v>
      </c>
      <c r="X2" s="59" t="s">
        <v>0</v>
      </c>
      <c r="Y2" t="s">
        <v>0</v>
      </c>
      <c r="Z2" t="s">
        <v>0</v>
      </c>
      <c r="AA2" t="s">
        <v>0</v>
      </c>
      <c r="AB2" t="s">
        <v>0</v>
      </c>
      <c r="AC2" t="s">
        <v>0</v>
      </c>
      <c r="AD2" t="s">
        <v>0</v>
      </c>
      <c r="AE2" t="s">
        <v>0</v>
      </c>
      <c r="AF2" t="s">
        <v>0</v>
      </c>
      <c r="AG2" t="s">
        <v>0</v>
      </c>
      <c r="AH2" t="s">
        <v>0</v>
      </c>
    </row>
    <row r="3" spans="1:34" ht="15.75" customHeight="1" x14ac:dyDescent="0.35">
      <c r="A3" s="164" t="s">
        <v>0</v>
      </c>
      <c r="B3" s="164"/>
      <c r="C3" s="164"/>
      <c r="D3" s="113" t="s">
        <v>0</v>
      </c>
      <c r="E3" s="58" t="s">
        <v>0</v>
      </c>
      <c r="F3" s="129" t="s">
        <v>0</v>
      </c>
      <c r="G3" s="129" t="s">
        <v>0</v>
      </c>
      <c r="H3" s="129" t="s">
        <v>0</v>
      </c>
      <c r="I3" s="129" t="s">
        <v>0</v>
      </c>
      <c r="J3" s="129" t="s">
        <v>0</v>
      </c>
      <c r="K3" s="129" t="s">
        <v>0</v>
      </c>
      <c r="L3" s="129" t="s">
        <v>0</v>
      </c>
      <c r="M3" s="58" t="s">
        <v>0</v>
      </c>
      <c r="N3" s="58" t="s">
        <v>0</v>
      </c>
      <c r="O3" s="58" t="s">
        <v>0</v>
      </c>
      <c r="P3" s="58" t="s">
        <v>0</v>
      </c>
      <c r="Q3" s="58" t="s">
        <v>0</v>
      </c>
      <c r="R3" s="58" t="s">
        <v>0</v>
      </c>
      <c r="S3" s="58" t="s">
        <v>0</v>
      </c>
      <c r="T3" s="58" t="s">
        <v>0</v>
      </c>
      <c r="U3" s="58" t="s">
        <v>0</v>
      </c>
      <c r="V3" s="58" t="s">
        <v>0</v>
      </c>
      <c r="W3" s="58" t="s">
        <v>0</v>
      </c>
      <c r="X3" s="59" t="s">
        <v>0</v>
      </c>
      <c r="Y3" t="s">
        <v>0</v>
      </c>
      <c r="Z3" t="s">
        <v>0</v>
      </c>
      <c r="AA3" t="s">
        <v>0</v>
      </c>
      <c r="AB3" t="s">
        <v>0</v>
      </c>
      <c r="AC3" t="s">
        <v>0</v>
      </c>
      <c r="AD3" t="s">
        <v>0</v>
      </c>
      <c r="AE3" t="s">
        <v>0</v>
      </c>
      <c r="AF3" t="s">
        <v>0</v>
      </c>
      <c r="AG3" t="s">
        <v>0</v>
      </c>
      <c r="AH3" t="s">
        <v>0</v>
      </c>
    </row>
    <row r="4" spans="1:34" ht="40.15" hidden="1" customHeight="1" x14ac:dyDescent="0.35">
      <c r="A4" s="57" t="s">
        <v>0</v>
      </c>
      <c r="B4" s="58" t="s">
        <v>0</v>
      </c>
      <c r="C4" s="58" t="s">
        <v>0</v>
      </c>
      <c r="D4" s="58" t="s">
        <v>0</v>
      </c>
      <c r="E4" s="58" t="s">
        <v>0</v>
      </c>
      <c r="F4" s="129" t="s">
        <v>0</v>
      </c>
      <c r="G4" s="129" t="s">
        <v>0</v>
      </c>
      <c r="H4" s="129" t="s">
        <v>0</v>
      </c>
      <c r="I4" s="129" t="s">
        <v>0</v>
      </c>
      <c r="J4" s="129" t="s">
        <v>0</v>
      </c>
      <c r="K4" s="129" t="s">
        <v>0</v>
      </c>
      <c r="L4" s="129" t="s">
        <v>0</v>
      </c>
      <c r="M4" s="58" t="s">
        <v>0</v>
      </c>
      <c r="N4" s="58" t="s">
        <v>0</v>
      </c>
      <c r="O4" s="58" t="s">
        <v>0</v>
      </c>
      <c r="P4" s="58" t="s">
        <v>0</v>
      </c>
      <c r="Q4" s="58" t="s">
        <v>0</v>
      </c>
      <c r="R4" s="58" t="s">
        <v>0</v>
      </c>
      <c r="S4" s="58" t="s">
        <v>0</v>
      </c>
      <c r="T4" s="58" t="s">
        <v>0</v>
      </c>
      <c r="U4" s="58" t="s">
        <v>0</v>
      </c>
      <c r="V4" s="58" t="s">
        <v>0</v>
      </c>
      <c r="W4" s="58" t="s">
        <v>0</v>
      </c>
      <c r="X4" s="59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</row>
    <row r="5" spans="1:34" ht="40.15" hidden="1" customHeight="1" x14ac:dyDescent="0.35">
      <c r="A5" s="57" t="s">
        <v>0</v>
      </c>
      <c r="B5" s="58" t="s">
        <v>0</v>
      </c>
      <c r="C5" s="58" t="s">
        <v>0</v>
      </c>
      <c r="D5" s="58" t="s">
        <v>0</v>
      </c>
      <c r="E5" s="58" t="s">
        <v>0</v>
      </c>
      <c r="F5" s="129" t="s">
        <v>0</v>
      </c>
      <c r="G5" s="129" t="s">
        <v>0</v>
      </c>
      <c r="H5" s="129" t="s">
        <v>0</v>
      </c>
      <c r="I5" s="129" t="s">
        <v>0</v>
      </c>
      <c r="J5" s="129" t="s">
        <v>0</v>
      </c>
      <c r="K5" s="129" t="s">
        <v>0</v>
      </c>
      <c r="L5" s="129" t="s">
        <v>0</v>
      </c>
      <c r="M5" s="58" t="s">
        <v>0</v>
      </c>
      <c r="N5" s="58" t="s">
        <v>0</v>
      </c>
      <c r="O5" s="58" t="s">
        <v>0</v>
      </c>
      <c r="P5" s="58" t="s">
        <v>0</v>
      </c>
      <c r="Q5" s="58" t="s">
        <v>0</v>
      </c>
      <c r="R5" s="58" t="s">
        <v>0</v>
      </c>
      <c r="S5" s="58" t="s">
        <v>0</v>
      </c>
      <c r="T5" s="58" t="s">
        <v>0</v>
      </c>
      <c r="U5" s="58" t="s">
        <v>0</v>
      </c>
      <c r="V5" s="58" t="s">
        <v>0</v>
      </c>
      <c r="W5" s="58" t="s">
        <v>0</v>
      </c>
      <c r="X5" s="59" t="s">
        <v>0</v>
      </c>
      <c r="Y5" t="s">
        <v>0</v>
      </c>
      <c r="Z5" t="s">
        <v>0</v>
      </c>
      <c r="AA5" t="s">
        <v>0</v>
      </c>
      <c r="AB5" t="s">
        <v>0</v>
      </c>
      <c r="AC5" t="s">
        <v>0</v>
      </c>
      <c r="AD5" t="s">
        <v>0</v>
      </c>
      <c r="AE5" t="s">
        <v>0</v>
      </c>
      <c r="AF5" t="s">
        <v>0</v>
      </c>
      <c r="AG5" t="s">
        <v>0</v>
      </c>
      <c r="AH5" t="s">
        <v>0</v>
      </c>
    </row>
    <row r="6" spans="1:34" ht="3.6" customHeight="1" x14ac:dyDescent="0.35">
      <c r="A6" s="57" t="s">
        <v>0</v>
      </c>
      <c r="B6" s="58" t="s">
        <v>0</v>
      </c>
      <c r="C6" s="58" t="s">
        <v>0</v>
      </c>
      <c r="D6" s="58" t="s">
        <v>0</v>
      </c>
      <c r="E6" s="58" t="s">
        <v>0</v>
      </c>
      <c r="F6" s="129" t="s">
        <v>0</v>
      </c>
      <c r="G6" s="129" t="s">
        <v>0</v>
      </c>
      <c r="H6" s="129" t="s">
        <v>0</v>
      </c>
      <c r="I6" s="129" t="s">
        <v>0</v>
      </c>
      <c r="J6" s="129" t="s">
        <v>0</v>
      </c>
      <c r="K6" s="129" t="s">
        <v>0</v>
      </c>
      <c r="L6" s="129" t="s">
        <v>0</v>
      </c>
      <c r="M6" s="58" t="s">
        <v>0</v>
      </c>
      <c r="N6" s="58" t="s">
        <v>0</v>
      </c>
      <c r="O6" s="58" t="s">
        <v>0</v>
      </c>
      <c r="P6" s="58" t="s">
        <v>0</v>
      </c>
      <c r="Q6" s="58" t="s">
        <v>0</v>
      </c>
      <c r="R6" s="58" t="s">
        <v>0</v>
      </c>
      <c r="S6" s="58" t="s">
        <v>0</v>
      </c>
      <c r="T6" s="58" t="s">
        <v>0</v>
      </c>
      <c r="U6" s="58" t="s">
        <v>0</v>
      </c>
      <c r="V6" s="58" t="s">
        <v>0</v>
      </c>
      <c r="W6" s="58" t="s">
        <v>0</v>
      </c>
      <c r="X6" s="59" t="s">
        <v>0</v>
      </c>
      <c r="Y6" t="s">
        <v>0</v>
      </c>
      <c r="Z6" t="s">
        <v>0</v>
      </c>
      <c r="AA6" t="s">
        <v>0</v>
      </c>
      <c r="AB6" t="s">
        <v>0</v>
      </c>
      <c r="AC6" t="s">
        <v>0</v>
      </c>
      <c r="AD6" t="s">
        <v>0</v>
      </c>
      <c r="AE6" t="s">
        <v>0</v>
      </c>
      <c r="AF6" t="s">
        <v>0</v>
      </c>
      <c r="AG6" t="s">
        <v>0</v>
      </c>
      <c r="AH6" t="s">
        <v>0</v>
      </c>
    </row>
    <row r="7" spans="1:34" ht="26.25" customHeight="1" thickBot="1" x14ac:dyDescent="0.4">
      <c r="A7" s="148" t="s">
        <v>311</v>
      </c>
      <c r="B7" s="169"/>
      <c r="C7" s="170"/>
      <c r="D7" s="170"/>
      <c r="E7" s="171"/>
      <c r="F7" s="129"/>
      <c r="G7" s="129"/>
      <c r="H7" s="129" t="s">
        <v>0</v>
      </c>
      <c r="I7" s="129" t="s">
        <v>0</v>
      </c>
      <c r="J7" s="129" t="s">
        <v>0</v>
      </c>
      <c r="K7" s="129" t="s">
        <v>0</v>
      </c>
      <c r="L7" s="129" t="s">
        <v>0</v>
      </c>
      <c r="M7" s="58" t="s">
        <v>0</v>
      </c>
      <c r="N7" s="58" t="s">
        <v>0</v>
      </c>
      <c r="O7" s="58" t="s">
        <v>0</v>
      </c>
      <c r="P7" s="58" t="s">
        <v>0</v>
      </c>
      <c r="Q7" s="58" t="s">
        <v>0</v>
      </c>
      <c r="R7" s="58" t="s">
        <v>0</v>
      </c>
      <c r="S7" s="58" t="s">
        <v>0</v>
      </c>
      <c r="T7" s="58" t="s">
        <v>0</v>
      </c>
      <c r="U7" s="58" t="s">
        <v>0</v>
      </c>
      <c r="V7" s="58" t="s">
        <v>0</v>
      </c>
      <c r="W7" s="58" t="s">
        <v>0</v>
      </c>
      <c r="X7" s="59" t="s">
        <v>0</v>
      </c>
      <c r="Y7" t="s">
        <v>0</v>
      </c>
      <c r="Z7" t="s">
        <v>0</v>
      </c>
      <c r="AA7" t="s">
        <v>0</v>
      </c>
      <c r="AB7" t="s">
        <v>0</v>
      </c>
      <c r="AC7" t="s">
        <v>0</v>
      </c>
      <c r="AD7" t="s">
        <v>0</v>
      </c>
      <c r="AE7" t="s">
        <v>0</v>
      </c>
      <c r="AF7" t="s">
        <v>0</v>
      </c>
      <c r="AG7" t="s">
        <v>0</v>
      </c>
      <c r="AH7" t="s">
        <v>0</v>
      </c>
    </row>
    <row r="8" spans="1:34" ht="36" customHeight="1" thickBot="1" x14ac:dyDescent="0.4">
      <c r="A8" s="57" t="s">
        <v>0</v>
      </c>
      <c r="B8" s="165" t="s">
        <v>0</v>
      </c>
      <c r="C8" s="165"/>
      <c r="D8" s="165"/>
      <c r="E8" s="58" t="s">
        <v>0</v>
      </c>
      <c r="F8" s="129" t="s">
        <v>0</v>
      </c>
      <c r="G8" s="129" t="s">
        <v>0</v>
      </c>
      <c r="H8" s="129" t="s">
        <v>0</v>
      </c>
      <c r="I8" s="129" t="s">
        <v>0</v>
      </c>
      <c r="J8" s="129" t="s">
        <v>0</v>
      </c>
      <c r="K8" s="129" t="s">
        <v>0</v>
      </c>
      <c r="L8" s="129" t="s">
        <v>0</v>
      </c>
      <c r="M8" s="58" t="s">
        <v>0</v>
      </c>
      <c r="N8" s="58" t="s">
        <v>0</v>
      </c>
      <c r="O8" s="166" t="s">
        <v>1</v>
      </c>
      <c r="P8" s="166"/>
      <c r="Q8" s="166"/>
      <c r="R8" s="167"/>
      <c r="S8" s="158" t="s">
        <v>249</v>
      </c>
      <c r="T8" s="159"/>
      <c r="U8" s="159"/>
      <c r="V8" s="160"/>
      <c r="W8" s="58" t="s">
        <v>0</v>
      </c>
      <c r="X8" s="59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  <c r="AE8" t="s">
        <v>0</v>
      </c>
      <c r="AF8" t="s">
        <v>0</v>
      </c>
      <c r="AG8" t="s">
        <v>0</v>
      </c>
      <c r="AH8" t="s">
        <v>0</v>
      </c>
    </row>
    <row r="9" spans="1:34" s="111" customFormat="1" ht="27" customHeight="1" x14ac:dyDescent="0.35">
      <c r="A9" s="146" t="s">
        <v>0</v>
      </c>
      <c r="B9" s="146" t="s">
        <v>0</v>
      </c>
      <c r="C9" s="146" t="s">
        <v>0</v>
      </c>
      <c r="D9" s="146" t="s">
        <v>0</v>
      </c>
      <c r="E9" s="146" t="s">
        <v>0</v>
      </c>
      <c r="F9" s="146" t="s">
        <v>0</v>
      </c>
      <c r="G9" s="146" t="s">
        <v>0</v>
      </c>
      <c r="H9" s="146" t="s">
        <v>0</v>
      </c>
      <c r="I9" s="146" t="s">
        <v>0</v>
      </c>
      <c r="J9" s="146" t="s">
        <v>0</v>
      </c>
      <c r="K9" s="146" t="s">
        <v>0</v>
      </c>
      <c r="L9" s="146" t="s">
        <v>0</v>
      </c>
      <c r="M9" s="146" t="s">
        <v>0</v>
      </c>
      <c r="N9" s="146" t="s">
        <v>0</v>
      </c>
      <c r="O9" s="146" t="s">
        <v>0</v>
      </c>
      <c r="P9" s="146" t="s">
        <v>0</v>
      </c>
      <c r="Q9" s="146" t="s">
        <v>0</v>
      </c>
      <c r="R9" s="146" t="s">
        <v>0</v>
      </c>
      <c r="S9" s="146" t="s">
        <v>0</v>
      </c>
      <c r="T9" s="146" t="s">
        <v>0</v>
      </c>
      <c r="U9" s="146" t="s">
        <v>0</v>
      </c>
      <c r="V9" s="146" t="s">
        <v>0</v>
      </c>
      <c r="W9" s="146" t="s">
        <v>0</v>
      </c>
      <c r="X9" s="147" t="s">
        <v>0</v>
      </c>
      <c r="Y9" s="111" t="s">
        <v>0</v>
      </c>
      <c r="Z9" s="111" t="s">
        <v>0</v>
      </c>
      <c r="AA9" s="111" t="s">
        <v>0</v>
      </c>
      <c r="AB9" s="111" t="s">
        <v>0</v>
      </c>
      <c r="AC9" s="111" t="s">
        <v>0</v>
      </c>
      <c r="AD9" s="111" t="s">
        <v>0</v>
      </c>
      <c r="AE9" s="111" t="s">
        <v>0</v>
      </c>
      <c r="AF9" s="111" t="s">
        <v>0</v>
      </c>
      <c r="AG9" s="111" t="s">
        <v>0</v>
      </c>
      <c r="AH9" s="111" t="s">
        <v>0</v>
      </c>
    </row>
    <row r="10" spans="1:34" s="111" customFormat="1" ht="60" customHeight="1" x14ac:dyDescent="0.25">
      <c r="A10" s="111" t="s">
        <v>233</v>
      </c>
      <c r="B10" s="149">
        <v>2023</v>
      </c>
      <c r="C10" s="155" t="s">
        <v>234</v>
      </c>
      <c r="D10" s="155"/>
      <c r="E10" s="111" t="s">
        <v>0</v>
      </c>
      <c r="F10" s="111" t="s">
        <v>0</v>
      </c>
      <c r="G10" s="111" t="s">
        <v>0</v>
      </c>
      <c r="H10" s="111" t="s">
        <v>0</v>
      </c>
      <c r="I10" s="111" t="s">
        <v>0</v>
      </c>
      <c r="J10" s="111" t="s">
        <v>0</v>
      </c>
      <c r="K10" s="111" t="s">
        <v>0</v>
      </c>
      <c r="L10" s="111" t="s">
        <v>0</v>
      </c>
      <c r="M10" s="111" t="s">
        <v>0</v>
      </c>
      <c r="N10" s="111" t="s">
        <v>0</v>
      </c>
      <c r="O10" s="111" t="s">
        <v>0</v>
      </c>
      <c r="P10" s="111" t="s">
        <v>0</v>
      </c>
      <c r="Q10" s="111" t="s">
        <v>0</v>
      </c>
      <c r="R10" s="111" t="s">
        <v>0</v>
      </c>
      <c r="S10" s="111" t="s">
        <v>0</v>
      </c>
      <c r="T10" s="111" t="s">
        <v>0</v>
      </c>
      <c r="U10" s="111" t="s">
        <v>0</v>
      </c>
      <c r="V10" s="111" t="s">
        <v>0</v>
      </c>
      <c r="W10" s="111" t="s">
        <v>0</v>
      </c>
      <c r="X10" s="111" t="s">
        <v>0</v>
      </c>
      <c r="Y10" s="111" t="s">
        <v>0</v>
      </c>
      <c r="Z10" s="111" t="s">
        <v>0</v>
      </c>
      <c r="AA10" s="111" t="s">
        <v>0</v>
      </c>
      <c r="AB10" s="111" t="s">
        <v>0</v>
      </c>
      <c r="AC10" s="111" t="s">
        <v>0</v>
      </c>
      <c r="AD10" s="111" t="s">
        <v>0</v>
      </c>
      <c r="AE10" s="111" t="s">
        <v>0</v>
      </c>
      <c r="AF10" s="111" t="s">
        <v>0</v>
      </c>
      <c r="AG10" s="111" t="s">
        <v>0</v>
      </c>
      <c r="AH10" s="111" t="s">
        <v>0</v>
      </c>
    </row>
    <row r="11" spans="1:34" s="111" customFormat="1" ht="30" x14ac:dyDescent="0.25">
      <c r="C11" s="2">
        <v>1</v>
      </c>
      <c r="D11" s="2" t="str" cm="1">
        <f t="array" ref="D11">titaniajakso($B$10,C11,$C$11)</f>
        <v>02.01.2023-22.01.2023</v>
      </c>
      <c r="E11" s="111" t="s">
        <v>0</v>
      </c>
      <c r="F11" s="111" t="s">
        <v>0</v>
      </c>
      <c r="G11" s="111" t="s">
        <v>0</v>
      </c>
      <c r="H11" s="111" t="s">
        <v>0</v>
      </c>
      <c r="I11" s="111" t="s">
        <v>0</v>
      </c>
      <c r="J11" s="111" t="s">
        <v>0</v>
      </c>
      <c r="K11" s="111" t="s">
        <v>0</v>
      </c>
      <c r="L11" s="111" t="s">
        <v>0</v>
      </c>
      <c r="M11" s="111" t="s">
        <v>0</v>
      </c>
      <c r="N11" s="111" t="s">
        <v>0</v>
      </c>
      <c r="O11" s="111" t="s">
        <v>0</v>
      </c>
      <c r="P11" s="111" t="s">
        <v>0</v>
      </c>
      <c r="Q11" s="111" t="s">
        <v>0</v>
      </c>
      <c r="R11" s="111" t="s">
        <v>0</v>
      </c>
      <c r="S11" s="111" t="s">
        <v>0</v>
      </c>
      <c r="T11" s="111" t="s">
        <v>0</v>
      </c>
      <c r="U11" s="111" t="s">
        <v>0</v>
      </c>
      <c r="V11" s="111" t="s">
        <v>0</v>
      </c>
      <c r="W11" s="111" t="s">
        <v>0</v>
      </c>
      <c r="X11" s="111" t="s">
        <v>0</v>
      </c>
      <c r="Y11" s="111" t="s">
        <v>0</v>
      </c>
      <c r="Z11" s="111" t="s">
        <v>0</v>
      </c>
      <c r="AA11" s="111" t="s">
        <v>0</v>
      </c>
      <c r="AB11" s="111" t="s">
        <v>0</v>
      </c>
      <c r="AC11" s="111" t="s">
        <v>0</v>
      </c>
      <c r="AD11" s="111" t="s">
        <v>0</v>
      </c>
      <c r="AE11" s="111" t="s">
        <v>0</v>
      </c>
      <c r="AF11" s="111" t="s">
        <v>0</v>
      </c>
      <c r="AG11" s="111" t="s">
        <v>0</v>
      </c>
      <c r="AH11" s="111" t="s">
        <v>0</v>
      </c>
    </row>
    <row r="12" spans="1:34" s="111" customFormat="1" ht="30" x14ac:dyDescent="0.25">
      <c r="C12" s="2">
        <v>2</v>
      </c>
      <c r="D12" s="2" t="str" cm="1">
        <f t="array" ref="D12">titaniajakso($B$10,C12,$C$11)</f>
        <v>23.01.2023-12.02.2023</v>
      </c>
      <c r="E12" s="111" t="s">
        <v>0</v>
      </c>
      <c r="F12" s="111" t="s">
        <v>0</v>
      </c>
      <c r="G12" s="111" t="s">
        <v>0</v>
      </c>
      <c r="H12" s="111" t="s">
        <v>0</v>
      </c>
      <c r="I12" s="111" t="s">
        <v>0</v>
      </c>
      <c r="J12" s="111" t="s">
        <v>0</v>
      </c>
      <c r="K12" s="111" t="s">
        <v>0</v>
      </c>
      <c r="L12" s="111" t="s">
        <v>0</v>
      </c>
      <c r="M12" s="111" t="s">
        <v>0</v>
      </c>
      <c r="N12" s="111" t="s">
        <v>0</v>
      </c>
      <c r="O12" s="111" t="s">
        <v>0</v>
      </c>
      <c r="P12" s="111" t="s">
        <v>0</v>
      </c>
      <c r="Q12" s="111" t="s">
        <v>0</v>
      </c>
      <c r="R12" s="111" t="s">
        <v>0</v>
      </c>
      <c r="S12" s="111" t="s">
        <v>0</v>
      </c>
      <c r="T12" s="111" t="s">
        <v>0</v>
      </c>
      <c r="U12" s="111" t="s">
        <v>0</v>
      </c>
      <c r="V12" s="111" t="s">
        <v>0</v>
      </c>
      <c r="W12" s="111" t="s">
        <v>0</v>
      </c>
      <c r="X12" s="111" t="s">
        <v>0</v>
      </c>
      <c r="Y12" s="111" t="s">
        <v>0</v>
      </c>
      <c r="Z12" s="111" t="s">
        <v>0</v>
      </c>
      <c r="AA12" s="111" t="s">
        <v>0</v>
      </c>
      <c r="AB12" s="111" t="s">
        <v>0</v>
      </c>
      <c r="AC12" s="111" t="s">
        <v>0</v>
      </c>
      <c r="AD12" s="111" t="s">
        <v>0</v>
      </c>
      <c r="AE12" s="111" t="s">
        <v>0</v>
      </c>
      <c r="AF12" s="111" t="s">
        <v>0</v>
      </c>
      <c r="AG12" s="111" t="s">
        <v>0</v>
      </c>
      <c r="AH12" s="111" t="s">
        <v>0</v>
      </c>
    </row>
    <row r="13" spans="1:34" s="111" customFormat="1" ht="30" x14ac:dyDescent="0.25">
      <c r="C13" s="2">
        <v>3</v>
      </c>
      <c r="D13" s="2" t="str" cm="1">
        <f t="array" ref="D13">titaniajakso($B$10,C13,$C$11)</f>
        <v>13.02.2023-05.03.2023</v>
      </c>
      <c r="E13" s="111" t="s">
        <v>0</v>
      </c>
      <c r="F13" s="111" t="s">
        <v>0</v>
      </c>
      <c r="G13" s="111" t="s">
        <v>0</v>
      </c>
      <c r="H13" s="111" t="s">
        <v>0</v>
      </c>
      <c r="I13" s="111" t="s">
        <v>0</v>
      </c>
      <c r="J13" s="111" t="s">
        <v>0</v>
      </c>
      <c r="K13" s="111" t="s">
        <v>0</v>
      </c>
      <c r="L13" s="111" t="s">
        <v>0</v>
      </c>
      <c r="M13" s="111" t="s">
        <v>0</v>
      </c>
      <c r="N13" s="111" t="s">
        <v>0</v>
      </c>
      <c r="O13" s="111" t="s">
        <v>0</v>
      </c>
      <c r="P13" s="111" t="s">
        <v>0</v>
      </c>
      <c r="Q13" s="111" t="s">
        <v>0</v>
      </c>
      <c r="R13" s="111" t="s">
        <v>0</v>
      </c>
      <c r="S13" s="111" t="s">
        <v>0</v>
      </c>
      <c r="T13" s="111" t="s">
        <v>0</v>
      </c>
      <c r="U13" s="111" t="s">
        <v>0</v>
      </c>
      <c r="V13" s="111" t="s">
        <v>0</v>
      </c>
      <c r="W13" s="111" t="s">
        <v>0</v>
      </c>
      <c r="X13" s="111" t="s">
        <v>0</v>
      </c>
      <c r="Y13" s="111" t="s">
        <v>0</v>
      </c>
      <c r="Z13" s="111" t="s">
        <v>0</v>
      </c>
      <c r="AA13" s="111" t="s">
        <v>0</v>
      </c>
      <c r="AB13" s="111" t="s">
        <v>0</v>
      </c>
      <c r="AC13" s="111" t="s">
        <v>0</v>
      </c>
      <c r="AD13" s="111" t="s">
        <v>0</v>
      </c>
      <c r="AE13" s="111" t="s">
        <v>0</v>
      </c>
      <c r="AF13" s="111" t="s">
        <v>0</v>
      </c>
      <c r="AG13" s="111" t="s">
        <v>0</v>
      </c>
      <c r="AH13" s="111" t="s">
        <v>0</v>
      </c>
    </row>
    <row r="14" spans="1:34" s="111" customFormat="1" ht="30" x14ac:dyDescent="0.25">
      <c r="C14" s="2">
        <v>4</v>
      </c>
      <c r="D14" s="2" t="str" cm="1">
        <f t="array" ref="D14">titaniajakso($B$10,C14,$C$11)</f>
        <v>06.03.2023-26.03.2023</v>
      </c>
      <c r="E14" s="111" t="s">
        <v>0</v>
      </c>
      <c r="F14" s="111" t="s">
        <v>0</v>
      </c>
      <c r="G14" s="111" t="s">
        <v>0</v>
      </c>
      <c r="H14" s="111" t="s">
        <v>0</v>
      </c>
      <c r="I14" s="111" t="s">
        <v>0</v>
      </c>
      <c r="J14" s="111" t="s">
        <v>0</v>
      </c>
      <c r="K14" s="111" t="s">
        <v>0</v>
      </c>
      <c r="L14" s="111" t="s">
        <v>0</v>
      </c>
      <c r="M14" s="111" t="s">
        <v>0</v>
      </c>
      <c r="N14" s="111" t="s">
        <v>0</v>
      </c>
      <c r="O14" s="111" t="s">
        <v>0</v>
      </c>
      <c r="P14" s="111" t="s">
        <v>0</v>
      </c>
      <c r="Q14" s="111" t="s">
        <v>0</v>
      </c>
      <c r="R14" s="111" t="s">
        <v>0</v>
      </c>
      <c r="S14" s="111" t="s">
        <v>0</v>
      </c>
      <c r="T14" s="111" t="s">
        <v>0</v>
      </c>
      <c r="U14" s="111" t="s">
        <v>0</v>
      </c>
      <c r="V14" s="111" t="s">
        <v>0</v>
      </c>
      <c r="W14" s="111" t="s">
        <v>0</v>
      </c>
      <c r="X14" s="111" t="s">
        <v>0</v>
      </c>
      <c r="Y14" s="111" t="s">
        <v>0</v>
      </c>
      <c r="Z14" s="111" t="s">
        <v>0</v>
      </c>
      <c r="AA14" s="111" t="s">
        <v>0</v>
      </c>
      <c r="AB14" s="111" t="s">
        <v>0</v>
      </c>
      <c r="AC14" s="111" t="s">
        <v>0</v>
      </c>
      <c r="AD14" s="111" t="s">
        <v>0</v>
      </c>
      <c r="AE14" s="111" t="s">
        <v>0</v>
      </c>
      <c r="AF14" s="111" t="s">
        <v>0</v>
      </c>
      <c r="AG14" s="111" t="s">
        <v>0</v>
      </c>
      <c r="AH14" s="111" t="s">
        <v>0</v>
      </c>
    </row>
    <row r="15" spans="1:34" s="26" customFormat="1" ht="30" x14ac:dyDescent="0.25">
      <c r="C15" s="2">
        <v>5</v>
      </c>
      <c r="D15" s="2" t="str" cm="1">
        <f t="array" ref="D15">titaniajakso($B$10,C15,$C$11)</f>
        <v>27.03.2023-16.04.2023</v>
      </c>
      <c r="E15" s="26" t="s">
        <v>0</v>
      </c>
      <c r="F15" s="26" t="s">
        <v>0</v>
      </c>
      <c r="G15" s="26" t="s">
        <v>0</v>
      </c>
      <c r="H15" s="26" t="s">
        <v>0</v>
      </c>
      <c r="I15" s="26" t="s">
        <v>0</v>
      </c>
      <c r="J15" s="26" t="s">
        <v>0</v>
      </c>
      <c r="K15" s="26" t="s">
        <v>0</v>
      </c>
      <c r="L15" s="26" t="s">
        <v>0</v>
      </c>
      <c r="M15" s="26" t="s">
        <v>0</v>
      </c>
      <c r="N15" s="26" t="s">
        <v>0</v>
      </c>
      <c r="O15" s="26" t="s">
        <v>0</v>
      </c>
      <c r="P15" s="26" t="s">
        <v>0</v>
      </c>
      <c r="Q15" s="26" t="s">
        <v>0</v>
      </c>
      <c r="R15" s="26" t="s">
        <v>0</v>
      </c>
      <c r="S15" s="26" t="s">
        <v>0</v>
      </c>
      <c r="T15" s="26" t="s">
        <v>0</v>
      </c>
      <c r="U15" s="26" t="s">
        <v>0</v>
      </c>
      <c r="V15" s="26" t="s">
        <v>0</v>
      </c>
      <c r="W15" s="26" t="s">
        <v>0</v>
      </c>
      <c r="X15" s="26" t="s">
        <v>0</v>
      </c>
      <c r="Y15" s="26" t="s">
        <v>0</v>
      </c>
      <c r="Z15" s="26" t="s">
        <v>0</v>
      </c>
      <c r="AA15" s="26" t="s">
        <v>0</v>
      </c>
      <c r="AB15" s="26" t="s">
        <v>0</v>
      </c>
      <c r="AC15" s="26" t="s">
        <v>0</v>
      </c>
      <c r="AD15" s="26" t="s">
        <v>0</v>
      </c>
      <c r="AE15" s="26" t="s">
        <v>0</v>
      </c>
      <c r="AF15" s="26" t="s">
        <v>0</v>
      </c>
      <c r="AG15" s="26" t="s">
        <v>0</v>
      </c>
      <c r="AH15" s="26" t="s">
        <v>0</v>
      </c>
    </row>
    <row r="16" spans="1:34" s="26" customFormat="1" ht="30" x14ac:dyDescent="0.25">
      <c r="C16" s="2">
        <v>6</v>
      </c>
      <c r="D16" s="2" t="str" cm="1">
        <f t="array" ref="D16">titaniajakso($B$10,C16,$C$11)</f>
        <v>17.04.2023-07.05.2023</v>
      </c>
      <c r="E16" s="26" t="s">
        <v>0</v>
      </c>
      <c r="F16" s="26" t="s">
        <v>0</v>
      </c>
      <c r="G16" s="26" t="s">
        <v>0</v>
      </c>
      <c r="H16" s="26" t="s">
        <v>0</v>
      </c>
      <c r="I16" s="26" t="s">
        <v>0</v>
      </c>
      <c r="J16" s="26" t="s">
        <v>0</v>
      </c>
      <c r="K16" s="26" t="s">
        <v>0</v>
      </c>
      <c r="L16" s="26" t="s">
        <v>0</v>
      </c>
      <c r="M16" s="26" t="s">
        <v>0</v>
      </c>
      <c r="N16" s="26" t="s">
        <v>0</v>
      </c>
      <c r="O16" s="26" t="s">
        <v>0</v>
      </c>
      <c r="P16" s="26" t="s">
        <v>0</v>
      </c>
      <c r="Q16" s="26" t="s">
        <v>0</v>
      </c>
      <c r="R16" s="26" t="s">
        <v>0</v>
      </c>
      <c r="S16" s="26" t="s">
        <v>0</v>
      </c>
      <c r="T16" s="26" t="s">
        <v>0</v>
      </c>
      <c r="U16" s="26" t="s">
        <v>0</v>
      </c>
      <c r="V16" s="26" t="s">
        <v>0</v>
      </c>
      <c r="W16" s="26" t="s">
        <v>0</v>
      </c>
      <c r="X16" s="26" t="s">
        <v>0</v>
      </c>
      <c r="Y16" s="26" t="s">
        <v>0</v>
      </c>
      <c r="Z16" s="26" t="s">
        <v>0</v>
      </c>
      <c r="AA16" s="26" t="s">
        <v>0</v>
      </c>
      <c r="AB16" s="26" t="s">
        <v>0</v>
      </c>
      <c r="AC16" s="26" t="s">
        <v>0</v>
      </c>
      <c r="AD16" s="26" t="s">
        <v>0</v>
      </c>
      <c r="AE16" s="26" t="s">
        <v>0</v>
      </c>
      <c r="AF16" s="26" t="s">
        <v>0</v>
      </c>
      <c r="AG16" s="26" t="s">
        <v>0</v>
      </c>
      <c r="AH16" s="26" t="s">
        <v>0</v>
      </c>
    </row>
    <row r="17" spans="3:34" s="26" customFormat="1" ht="30" x14ac:dyDescent="0.25">
      <c r="C17" s="2">
        <v>7</v>
      </c>
      <c r="D17" s="2" t="str" cm="1">
        <f t="array" ref="D17">titaniajakso($B$10,C17,$C$11)</f>
        <v>08.05.2023-28.05.2023</v>
      </c>
      <c r="E17" s="26" t="s">
        <v>0</v>
      </c>
      <c r="F17" s="26" t="s">
        <v>0</v>
      </c>
      <c r="G17" s="26" t="s">
        <v>0</v>
      </c>
      <c r="H17" s="26" t="s">
        <v>0</v>
      </c>
      <c r="I17" s="26" t="s">
        <v>0</v>
      </c>
      <c r="J17" s="26" t="s">
        <v>0</v>
      </c>
      <c r="K17" s="26" t="s">
        <v>0</v>
      </c>
      <c r="L17" s="26" t="s">
        <v>0</v>
      </c>
      <c r="M17" s="26" t="s">
        <v>0</v>
      </c>
      <c r="N17" s="26" t="s">
        <v>0</v>
      </c>
      <c r="O17" s="26" t="s">
        <v>0</v>
      </c>
      <c r="P17" s="26" t="s">
        <v>0</v>
      </c>
      <c r="Q17" s="26" t="s">
        <v>0</v>
      </c>
      <c r="R17" s="26" t="s">
        <v>0</v>
      </c>
      <c r="S17" s="26" t="s">
        <v>0</v>
      </c>
      <c r="T17" s="26" t="s">
        <v>0</v>
      </c>
      <c r="U17" s="26" t="s">
        <v>0</v>
      </c>
      <c r="V17" s="26" t="s">
        <v>0</v>
      </c>
      <c r="W17" s="26" t="s">
        <v>0</v>
      </c>
      <c r="X17" s="26" t="s">
        <v>0</v>
      </c>
      <c r="Y17" s="26" t="s">
        <v>0</v>
      </c>
      <c r="Z17" s="26" t="s">
        <v>0</v>
      </c>
      <c r="AA17" s="26" t="s">
        <v>0</v>
      </c>
      <c r="AB17" s="26" t="s">
        <v>0</v>
      </c>
      <c r="AC17" s="26" t="s">
        <v>0</v>
      </c>
      <c r="AD17" s="26" t="s">
        <v>0</v>
      </c>
      <c r="AE17" s="26" t="s">
        <v>0</v>
      </c>
      <c r="AF17" s="26" t="s">
        <v>0</v>
      </c>
      <c r="AG17" s="26" t="s">
        <v>0</v>
      </c>
      <c r="AH17" s="26" t="s">
        <v>0</v>
      </c>
    </row>
    <row r="18" spans="3:34" s="26" customFormat="1" ht="30" x14ac:dyDescent="0.25">
      <c r="C18" s="2">
        <v>8</v>
      </c>
      <c r="D18" s="2" t="str" cm="1">
        <f t="array" ref="D18">titaniajakso($B$10,C18,$C$11)</f>
        <v>29.05.2023-18.06.2023</v>
      </c>
      <c r="E18" s="26" t="s">
        <v>0</v>
      </c>
      <c r="F18" s="26" t="s">
        <v>0</v>
      </c>
      <c r="G18" s="26" t="s">
        <v>0</v>
      </c>
      <c r="H18" s="26" t="s">
        <v>0</v>
      </c>
      <c r="I18" s="26" t="s">
        <v>0</v>
      </c>
      <c r="J18" s="26" t="s">
        <v>0</v>
      </c>
      <c r="K18" s="26" t="s">
        <v>0</v>
      </c>
      <c r="L18" s="26" t="s">
        <v>0</v>
      </c>
      <c r="M18" s="26" t="s">
        <v>0</v>
      </c>
      <c r="N18" s="26" t="s">
        <v>0</v>
      </c>
      <c r="O18" s="26" t="s">
        <v>0</v>
      </c>
      <c r="P18" s="26" t="s">
        <v>0</v>
      </c>
      <c r="Q18" s="26" t="s">
        <v>0</v>
      </c>
      <c r="R18" s="26" t="s">
        <v>0</v>
      </c>
      <c r="S18" s="26" t="s">
        <v>0</v>
      </c>
      <c r="T18" s="26" t="s">
        <v>0</v>
      </c>
      <c r="U18" s="26" t="s">
        <v>0</v>
      </c>
      <c r="V18" s="26" t="s">
        <v>0</v>
      </c>
      <c r="W18" s="26" t="s">
        <v>0</v>
      </c>
      <c r="X18" s="26" t="s">
        <v>0</v>
      </c>
      <c r="Y18" s="26" t="s">
        <v>0</v>
      </c>
      <c r="Z18" s="26" t="s">
        <v>0</v>
      </c>
      <c r="AA18" s="26" t="s">
        <v>0</v>
      </c>
      <c r="AB18" s="26" t="s">
        <v>0</v>
      </c>
      <c r="AC18" s="26" t="s">
        <v>0</v>
      </c>
      <c r="AD18" s="26" t="s">
        <v>0</v>
      </c>
      <c r="AE18" s="26" t="s">
        <v>0</v>
      </c>
      <c r="AF18" s="26" t="s">
        <v>0</v>
      </c>
      <c r="AG18" s="26" t="s">
        <v>0</v>
      </c>
      <c r="AH18" s="26" t="s">
        <v>0</v>
      </c>
    </row>
    <row r="19" spans="3:34" s="26" customFormat="1" ht="30" x14ac:dyDescent="0.25">
      <c r="C19" s="2">
        <v>9</v>
      </c>
      <c r="D19" s="2" t="str" cm="1">
        <f t="array" ref="D19">titaniajakso($B$10,C19,$C$11)</f>
        <v>19.06.2023-09.07.2023</v>
      </c>
      <c r="E19" s="26" t="s">
        <v>0</v>
      </c>
      <c r="F19" s="26" t="s">
        <v>0</v>
      </c>
      <c r="G19" s="26" t="s">
        <v>0</v>
      </c>
      <c r="H19" s="26" t="s">
        <v>0</v>
      </c>
      <c r="I19" s="26" t="s">
        <v>0</v>
      </c>
      <c r="J19" s="26" t="s">
        <v>0</v>
      </c>
      <c r="K19" s="26" t="s">
        <v>0</v>
      </c>
      <c r="L19" s="26" t="s">
        <v>0</v>
      </c>
      <c r="M19" s="26" t="s">
        <v>0</v>
      </c>
      <c r="N19" s="26" t="s">
        <v>0</v>
      </c>
      <c r="O19" s="26" t="s">
        <v>0</v>
      </c>
      <c r="P19" s="26" t="s">
        <v>0</v>
      </c>
      <c r="Q19" s="26" t="s">
        <v>0</v>
      </c>
      <c r="R19" s="26" t="s">
        <v>0</v>
      </c>
      <c r="S19" s="26" t="s">
        <v>0</v>
      </c>
      <c r="T19" s="26" t="s">
        <v>0</v>
      </c>
      <c r="U19" s="26" t="s">
        <v>0</v>
      </c>
      <c r="V19" s="26" t="s">
        <v>0</v>
      </c>
      <c r="W19" s="26" t="s">
        <v>0</v>
      </c>
      <c r="X19" s="26" t="s">
        <v>0</v>
      </c>
      <c r="Y19" s="26" t="s">
        <v>0</v>
      </c>
      <c r="Z19" s="26" t="s">
        <v>0</v>
      </c>
      <c r="AA19" s="26" t="s">
        <v>0</v>
      </c>
      <c r="AB19" s="26" t="s">
        <v>0</v>
      </c>
      <c r="AC19" s="26" t="s">
        <v>0</v>
      </c>
      <c r="AD19" s="26" t="s">
        <v>0</v>
      </c>
      <c r="AE19" s="26" t="s">
        <v>0</v>
      </c>
      <c r="AF19" s="26" t="s">
        <v>0</v>
      </c>
      <c r="AG19" s="26" t="s">
        <v>0</v>
      </c>
      <c r="AH19" s="26" t="s">
        <v>0</v>
      </c>
    </row>
    <row r="20" spans="3:34" s="26" customFormat="1" ht="30" x14ac:dyDescent="0.25">
      <c r="C20" s="2">
        <v>10</v>
      </c>
      <c r="D20" s="2" t="str" cm="1">
        <f t="array" ref="D20">titaniajakso($B$10,C20,$C$11)</f>
        <v>10.07.2023-30.07.2023</v>
      </c>
      <c r="E20" s="26" t="s">
        <v>0</v>
      </c>
      <c r="F20" s="26" t="s">
        <v>0</v>
      </c>
      <c r="G20" s="26" t="s">
        <v>0</v>
      </c>
      <c r="H20" s="26" t="s">
        <v>0</v>
      </c>
      <c r="I20" s="26" t="s">
        <v>0</v>
      </c>
      <c r="J20" s="26" t="s">
        <v>0</v>
      </c>
      <c r="K20" s="26" t="s">
        <v>0</v>
      </c>
      <c r="L20" s="26" t="s">
        <v>0</v>
      </c>
      <c r="M20" s="26" t="s">
        <v>0</v>
      </c>
      <c r="N20" s="26" t="s">
        <v>0</v>
      </c>
      <c r="O20" s="26" t="s">
        <v>0</v>
      </c>
      <c r="P20" s="26" t="s">
        <v>0</v>
      </c>
      <c r="Q20" s="26" t="s">
        <v>0</v>
      </c>
      <c r="R20" s="26" t="s">
        <v>0</v>
      </c>
      <c r="S20" s="26" t="s">
        <v>0</v>
      </c>
      <c r="T20" s="26" t="s">
        <v>0</v>
      </c>
      <c r="U20" s="26" t="s">
        <v>0</v>
      </c>
      <c r="V20" s="26" t="s">
        <v>0</v>
      </c>
      <c r="W20" s="26" t="s">
        <v>0</v>
      </c>
      <c r="X20" s="26" t="s">
        <v>0</v>
      </c>
      <c r="Y20" s="26" t="s">
        <v>0</v>
      </c>
      <c r="Z20" s="26" t="s">
        <v>0</v>
      </c>
      <c r="AA20" s="26" t="s">
        <v>0</v>
      </c>
      <c r="AB20" s="26" t="s">
        <v>0</v>
      </c>
      <c r="AC20" s="26" t="s">
        <v>0</v>
      </c>
      <c r="AD20" s="26" t="s">
        <v>0</v>
      </c>
      <c r="AE20" s="26" t="s">
        <v>0</v>
      </c>
      <c r="AF20" s="26" t="s">
        <v>0</v>
      </c>
      <c r="AG20" s="26" t="s">
        <v>0</v>
      </c>
      <c r="AH20" s="26" t="s">
        <v>0</v>
      </c>
    </row>
    <row r="21" spans="3:34" s="26" customFormat="1" ht="30" x14ac:dyDescent="0.25">
      <c r="C21" s="2">
        <v>11</v>
      </c>
      <c r="D21" s="2" t="str" cm="1">
        <f t="array" ref="D21">titaniajakso($B$10,C21,$C$11)</f>
        <v>31.07.2023-20.08.2023</v>
      </c>
      <c r="E21" s="26" t="s">
        <v>0</v>
      </c>
      <c r="F21" s="26" t="s">
        <v>0</v>
      </c>
      <c r="G21" s="26" t="s">
        <v>0</v>
      </c>
      <c r="H21" s="26" t="s">
        <v>0</v>
      </c>
      <c r="I21" s="26" t="s">
        <v>0</v>
      </c>
      <c r="J21" s="26" t="s">
        <v>0</v>
      </c>
      <c r="K21" s="26" t="s">
        <v>0</v>
      </c>
      <c r="L21" s="26" t="s">
        <v>0</v>
      </c>
      <c r="M21" s="26" t="s">
        <v>0</v>
      </c>
      <c r="N21" s="26" t="s">
        <v>0</v>
      </c>
      <c r="O21" s="26" t="s">
        <v>0</v>
      </c>
      <c r="P21" s="26" t="s">
        <v>0</v>
      </c>
      <c r="Q21" s="26" t="s">
        <v>0</v>
      </c>
      <c r="R21" s="26" t="s">
        <v>0</v>
      </c>
      <c r="S21" s="26" t="s">
        <v>0</v>
      </c>
      <c r="T21" s="26" t="s">
        <v>0</v>
      </c>
      <c r="U21" s="26" t="s">
        <v>0</v>
      </c>
      <c r="V21" s="26" t="s">
        <v>0</v>
      </c>
      <c r="W21" s="26" t="s">
        <v>0</v>
      </c>
      <c r="X21" s="26" t="s">
        <v>0</v>
      </c>
      <c r="Y21" s="26" t="s">
        <v>0</v>
      </c>
      <c r="Z21" s="26" t="s">
        <v>0</v>
      </c>
      <c r="AA21" s="26" t="s">
        <v>0</v>
      </c>
      <c r="AB21" s="26" t="s">
        <v>0</v>
      </c>
      <c r="AC21" s="26" t="s">
        <v>0</v>
      </c>
      <c r="AD21" s="26" t="s">
        <v>0</v>
      </c>
      <c r="AE21" s="26" t="s">
        <v>0</v>
      </c>
      <c r="AF21" s="26" t="s">
        <v>0</v>
      </c>
      <c r="AG21" s="26" t="s">
        <v>0</v>
      </c>
      <c r="AH21" s="26" t="s">
        <v>0</v>
      </c>
    </row>
    <row r="22" spans="3:34" s="26" customFormat="1" ht="30" x14ac:dyDescent="0.25">
      <c r="C22" s="2">
        <v>12</v>
      </c>
      <c r="D22" s="2" t="str" cm="1">
        <f t="array" ref="D22">titaniajakso($B$10,C22,$C$11)</f>
        <v>21.08.2023-10.09.2023</v>
      </c>
      <c r="E22" s="26" t="s">
        <v>0</v>
      </c>
      <c r="F22" s="26" t="s">
        <v>0</v>
      </c>
      <c r="G22" s="26" t="s">
        <v>0</v>
      </c>
      <c r="H22" s="26" t="s">
        <v>0</v>
      </c>
      <c r="I22" s="26" t="s">
        <v>0</v>
      </c>
      <c r="J22" s="26" t="s">
        <v>0</v>
      </c>
      <c r="K22" s="26" t="s">
        <v>0</v>
      </c>
      <c r="L22" s="26" t="s">
        <v>0</v>
      </c>
      <c r="M22" s="26" t="s">
        <v>0</v>
      </c>
      <c r="N22" s="26" t="s">
        <v>0</v>
      </c>
      <c r="O22" s="26" t="s">
        <v>0</v>
      </c>
      <c r="P22" s="26" t="s">
        <v>0</v>
      </c>
      <c r="Q22" s="26" t="s">
        <v>0</v>
      </c>
      <c r="R22" s="26" t="s">
        <v>0</v>
      </c>
      <c r="S22" s="26" t="s">
        <v>0</v>
      </c>
      <c r="T22" s="26" t="s">
        <v>0</v>
      </c>
      <c r="U22" s="26" t="s">
        <v>0</v>
      </c>
      <c r="V22" s="26" t="s">
        <v>0</v>
      </c>
      <c r="W22" s="26" t="s">
        <v>0</v>
      </c>
      <c r="X22" s="26" t="s">
        <v>0</v>
      </c>
      <c r="Y22" s="26" t="s">
        <v>0</v>
      </c>
      <c r="Z22" s="26" t="s">
        <v>0</v>
      </c>
      <c r="AA22" s="26" t="s">
        <v>0</v>
      </c>
      <c r="AB22" s="26" t="s">
        <v>0</v>
      </c>
      <c r="AC22" s="26" t="s">
        <v>0</v>
      </c>
      <c r="AD22" s="26" t="s">
        <v>0</v>
      </c>
      <c r="AE22" s="26" t="s">
        <v>0</v>
      </c>
      <c r="AF22" s="26" t="s">
        <v>0</v>
      </c>
      <c r="AG22" s="26" t="s">
        <v>0</v>
      </c>
      <c r="AH22" s="26" t="s">
        <v>0</v>
      </c>
    </row>
    <row r="23" spans="3:34" s="26" customFormat="1" ht="30" x14ac:dyDescent="0.25">
      <c r="C23" s="2">
        <v>13</v>
      </c>
      <c r="D23" s="2" t="str" cm="1">
        <f t="array" ref="D23">titaniajakso($B$10,C23,$C$11)</f>
        <v>11.09.2023-01.10.2023</v>
      </c>
      <c r="E23" s="26" t="s">
        <v>0</v>
      </c>
      <c r="F23" s="26" t="s">
        <v>0</v>
      </c>
      <c r="G23" s="26" t="s">
        <v>0</v>
      </c>
      <c r="H23" s="26" t="s">
        <v>0</v>
      </c>
      <c r="I23" s="26" t="s">
        <v>0</v>
      </c>
      <c r="J23" s="26" t="s">
        <v>0</v>
      </c>
      <c r="K23" s="26" t="s">
        <v>0</v>
      </c>
      <c r="L23" s="26" t="s">
        <v>0</v>
      </c>
      <c r="M23" s="26" t="s">
        <v>0</v>
      </c>
      <c r="N23" s="26" t="s">
        <v>0</v>
      </c>
      <c r="O23" s="26" t="s">
        <v>0</v>
      </c>
      <c r="P23" s="26" t="s">
        <v>0</v>
      </c>
      <c r="Q23" s="26" t="s">
        <v>0</v>
      </c>
      <c r="R23" s="26" t="s">
        <v>0</v>
      </c>
      <c r="S23" s="26" t="s">
        <v>0</v>
      </c>
      <c r="T23" s="26" t="s">
        <v>0</v>
      </c>
      <c r="U23" s="26" t="s">
        <v>0</v>
      </c>
      <c r="V23" s="26" t="s">
        <v>0</v>
      </c>
      <c r="W23" s="26" t="s">
        <v>0</v>
      </c>
      <c r="X23" s="26" t="s">
        <v>0</v>
      </c>
      <c r="Y23" s="26" t="s">
        <v>0</v>
      </c>
      <c r="Z23" s="26" t="s">
        <v>0</v>
      </c>
      <c r="AA23" s="26" t="s">
        <v>0</v>
      </c>
      <c r="AB23" s="26" t="s">
        <v>0</v>
      </c>
      <c r="AC23" s="26" t="s">
        <v>0</v>
      </c>
      <c r="AD23" s="26" t="s">
        <v>0</v>
      </c>
      <c r="AE23" s="26" t="s">
        <v>0</v>
      </c>
      <c r="AF23" s="26" t="s">
        <v>0</v>
      </c>
      <c r="AG23" s="26" t="s">
        <v>0</v>
      </c>
      <c r="AH23" s="26" t="s">
        <v>0</v>
      </c>
    </row>
    <row r="24" spans="3:34" s="26" customFormat="1" ht="30" x14ac:dyDescent="0.25">
      <c r="C24" s="2">
        <v>14</v>
      </c>
      <c r="D24" s="2" t="str" cm="1">
        <f t="array" ref="D24">titaniajakso($B$10,C24,$C$11)</f>
        <v>02.10.2023-22.10.2023</v>
      </c>
      <c r="E24" s="26" t="s">
        <v>0</v>
      </c>
      <c r="F24" s="26" t="s">
        <v>0</v>
      </c>
      <c r="G24" s="26" t="s">
        <v>0</v>
      </c>
      <c r="H24" s="26" t="s">
        <v>0</v>
      </c>
      <c r="I24" s="26" t="s">
        <v>0</v>
      </c>
      <c r="J24" s="26" t="s">
        <v>0</v>
      </c>
      <c r="K24" s="26" t="s">
        <v>0</v>
      </c>
      <c r="L24" s="26" t="s">
        <v>0</v>
      </c>
      <c r="M24" s="26" t="s">
        <v>0</v>
      </c>
      <c r="N24" s="26" t="s">
        <v>0</v>
      </c>
      <c r="O24" s="26" t="s">
        <v>0</v>
      </c>
      <c r="P24" s="26" t="s">
        <v>0</v>
      </c>
      <c r="Q24" s="26" t="s">
        <v>0</v>
      </c>
      <c r="R24" s="26" t="s">
        <v>0</v>
      </c>
      <c r="S24" s="26" t="s">
        <v>0</v>
      </c>
      <c r="T24" s="26" t="s">
        <v>0</v>
      </c>
      <c r="U24" s="26" t="s">
        <v>0</v>
      </c>
      <c r="V24" s="26" t="s">
        <v>0</v>
      </c>
      <c r="W24" s="26" t="s">
        <v>0</v>
      </c>
      <c r="X24" s="26" t="s">
        <v>0</v>
      </c>
      <c r="Y24" s="26" t="s">
        <v>0</v>
      </c>
      <c r="Z24" s="26" t="s">
        <v>0</v>
      </c>
      <c r="AA24" s="26" t="s">
        <v>0</v>
      </c>
      <c r="AB24" s="26" t="s">
        <v>0</v>
      </c>
      <c r="AC24" s="26" t="s">
        <v>0</v>
      </c>
      <c r="AD24" s="26" t="s">
        <v>0</v>
      </c>
      <c r="AE24" s="26" t="s">
        <v>0</v>
      </c>
      <c r="AF24" s="26" t="s">
        <v>0</v>
      </c>
      <c r="AG24" s="26" t="s">
        <v>0</v>
      </c>
      <c r="AH24" s="26" t="s">
        <v>0</v>
      </c>
    </row>
    <row r="25" spans="3:34" s="26" customFormat="1" ht="30" x14ac:dyDescent="0.25">
      <c r="C25" s="2">
        <v>15</v>
      </c>
      <c r="D25" s="2" t="str" cm="1">
        <f t="array" ref="D25">titaniajakso($B$10,C25,$C$11)</f>
        <v>23.10.2023-12.11.2023</v>
      </c>
      <c r="E25" s="26" t="s">
        <v>0</v>
      </c>
      <c r="F25" s="26" t="s">
        <v>0</v>
      </c>
      <c r="G25" s="26" t="s">
        <v>0</v>
      </c>
      <c r="H25" s="26" t="s">
        <v>0</v>
      </c>
      <c r="I25" s="26" t="s">
        <v>0</v>
      </c>
      <c r="J25" s="26" t="s">
        <v>0</v>
      </c>
      <c r="K25" s="26" t="s">
        <v>0</v>
      </c>
      <c r="L25" s="26" t="s">
        <v>0</v>
      </c>
      <c r="M25" s="26" t="s">
        <v>0</v>
      </c>
      <c r="N25" s="26" t="s">
        <v>0</v>
      </c>
      <c r="O25" s="26" t="s">
        <v>0</v>
      </c>
      <c r="P25" s="26" t="s">
        <v>0</v>
      </c>
      <c r="Q25" s="26" t="s">
        <v>0</v>
      </c>
      <c r="R25" s="26" t="s">
        <v>0</v>
      </c>
      <c r="S25" s="26" t="s">
        <v>0</v>
      </c>
      <c r="T25" s="26" t="s">
        <v>0</v>
      </c>
      <c r="U25" s="26" t="s">
        <v>0</v>
      </c>
      <c r="V25" s="26" t="s">
        <v>0</v>
      </c>
      <c r="W25" s="26" t="s">
        <v>0</v>
      </c>
      <c r="X25" s="26" t="s">
        <v>0</v>
      </c>
      <c r="Y25" s="26" t="s">
        <v>0</v>
      </c>
      <c r="Z25" s="26" t="s">
        <v>0</v>
      </c>
      <c r="AA25" s="26" t="s">
        <v>0</v>
      </c>
      <c r="AB25" s="26" t="s">
        <v>0</v>
      </c>
      <c r="AC25" s="26" t="s">
        <v>0</v>
      </c>
      <c r="AD25" s="26" t="s">
        <v>0</v>
      </c>
      <c r="AE25" s="26" t="s">
        <v>0</v>
      </c>
      <c r="AF25" s="26" t="s">
        <v>0</v>
      </c>
      <c r="AG25" s="26" t="s">
        <v>0</v>
      </c>
      <c r="AH25" s="26" t="s">
        <v>0</v>
      </c>
    </row>
    <row r="26" spans="3:34" s="26" customFormat="1" ht="30" x14ac:dyDescent="0.25">
      <c r="C26" s="2">
        <v>16</v>
      </c>
      <c r="D26" s="2" t="str" cm="1">
        <f t="array" ref="D26">titaniajakso($B$10,C26,$C$11)</f>
        <v>13.11.2023-03.12.2023</v>
      </c>
      <c r="E26" s="26" t="s">
        <v>0</v>
      </c>
      <c r="F26" s="26" t="s">
        <v>0</v>
      </c>
      <c r="G26" s="26" t="s">
        <v>0</v>
      </c>
      <c r="H26" s="26" t="s">
        <v>0</v>
      </c>
      <c r="I26" s="26" t="s">
        <v>0</v>
      </c>
      <c r="J26" s="26" t="s">
        <v>0</v>
      </c>
      <c r="K26" s="26" t="s">
        <v>0</v>
      </c>
      <c r="L26" s="26" t="s">
        <v>0</v>
      </c>
      <c r="M26" s="26" t="s">
        <v>0</v>
      </c>
      <c r="N26" s="26" t="s">
        <v>0</v>
      </c>
      <c r="O26" s="26" t="s">
        <v>0</v>
      </c>
      <c r="P26" s="26" t="s">
        <v>0</v>
      </c>
      <c r="Q26" s="26" t="s">
        <v>0</v>
      </c>
      <c r="R26" s="26" t="s">
        <v>0</v>
      </c>
      <c r="S26" s="26" t="s">
        <v>0</v>
      </c>
      <c r="T26" s="26" t="s">
        <v>0</v>
      </c>
      <c r="U26" s="26" t="s">
        <v>0</v>
      </c>
      <c r="V26" s="26" t="s">
        <v>0</v>
      </c>
      <c r="W26" s="26" t="s">
        <v>0</v>
      </c>
      <c r="X26" s="26" t="s">
        <v>0</v>
      </c>
      <c r="Y26" s="26" t="s">
        <v>0</v>
      </c>
      <c r="Z26" s="26" t="s">
        <v>0</v>
      </c>
      <c r="AA26" s="26" t="s">
        <v>0</v>
      </c>
      <c r="AB26" s="26" t="s">
        <v>0</v>
      </c>
      <c r="AC26" s="26" t="s">
        <v>0</v>
      </c>
      <c r="AD26" s="26" t="s">
        <v>0</v>
      </c>
      <c r="AE26" s="26" t="s">
        <v>0</v>
      </c>
      <c r="AF26" s="26" t="s">
        <v>0</v>
      </c>
      <c r="AG26" s="26" t="s">
        <v>0</v>
      </c>
      <c r="AH26" s="26" t="s">
        <v>0</v>
      </c>
    </row>
    <row r="27" spans="3:34" s="26" customFormat="1" ht="30" x14ac:dyDescent="0.25">
      <c r="C27" s="2">
        <v>17</v>
      </c>
      <c r="D27" s="2" t="str" cm="1">
        <f t="array" ref="D27">titaniajakso($B$10,C27,$C$11)</f>
        <v>04.12.2023-24.12.2023</v>
      </c>
      <c r="E27" s="26" t="s">
        <v>0</v>
      </c>
      <c r="F27" s="26" t="s">
        <v>0</v>
      </c>
      <c r="G27" s="26" t="s">
        <v>0</v>
      </c>
      <c r="H27" s="26" t="s">
        <v>0</v>
      </c>
      <c r="I27" s="26" t="s">
        <v>0</v>
      </c>
      <c r="J27" s="26" t="s">
        <v>0</v>
      </c>
      <c r="K27" s="26" t="s">
        <v>0</v>
      </c>
      <c r="L27" s="26" t="s">
        <v>0</v>
      </c>
      <c r="M27" s="26" t="s">
        <v>0</v>
      </c>
      <c r="N27" s="26" t="s">
        <v>0</v>
      </c>
      <c r="O27" s="26" t="s">
        <v>0</v>
      </c>
      <c r="P27" s="26" t="s">
        <v>0</v>
      </c>
      <c r="Q27" s="26" t="s">
        <v>0</v>
      </c>
      <c r="R27" s="26" t="s">
        <v>0</v>
      </c>
      <c r="S27" s="26" t="s">
        <v>0</v>
      </c>
      <c r="T27" s="26" t="s">
        <v>0</v>
      </c>
      <c r="U27" s="26" t="s">
        <v>0</v>
      </c>
      <c r="V27" s="26" t="s">
        <v>0</v>
      </c>
      <c r="W27" s="26" t="s">
        <v>0</v>
      </c>
      <c r="X27" s="26" t="s">
        <v>0</v>
      </c>
      <c r="Y27" s="26" t="s">
        <v>0</v>
      </c>
      <c r="Z27" s="26" t="s">
        <v>0</v>
      </c>
      <c r="AA27" s="26" t="s">
        <v>0</v>
      </c>
      <c r="AB27" s="26" t="s">
        <v>0</v>
      </c>
      <c r="AC27" s="26" t="s">
        <v>0</v>
      </c>
      <c r="AD27" s="26" t="s">
        <v>0</v>
      </c>
      <c r="AE27" s="26" t="s">
        <v>0</v>
      </c>
      <c r="AF27" s="26" t="s">
        <v>0</v>
      </c>
      <c r="AG27" s="26" t="s">
        <v>0</v>
      </c>
      <c r="AH27" s="26" t="s">
        <v>0</v>
      </c>
    </row>
    <row r="28" spans="3:34" s="26" customFormat="1" ht="30" x14ac:dyDescent="0.25">
      <c r="C28" s="2">
        <v>18</v>
      </c>
      <c r="D28" s="2" t="str" cm="1">
        <f t="array" ref="D28">titaniajakso($B$10,C28,$C$11)</f>
        <v>25.12.2023-14.01.2024</v>
      </c>
      <c r="E28" s="26" t="s">
        <v>0</v>
      </c>
      <c r="F28" s="26" t="s">
        <v>0</v>
      </c>
      <c r="G28" s="26" t="s">
        <v>0</v>
      </c>
      <c r="H28" s="26" t="s">
        <v>0</v>
      </c>
      <c r="I28" s="26" t="s">
        <v>0</v>
      </c>
      <c r="J28" s="26" t="s">
        <v>0</v>
      </c>
      <c r="K28" s="26" t="s">
        <v>0</v>
      </c>
      <c r="L28" s="26" t="s">
        <v>0</v>
      </c>
      <c r="M28" s="26" t="s">
        <v>0</v>
      </c>
      <c r="N28" s="26" t="s">
        <v>0</v>
      </c>
      <c r="O28" s="26" t="s">
        <v>0</v>
      </c>
      <c r="P28" s="26" t="s">
        <v>0</v>
      </c>
      <c r="Q28" s="26" t="s">
        <v>0</v>
      </c>
      <c r="R28" s="26" t="s">
        <v>0</v>
      </c>
      <c r="S28" s="26" t="s">
        <v>0</v>
      </c>
      <c r="T28" s="26" t="s">
        <v>0</v>
      </c>
      <c r="U28" s="26" t="s">
        <v>0</v>
      </c>
      <c r="V28" s="26" t="s">
        <v>0</v>
      </c>
      <c r="W28" s="26" t="s">
        <v>0</v>
      </c>
      <c r="X28" s="26" t="s">
        <v>0</v>
      </c>
      <c r="Y28" s="26" t="s">
        <v>0</v>
      </c>
      <c r="Z28" s="26" t="s">
        <v>0</v>
      </c>
      <c r="AA28" s="26" t="s">
        <v>0</v>
      </c>
      <c r="AB28" s="26" t="s">
        <v>0</v>
      </c>
      <c r="AC28" s="26" t="s">
        <v>0</v>
      </c>
      <c r="AD28" s="26" t="s">
        <v>0</v>
      </c>
      <c r="AE28" s="26" t="s">
        <v>0</v>
      </c>
      <c r="AF28" s="26" t="s">
        <v>0</v>
      </c>
      <c r="AG28" s="26" t="s">
        <v>0</v>
      </c>
      <c r="AH28" s="26" t="s">
        <v>0</v>
      </c>
    </row>
    <row r="29" spans="3:34" s="26" customFormat="1" ht="15" x14ac:dyDescent="0.25">
      <c r="C29" s="2"/>
      <c r="D29" s="2" t="str" cm="1">
        <f t="array" ref="D29">titaniajakso($B$10,C29,$C$11)</f>
        <v/>
      </c>
      <c r="E29" s="26" t="s">
        <v>0</v>
      </c>
      <c r="F29" s="26" t="s">
        <v>0</v>
      </c>
      <c r="G29" s="26" t="s">
        <v>0</v>
      </c>
      <c r="H29" s="26" t="s">
        <v>0</v>
      </c>
      <c r="I29" s="26" t="s">
        <v>0</v>
      </c>
      <c r="J29" s="26" t="s">
        <v>0</v>
      </c>
      <c r="K29" s="26" t="s">
        <v>0</v>
      </c>
      <c r="L29" s="26" t="s">
        <v>0</v>
      </c>
      <c r="M29" s="26" t="s">
        <v>0</v>
      </c>
      <c r="N29" s="26" t="s">
        <v>0</v>
      </c>
      <c r="O29" s="26" t="s">
        <v>0</v>
      </c>
      <c r="P29" s="26" t="s">
        <v>0</v>
      </c>
      <c r="Q29" s="26" t="s">
        <v>0</v>
      </c>
      <c r="R29" s="26" t="s">
        <v>0</v>
      </c>
      <c r="S29" s="26" t="s">
        <v>0</v>
      </c>
      <c r="T29" s="26" t="s">
        <v>0</v>
      </c>
      <c r="U29" s="26" t="s">
        <v>0</v>
      </c>
      <c r="V29" s="26" t="s">
        <v>0</v>
      </c>
      <c r="W29" s="26" t="s">
        <v>0</v>
      </c>
      <c r="X29" s="26" t="s">
        <v>0</v>
      </c>
      <c r="Y29" s="26" t="s">
        <v>0</v>
      </c>
      <c r="Z29" s="26" t="s">
        <v>0</v>
      </c>
      <c r="AA29" s="26" t="s">
        <v>0</v>
      </c>
      <c r="AB29" s="26" t="s">
        <v>0</v>
      </c>
      <c r="AC29" s="26" t="s">
        <v>0</v>
      </c>
      <c r="AD29" s="26" t="s">
        <v>0</v>
      </c>
      <c r="AE29" s="26" t="s">
        <v>0</v>
      </c>
      <c r="AF29" s="26" t="s">
        <v>0</v>
      </c>
      <c r="AG29" s="26" t="s">
        <v>0</v>
      </c>
      <c r="AH29" s="26" t="s">
        <v>0</v>
      </c>
    </row>
  </sheetData>
  <dataConsolidate/>
  <mergeCells count="11">
    <mergeCell ref="C10:D10"/>
    <mergeCell ref="U1:X1"/>
    <mergeCell ref="S8:V8"/>
    <mergeCell ref="Q1:S1"/>
    <mergeCell ref="B1:N1"/>
    <mergeCell ref="N2:R2"/>
    <mergeCell ref="A3:C3"/>
    <mergeCell ref="B8:D8"/>
    <mergeCell ref="O8:R8"/>
    <mergeCell ref="D2:F2"/>
    <mergeCell ref="B7:E7"/>
  </mergeCells>
  <dataValidations count="1">
    <dataValidation type="list" allowBlank="1" showInputMessage="1" showErrorMessage="1" sqref="S8:V8" xr:uid="{19BD612A-8E89-4759-B2C6-7C826070FF34}">
      <formula1>$D$11:$D$29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048C0-3030-4E95-BF6C-3E7108434C24}">
  <sheetPr codeName="Taul4"/>
  <dimension ref="A1:X536"/>
  <sheetViews>
    <sheetView workbookViewId="0">
      <selection activeCell="A4" sqref="A4"/>
    </sheetView>
  </sheetViews>
  <sheetFormatPr defaultRowHeight="15" x14ac:dyDescent="0.25"/>
  <cols>
    <col min="1" max="1" width="30.7109375" customWidth="1"/>
    <col min="2" max="22" width="7.7109375" style="2" customWidth="1"/>
    <col min="23" max="24" width="10.7109375" style="7" customWidth="1"/>
  </cols>
  <sheetData>
    <row r="1" spans="1:24" ht="15" customHeight="1" thickTop="1" x14ac:dyDescent="0.25">
      <c r="A1" s="66"/>
      <c r="B1" s="172" t="s">
        <v>8</v>
      </c>
      <c r="C1" s="172"/>
      <c r="D1" s="172"/>
      <c r="E1" s="172" t="s">
        <v>8</v>
      </c>
      <c r="F1" s="172"/>
      <c r="G1" s="172"/>
      <c r="H1" s="67" t="s">
        <v>8</v>
      </c>
      <c r="I1" s="172" t="s">
        <v>8</v>
      </c>
      <c r="J1" s="172"/>
      <c r="K1" s="172"/>
      <c r="L1" s="172"/>
      <c r="M1" s="172"/>
      <c r="N1" s="67" t="s">
        <v>8</v>
      </c>
      <c r="O1" s="67" t="s">
        <v>8</v>
      </c>
      <c r="P1" s="172" t="s">
        <v>8</v>
      </c>
      <c r="Q1" s="172"/>
      <c r="R1" s="172"/>
      <c r="S1" s="67" t="s">
        <v>8</v>
      </c>
      <c r="T1" s="67" t="s">
        <v>8</v>
      </c>
      <c r="U1" s="67" t="s">
        <v>8</v>
      </c>
      <c r="V1" s="67" t="s">
        <v>8</v>
      </c>
      <c r="W1" s="68" t="s">
        <v>8</v>
      </c>
      <c r="X1" s="69" t="s">
        <v>8</v>
      </c>
    </row>
    <row r="2" spans="1:24" ht="15" customHeight="1" x14ac:dyDescent="0.25">
      <c r="A2" s="70" t="s">
        <v>8</v>
      </c>
      <c r="B2" s="173" t="s">
        <v>8</v>
      </c>
      <c r="C2" s="173"/>
      <c r="D2" s="173"/>
      <c r="E2" s="173"/>
      <c r="F2" s="173"/>
      <c r="G2" s="173"/>
      <c r="H2" s="3" t="s">
        <v>8</v>
      </c>
      <c r="I2" s="3" t="s">
        <v>8</v>
      </c>
      <c r="J2" s="3" t="s">
        <v>8</v>
      </c>
      <c r="K2" s="3" t="s">
        <v>8</v>
      </c>
      <c r="L2" s="3" t="s">
        <v>8</v>
      </c>
      <c r="M2" s="3" t="s">
        <v>8</v>
      </c>
      <c r="N2" s="3" t="s">
        <v>8</v>
      </c>
      <c r="O2" s="3" t="s">
        <v>8</v>
      </c>
      <c r="P2" s="3" t="s">
        <v>8</v>
      </c>
      <c r="Q2" s="3" t="s">
        <v>8</v>
      </c>
      <c r="R2" s="3" t="s">
        <v>8</v>
      </c>
      <c r="S2" s="3" t="s">
        <v>8</v>
      </c>
      <c r="T2" s="3" t="s">
        <v>8</v>
      </c>
      <c r="U2" s="3" t="s">
        <v>8</v>
      </c>
      <c r="V2" s="3" t="s">
        <v>8</v>
      </c>
      <c r="W2" s="4" t="s">
        <v>8</v>
      </c>
      <c r="X2" s="71" t="s">
        <v>8</v>
      </c>
    </row>
    <row r="3" spans="1:24" ht="15" customHeight="1" x14ac:dyDescent="0.25">
      <c r="A3" s="72" t="s">
        <v>8</v>
      </c>
      <c r="B3" s="3" t="s">
        <v>8</v>
      </c>
      <c r="C3" s="3" t="s">
        <v>8</v>
      </c>
      <c r="D3" s="3" t="s">
        <v>8</v>
      </c>
      <c r="E3" s="3" t="s">
        <v>8</v>
      </c>
      <c r="F3" s="3" t="s">
        <v>8</v>
      </c>
      <c r="G3" s="3" t="s">
        <v>8</v>
      </c>
      <c r="H3" s="3" t="s">
        <v>8</v>
      </c>
      <c r="I3" s="115" t="s">
        <v>8</v>
      </c>
      <c r="J3" s="115" t="s">
        <v>8</v>
      </c>
      <c r="K3" s="115" t="s">
        <v>8</v>
      </c>
      <c r="L3" s="3" t="s">
        <v>8</v>
      </c>
      <c r="M3" s="3" t="s">
        <v>8</v>
      </c>
      <c r="N3" s="3" t="s">
        <v>8</v>
      </c>
      <c r="O3" s="3" t="s">
        <v>8</v>
      </c>
      <c r="P3" s="3" t="s">
        <v>8</v>
      </c>
      <c r="Q3" s="3" t="s">
        <v>8</v>
      </c>
      <c r="R3" s="3" t="s">
        <v>8</v>
      </c>
      <c r="S3" s="3" t="s">
        <v>8</v>
      </c>
      <c r="T3" s="3" t="s">
        <v>8</v>
      </c>
      <c r="U3" s="3" t="s">
        <v>8</v>
      </c>
      <c r="V3" s="3" t="s">
        <v>8</v>
      </c>
      <c r="W3" s="4" t="s">
        <v>8</v>
      </c>
      <c r="X3" s="71" t="s">
        <v>8</v>
      </c>
    </row>
    <row r="4" spans="1:24" ht="15" customHeight="1" x14ac:dyDescent="0.25">
      <c r="A4" s="72" t="s">
        <v>8</v>
      </c>
      <c r="B4" s="3" t="s">
        <v>8</v>
      </c>
      <c r="C4" s="3" t="s">
        <v>8</v>
      </c>
      <c r="D4" s="3" t="s">
        <v>8</v>
      </c>
      <c r="E4" s="3" t="s">
        <v>8</v>
      </c>
      <c r="F4" s="3" t="s">
        <v>8</v>
      </c>
      <c r="G4" s="3" t="s">
        <v>8</v>
      </c>
      <c r="H4" s="5" t="s">
        <v>8</v>
      </c>
      <c r="I4" s="3" t="s">
        <v>8</v>
      </c>
      <c r="J4" s="3" t="s">
        <v>8</v>
      </c>
      <c r="K4" s="3" t="s">
        <v>8</v>
      </c>
      <c r="L4" s="3" t="s">
        <v>8</v>
      </c>
      <c r="M4" s="3" t="s">
        <v>8</v>
      </c>
      <c r="N4" s="3" t="s">
        <v>8</v>
      </c>
      <c r="O4" s="5" t="s">
        <v>8</v>
      </c>
      <c r="P4" s="3" t="s">
        <v>8</v>
      </c>
      <c r="Q4" s="3" t="s">
        <v>8</v>
      </c>
      <c r="R4" s="3" t="s">
        <v>8</v>
      </c>
      <c r="S4" s="3" t="s">
        <v>8</v>
      </c>
      <c r="T4" s="3" t="s">
        <v>8</v>
      </c>
      <c r="U4" s="3" t="s">
        <v>8</v>
      </c>
      <c r="V4" s="5" t="s">
        <v>8</v>
      </c>
      <c r="W4" s="6" t="s">
        <v>8</v>
      </c>
      <c r="X4" s="73" t="s">
        <v>8</v>
      </c>
    </row>
    <row r="5" spans="1:24" ht="15" customHeight="1" x14ac:dyDescent="0.25">
      <c r="A5" s="74" t="s">
        <v>8</v>
      </c>
      <c r="B5" s="75" t="s">
        <v>8</v>
      </c>
      <c r="C5" s="75" t="s">
        <v>8</v>
      </c>
      <c r="D5" s="75" t="s">
        <v>8</v>
      </c>
      <c r="E5" s="75" t="s">
        <v>8</v>
      </c>
      <c r="F5" s="75" t="s">
        <v>8</v>
      </c>
      <c r="G5" s="75" t="s">
        <v>8</v>
      </c>
      <c r="H5" s="5" t="s">
        <v>8</v>
      </c>
      <c r="I5" s="75" t="s">
        <v>8</v>
      </c>
      <c r="J5" s="75" t="s">
        <v>8</v>
      </c>
      <c r="K5" s="75" t="s">
        <v>8</v>
      </c>
      <c r="L5" s="75" t="s">
        <v>8</v>
      </c>
      <c r="M5" s="75" t="s">
        <v>8</v>
      </c>
      <c r="N5" s="75" t="s">
        <v>8</v>
      </c>
      <c r="O5" s="5" t="s">
        <v>8</v>
      </c>
      <c r="P5" s="75" t="s">
        <v>8</v>
      </c>
      <c r="Q5" s="75" t="s">
        <v>8</v>
      </c>
      <c r="R5" s="75" t="s">
        <v>8</v>
      </c>
      <c r="S5" s="75" t="s">
        <v>8</v>
      </c>
      <c r="T5" s="75" t="s">
        <v>8</v>
      </c>
      <c r="U5" s="75" t="s">
        <v>8</v>
      </c>
      <c r="V5" s="5" t="s">
        <v>8</v>
      </c>
      <c r="W5" s="76" t="s">
        <v>8</v>
      </c>
      <c r="X5" s="77" t="s">
        <v>8</v>
      </c>
    </row>
    <row r="6" spans="1:24" ht="15" customHeight="1" x14ac:dyDescent="0.25">
      <c r="A6" s="72" t="str">
        <f t="shared" ref="A6:A37" si="0">A5</f>
        <v xml:space="preserve">   </v>
      </c>
      <c r="B6" s="3" t="s">
        <v>8</v>
      </c>
      <c r="C6" s="3" t="s">
        <v>8</v>
      </c>
      <c r="D6" s="3" t="s">
        <v>8</v>
      </c>
      <c r="E6" s="3" t="s">
        <v>8</v>
      </c>
      <c r="F6" s="3" t="s">
        <v>8</v>
      </c>
      <c r="G6" s="3" t="s">
        <v>8</v>
      </c>
      <c r="H6" s="5" t="s">
        <v>8</v>
      </c>
      <c r="I6" s="3" t="s">
        <v>8</v>
      </c>
      <c r="J6" s="3" t="s">
        <v>8</v>
      </c>
      <c r="K6" s="3" t="s">
        <v>8</v>
      </c>
      <c r="L6" s="3" t="s">
        <v>8</v>
      </c>
      <c r="M6" s="3" t="s">
        <v>8</v>
      </c>
      <c r="N6" s="3" t="s">
        <v>8</v>
      </c>
      <c r="O6" s="5" t="s">
        <v>8</v>
      </c>
      <c r="P6" s="3" t="s">
        <v>8</v>
      </c>
      <c r="Q6" s="3" t="s">
        <v>8</v>
      </c>
      <c r="R6" s="3" t="s">
        <v>8</v>
      </c>
      <c r="S6" s="3" t="s">
        <v>8</v>
      </c>
      <c r="T6" s="3" t="s">
        <v>8</v>
      </c>
      <c r="U6" s="3" t="s">
        <v>8</v>
      </c>
      <c r="V6" s="5" t="s">
        <v>8</v>
      </c>
      <c r="W6" s="6" t="s">
        <v>8</v>
      </c>
      <c r="X6" s="6" t="s">
        <v>8</v>
      </c>
    </row>
    <row r="7" spans="1:24" ht="15" customHeight="1" x14ac:dyDescent="0.25">
      <c r="A7" s="72" t="str">
        <f t="shared" si="0"/>
        <v xml:space="preserve">   </v>
      </c>
      <c r="B7" s="3" t="s">
        <v>8</v>
      </c>
      <c r="C7" s="3" t="s">
        <v>8</v>
      </c>
      <c r="D7" s="3" t="s">
        <v>8</v>
      </c>
      <c r="E7" s="3" t="s">
        <v>8</v>
      </c>
      <c r="F7" s="3" t="s">
        <v>8</v>
      </c>
      <c r="G7" s="3" t="s">
        <v>8</v>
      </c>
      <c r="H7" s="5" t="s">
        <v>8</v>
      </c>
      <c r="I7" s="3" t="s">
        <v>8</v>
      </c>
      <c r="J7" s="3" t="s">
        <v>8</v>
      </c>
      <c r="K7" s="3" t="s">
        <v>8</v>
      </c>
      <c r="L7" s="3" t="s">
        <v>8</v>
      </c>
      <c r="M7" s="3" t="s">
        <v>8</v>
      </c>
      <c r="N7" s="3" t="s">
        <v>8</v>
      </c>
      <c r="O7" s="5" t="s">
        <v>8</v>
      </c>
      <c r="P7" s="3" t="s">
        <v>8</v>
      </c>
      <c r="Q7" s="3" t="s">
        <v>8</v>
      </c>
      <c r="R7" s="3" t="s">
        <v>8</v>
      </c>
      <c r="S7" s="3" t="s">
        <v>8</v>
      </c>
      <c r="T7" s="3" t="s">
        <v>8</v>
      </c>
      <c r="U7" s="3" t="s">
        <v>8</v>
      </c>
      <c r="V7" s="5" t="s">
        <v>8</v>
      </c>
      <c r="W7" s="6" t="s">
        <v>8</v>
      </c>
      <c r="X7" s="6" t="s">
        <v>8</v>
      </c>
    </row>
    <row r="8" spans="1:24" ht="15" customHeight="1" x14ac:dyDescent="0.25">
      <c r="A8" s="72" t="str">
        <f t="shared" si="0"/>
        <v xml:space="preserve">   </v>
      </c>
      <c r="B8" s="3" t="s">
        <v>8</v>
      </c>
      <c r="C8" s="3" t="s">
        <v>8</v>
      </c>
      <c r="D8" s="3" t="s">
        <v>8</v>
      </c>
      <c r="E8" s="3" t="s">
        <v>8</v>
      </c>
      <c r="F8" s="3" t="s">
        <v>8</v>
      </c>
      <c r="G8" s="3" t="s">
        <v>8</v>
      </c>
      <c r="H8" s="5" t="s">
        <v>8</v>
      </c>
      <c r="I8" s="3" t="s">
        <v>8</v>
      </c>
      <c r="J8" s="3" t="s">
        <v>8</v>
      </c>
      <c r="K8" s="3" t="s">
        <v>8</v>
      </c>
      <c r="L8" s="3" t="s">
        <v>8</v>
      </c>
      <c r="M8" s="3" t="s">
        <v>8</v>
      </c>
      <c r="N8" s="3" t="s">
        <v>8</v>
      </c>
      <c r="O8" s="5" t="s">
        <v>8</v>
      </c>
      <c r="P8" s="3" t="s">
        <v>8</v>
      </c>
      <c r="Q8" s="3" t="s">
        <v>8</v>
      </c>
      <c r="R8" s="3" t="s">
        <v>8</v>
      </c>
      <c r="S8" s="3" t="s">
        <v>8</v>
      </c>
      <c r="T8" s="3" t="s">
        <v>8</v>
      </c>
      <c r="U8" s="3" t="s">
        <v>8</v>
      </c>
      <c r="V8" s="5" t="s">
        <v>8</v>
      </c>
      <c r="W8" s="6" t="s">
        <v>8</v>
      </c>
      <c r="X8" s="6" t="s">
        <v>8</v>
      </c>
    </row>
    <row r="9" spans="1:24" ht="15" customHeight="1" x14ac:dyDescent="0.25">
      <c r="A9" s="72" t="str">
        <f t="shared" si="0"/>
        <v xml:space="preserve">   </v>
      </c>
      <c r="B9" s="3" t="s">
        <v>8</v>
      </c>
      <c r="C9" s="3" t="s">
        <v>8</v>
      </c>
      <c r="D9" s="3" t="s">
        <v>8</v>
      </c>
      <c r="E9" s="3" t="s">
        <v>8</v>
      </c>
      <c r="F9" s="3" t="s">
        <v>8</v>
      </c>
      <c r="G9" s="3" t="s">
        <v>8</v>
      </c>
      <c r="H9" s="5" t="s">
        <v>8</v>
      </c>
      <c r="I9" s="3" t="s">
        <v>8</v>
      </c>
      <c r="J9" s="3" t="s">
        <v>8</v>
      </c>
      <c r="K9" s="3" t="s">
        <v>8</v>
      </c>
      <c r="L9" s="3" t="s">
        <v>8</v>
      </c>
      <c r="M9" s="3" t="s">
        <v>8</v>
      </c>
      <c r="N9" s="3" t="s">
        <v>8</v>
      </c>
      <c r="O9" s="5" t="s">
        <v>8</v>
      </c>
      <c r="P9" s="3" t="s">
        <v>8</v>
      </c>
      <c r="Q9" s="3" t="s">
        <v>8</v>
      </c>
      <c r="R9" s="3" t="s">
        <v>8</v>
      </c>
      <c r="S9" s="3" t="s">
        <v>8</v>
      </c>
      <c r="T9" s="3" t="s">
        <v>8</v>
      </c>
      <c r="U9" s="3" t="s">
        <v>8</v>
      </c>
      <c r="V9" s="5" t="s">
        <v>8</v>
      </c>
      <c r="W9" s="6" t="s">
        <v>8</v>
      </c>
      <c r="X9" s="6" t="s">
        <v>8</v>
      </c>
    </row>
    <row r="10" spans="1:24" ht="45" customHeight="1" x14ac:dyDescent="0.25">
      <c r="A10" t="str">
        <f t="shared" si="0"/>
        <v xml:space="preserve">   </v>
      </c>
      <c r="B10" s="2" t="s">
        <v>8</v>
      </c>
      <c r="C10" s="2" t="s">
        <v>8</v>
      </c>
      <c r="D10" s="2" t="s">
        <v>8</v>
      </c>
      <c r="E10" s="2" t="s">
        <v>8</v>
      </c>
      <c r="F10" s="2" t="s">
        <v>8</v>
      </c>
      <c r="G10" s="2" t="s">
        <v>8</v>
      </c>
      <c r="H10" s="23" t="s">
        <v>8</v>
      </c>
      <c r="I10" s="2" t="s">
        <v>8</v>
      </c>
      <c r="J10" s="2" t="s">
        <v>8</v>
      </c>
      <c r="K10" s="2" t="s">
        <v>8</v>
      </c>
      <c r="L10" s="2" t="s">
        <v>8</v>
      </c>
      <c r="M10" s="2" t="s">
        <v>8</v>
      </c>
      <c r="N10" s="2" t="s">
        <v>8</v>
      </c>
      <c r="O10" s="23" t="s">
        <v>8</v>
      </c>
      <c r="P10" s="2" t="s">
        <v>8</v>
      </c>
      <c r="Q10" s="2" t="s">
        <v>8</v>
      </c>
      <c r="R10" s="2" t="s">
        <v>8</v>
      </c>
      <c r="S10" s="2" t="s">
        <v>8</v>
      </c>
      <c r="T10" s="2" t="s">
        <v>8</v>
      </c>
      <c r="U10" s="2" t="s">
        <v>8</v>
      </c>
      <c r="V10" s="23" t="s">
        <v>8</v>
      </c>
      <c r="W10" s="7" t="s">
        <v>8</v>
      </c>
      <c r="X10" s="7" t="s">
        <v>8</v>
      </c>
    </row>
    <row r="11" spans="1:24" ht="45" customHeight="1" x14ac:dyDescent="0.25">
      <c r="A11" t="str">
        <f t="shared" si="0"/>
        <v xml:space="preserve">   </v>
      </c>
      <c r="B11" s="2" t="s">
        <v>8</v>
      </c>
      <c r="C11" s="2" t="s">
        <v>8</v>
      </c>
      <c r="D11" s="2" t="s">
        <v>8</v>
      </c>
      <c r="E11" s="2" t="s">
        <v>8</v>
      </c>
      <c r="F11" s="2" t="s">
        <v>8</v>
      </c>
      <c r="G11" s="2" t="s">
        <v>8</v>
      </c>
      <c r="H11" s="23" t="s">
        <v>8</v>
      </c>
      <c r="I11" s="2" t="s">
        <v>8</v>
      </c>
      <c r="J11" s="2" t="s">
        <v>8</v>
      </c>
      <c r="K11" s="2" t="s">
        <v>8</v>
      </c>
      <c r="L11" s="2" t="s">
        <v>8</v>
      </c>
      <c r="M11" s="2" t="s">
        <v>8</v>
      </c>
      <c r="N11" s="2" t="s">
        <v>8</v>
      </c>
      <c r="O11" s="23" t="s">
        <v>8</v>
      </c>
      <c r="P11" s="2" t="s">
        <v>8</v>
      </c>
      <c r="Q11" s="2" t="s">
        <v>8</v>
      </c>
      <c r="R11" s="2" t="s">
        <v>8</v>
      </c>
      <c r="S11" s="2" t="s">
        <v>8</v>
      </c>
      <c r="T11" s="2" t="s">
        <v>8</v>
      </c>
      <c r="U11" s="2" t="s">
        <v>8</v>
      </c>
      <c r="V11" s="23" t="s">
        <v>8</v>
      </c>
      <c r="W11" s="7" t="s">
        <v>8</v>
      </c>
      <c r="X11" s="7" t="s">
        <v>8</v>
      </c>
    </row>
    <row r="12" spans="1:24" ht="45" customHeight="1" x14ac:dyDescent="0.25">
      <c r="A12" t="str">
        <f t="shared" si="0"/>
        <v xml:space="preserve">   </v>
      </c>
      <c r="B12" s="2" t="s">
        <v>8</v>
      </c>
      <c r="C12" s="2" t="s">
        <v>8</v>
      </c>
      <c r="D12" s="2" t="s">
        <v>8</v>
      </c>
      <c r="E12" s="2" t="s">
        <v>8</v>
      </c>
      <c r="F12" s="2" t="s">
        <v>8</v>
      </c>
      <c r="G12" s="2" t="s">
        <v>8</v>
      </c>
      <c r="H12" s="23" t="s">
        <v>8</v>
      </c>
      <c r="I12" s="2" t="s">
        <v>8</v>
      </c>
      <c r="J12" s="2" t="s">
        <v>8</v>
      </c>
      <c r="K12" s="2" t="s">
        <v>8</v>
      </c>
      <c r="L12" s="2" t="s">
        <v>8</v>
      </c>
      <c r="M12" s="2" t="s">
        <v>8</v>
      </c>
      <c r="N12" s="2" t="s">
        <v>8</v>
      </c>
      <c r="O12" s="23" t="s">
        <v>8</v>
      </c>
      <c r="P12" s="2" t="s">
        <v>8</v>
      </c>
      <c r="Q12" s="2" t="s">
        <v>8</v>
      </c>
      <c r="R12" s="2" t="s">
        <v>8</v>
      </c>
      <c r="S12" s="2" t="s">
        <v>8</v>
      </c>
      <c r="T12" s="2" t="s">
        <v>8</v>
      </c>
      <c r="U12" s="2" t="s">
        <v>8</v>
      </c>
      <c r="V12" s="23" t="s">
        <v>8</v>
      </c>
      <c r="W12" s="7" t="s">
        <v>8</v>
      </c>
      <c r="X12" s="7" t="s">
        <v>8</v>
      </c>
    </row>
    <row r="13" spans="1:24" ht="45" customHeight="1" x14ac:dyDescent="0.25">
      <c r="A13" t="str">
        <f t="shared" si="0"/>
        <v xml:space="preserve">   </v>
      </c>
      <c r="B13" s="2" t="s">
        <v>8</v>
      </c>
      <c r="C13" s="2" t="s">
        <v>8</v>
      </c>
      <c r="D13" s="2" t="s">
        <v>8</v>
      </c>
      <c r="E13" s="2" t="s">
        <v>8</v>
      </c>
      <c r="F13" s="2" t="s">
        <v>8</v>
      </c>
      <c r="G13" s="2" t="s">
        <v>8</v>
      </c>
      <c r="H13" s="23" t="s">
        <v>8</v>
      </c>
      <c r="I13" s="2" t="s">
        <v>8</v>
      </c>
      <c r="J13" s="2" t="s">
        <v>8</v>
      </c>
      <c r="K13" s="2" t="s">
        <v>8</v>
      </c>
      <c r="L13" s="2" t="s">
        <v>8</v>
      </c>
      <c r="M13" s="2" t="s">
        <v>8</v>
      </c>
      <c r="N13" s="2" t="s">
        <v>8</v>
      </c>
      <c r="O13" s="23" t="s">
        <v>8</v>
      </c>
      <c r="P13" s="2" t="s">
        <v>8</v>
      </c>
      <c r="Q13" s="2" t="s">
        <v>8</v>
      </c>
      <c r="R13" s="2" t="s">
        <v>8</v>
      </c>
      <c r="S13" s="2" t="s">
        <v>8</v>
      </c>
      <c r="T13" s="2" t="s">
        <v>8</v>
      </c>
      <c r="U13" s="2" t="s">
        <v>8</v>
      </c>
      <c r="V13" s="23" t="s">
        <v>8</v>
      </c>
      <c r="W13" s="7" t="s">
        <v>8</v>
      </c>
      <c r="X13" s="7" t="s">
        <v>8</v>
      </c>
    </row>
    <row r="14" spans="1:24" ht="45" customHeight="1" x14ac:dyDescent="0.25">
      <c r="A14" t="str">
        <f t="shared" si="0"/>
        <v xml:space="preserve">   </v>
      </c>
      <c r="B14" s="2" t="s">
        <v>8</v>
      </c>
      <c r="C14" s="2" t="s">
        <v>8</v>
      </c>
      <c r="D14" s="2" t="s">
        <v>8</v>
      </c>
      <c r="E14" s="2" t="s">
        <v>8</v>
      </c>
      <c r="F14" s="2" t="s">
        <v>8</v>
      </c>
      <c r="G14" s="2" t="s">
        <v>8</v>
      </c>
      <c r="H14" s="23" t="s">
        <v>8</v>
      </c>
      <c r="I14" s="2" t="s">
        <v>8</v>
      </c>
      <c r="J14" s="2" t="s">
        <v>8</v>
      </c>
      <c r="K14" s="2" t="s">
        <v>8</v>
      </c>
      <c r="L14" s="2" t="s">
        <v>8</v>
      </c>
      <c r="M14" s="2" t="s">
        <v>8</v>
      </c>
      <c r="N14" s="2" t="s">
        <v>8</v>
      </c>
      <c r="O14" s="23" t="s">
        <v>8</v>
      </c>
      <c r="P14" s="2" t="s">
        <v>8</v>
      </c>
      <c r="Q14" s="2" t="s">
        <v>8</v>
      </c>
      <c r="R14" s="2" t="s">
        <v>8</v>
      </c>
      <c r="S14" s="2" t="s">
        <v>8</v>
      </c>
      <c r="T14" s="2" t="s">
        <v>8</v>
      </c>
      <c r="U14" s="2" t="s">
        <v>8</v>
      </c>
      <c r="V14" s="23" t="s">
        <v>8</v>
      </c>
      <c r="W14" s="7" t="s">
        <v>8</v>
      </c>
      <c r="X14" s="7" t="s">
        <v>8</v>
      </c>
    </row>
    <row r="15" spans="1:24" ht="45" customHeight="1" x14ac:dyDescent="0.25">
      <c r="A15" t="str">
        <f t="shared" si="0"/>
        <v xml:space="preserve">   </v>
      </c>
      <c r="B15" s="2" t="s">
        <v>8</v>
      </c>
      <c r="C15" s="2" t="s">
        <v>8</v>
      </c>
      <c r="D15" s="2" t="s">
        <v>8</v>
      </c>
      <c r="E15" s="2" t="s">
        <v>8</v>
      </c>
      <c r="F15" s="2" t="s">
        <v>8</v>
      </c>
      <c r="G15" s="2" t="s">
        <v>8</v>
      </c>
      <c r="H15" s="23" t="s">
        <v>8</v>
      </c>
      <c r="I15" s="2" t="s">
        <v>8</v>
      </c>
      <c r="J15" s="2" t="s">
        <v>8</v>
      </c>
      <c r="K15" s="2" t="s">
        <v>8</v>
      </c>
      <c r="L15" s="2" t="s">
        <v>8</v>
      </c>
      <c r="M15" s="2" t="s">
        <v>8</v>
      </c>
      <c r="N15" s="2" t="s">
        <v>8</v>
      </c>
      <c r="O15" s="23" t="s">
        <v>8</v>
      </c>
      <c r="P15" s="2" t="s">
        <v>8</v>
      </c>
      <c r="Q15" s="2" t="s">
        <v>8</v>
      </c>
      <c r="R15" s="2" t="s">
        <v>8</v>
      </c>
      <c r="S15" s="2" t="s">
        <v>8</v>
      </c>
      <c r="T15" s="2" t="s">
        <v>8</v>
      </c>
      <c r="U15" s="2" t="s">
        <v>8</v>
      </c>
      <c r="V15" s="23" t="s">
        <v>8</v>
      </c>
      <c r="W15" s="7" t="s">
        <v>8</v>
      </c>
      <c r="X15" s="7" t="s">
        <v>8</v>
      </c>
    </row>
    <row r="16" spans="1:24" ht="45" customHeight="1" x14ac:dyDescent="0.25">
      <c r="A16" t="str">
        <f t="shared" si="0"/>
        <v xml:space="preserve">   </v>
      </c>
      <c r="B16" s="2" t="s">
        <v>8</v>
      </c>
      <c r="C16" s="2" t="s">
        <v>8</v>
      </c>
      <c r="D16" s="2" t="s">
        <v>8</v>
      </c>
      <c r="E16" s="2" t="s">
        <v>8</v>
      </c>
      <c r="F16" s="2" t="s">
        <v>8</v>
      </c>
      <c r="G16" s="2" t="s">
        <v>8</v>
      </c>
      <c r="H16" s="23" t="s">
        <v>8</v>
      </c>
      <c r="I16" s="2" t="s">
        <v>8</v>
      </c>
      <c r="J16" s="2" t="s">
        <v>8</v>
      </c>
      <c r="K16" s="2" t="s">
        <v>8</v>
      </c>
      <c r="L16" s="2" t="s">
        <v>8</v>
      </c>
      <c r="M16" s="2" t="s">
        <v>8</v>
      </c>
      <c r="N16" s="2" t="s">
        <v>8</v>
      </c>
      <c r="O16" s="23" t="s">
        <v>8</v>
      </c>
      <c r="P16" s="2" t="s">
        <v>8</v>
      </c>
      <c r="Q16" s="2" t="s">
        <v>8</v>
      </c>
      <c r="R16" s="2" t="s">
        <v>8</v>
      </c>
      <c r="S16" s="2" t="s">
        <v>8</v>
      </c>
      <c r="T16" s="2" t="s">
        <v>8</v>
      </c>
      <c r="U16" s="2" t="s">
        <v>8</v>
      </c>
      <c r="V16" s="23" t="s">
        <v>8</v>
      </c>
      <c r="W16" s="7" t="s">
        <v>8</v>
      </c>
      <c r="X16" s="7" t="s">
        <v>8</v>
      </c>
    </row>
    <row r="17" spans="1:24" ht="45" customHeight="1" x14ac:dyDescent="0.25">
      <c r="A17" t="str">
        <f t="shared" si="0"/>
        <v xml:space="preserve">   </v>
      </c>
      <c r="B17" s="2" t="s">
        <v>8</v>
      </c>
      <c r="C17" s="2" t="s">
        <v>8</v>
      </c>
      <c r="D17" s="2" t="s">
        <v>8</v>
      </c>
      <c r="E17" s="2" t="s">
        <v>8</v>
      </c>
      <c r="F17" s="2" t="s">
        <v>8</v>
      </c>
      <c r="G17" s="2" t="s">
        <v>8</v>
      </c>
      <c r="H17" s="23" t="s">
        <v>8</v>
      </c>
      <c r="I17" s="2" t="s">
        <v>8</v>
      </c>
      <c r="J17" s="2" t="s">
        <v>8</v>
      </c>
      <c r="K17" s="2" t="s">
        <v>8</v>
      </c>
      <c r="L17" s="2" t="s">
        <v>8</v>
      </c>
      <c r="M17" s="2" t="s">
        <v>8</v>
      </c>
      <c r="N17" s="2" t="s">
        <v>8</v>
      </c>
      <c r="O17" s="23" t="s">
        <v>8</v>
      </c>
      <c r="P17" s="2" t="s">
        <v>8</v>
      </c>
      <c r="Q17" s="2" t="s">
        <v>8</v>
      </c>
      <c r="R17" s="2" t="s">
        <v>8</v>
      </c>
      <c r="S17" s="2" t="s">
        <v>8</v>
      </c>
      <c r="T17" s="2" t="s">
        <v>8</v>
      </c>
      <c r="U17" s="2" t="s">
        <v>8</v>
      </c>
      <c r="V17" s="23" t="s">
        <v>8</v>
      </c>
      <c r="W17" s="7" t="s">
        <v>8</v>
      </c>
      <c r="X17" s="7" t="s">
        <v>8</v>
      </c>
    </row>
    <row r="18" spans="1:24" ht="45" customHeight="1" x14ac:dyDescent="0.25">
      <c r="A18" t="str">
        <f t="shared" si="0"/>
        <v xml:space="preserve">   </v>
      </c>
      <c r="B18" s="2" t="s">
        <v>8</v>
      </c>
      <c r="C18" s="2" t="s">
        <v>8</v>
      </c>
      <c r="D18" s="2" t="s">
        <v>8</v>
      </c>
      <c r="E18" s="2" t="s">
        <v>8</v>
      </c>
      <c r="F18" s="2" t="s">
        <v>8</v>
      </c>
      <c r="G18" s="2" t="s">
        <v>8</v>
      </c>
      <c r="H18" s="23" t="s">
        <v>8</v>
      </c>
      <c r="I18" s="2" t="s">
        <v>8</v>
      </c>
      <c r="J18" s="2" t="s">
        <v>8</v>
      </c>
      <c r="K18" s="2" t="s">
        <v>8</v>
      </c>
      <c r="L18" s="2" t="s">
        <v>8</v>
      </c>
      <c r="M18" s="2" t="s">
        <v>8</v>
      </c>
      <c r="N18" s="2" t="s">
        <v>8</v>
      </c>
      <c r="O18" s="23" t="s">
        <v>8</v>
      </c>
      <c r="P18" s="2" t="s">
        <v>8</v>
      </c>
      <c r="Q18" s="2" t="s">
        <v>8</v>
      </c>
      <c r="R18" s="2" t="s">
        <v>8</v>
      </c>
      <c r="S18" s="2" t="s">
        <v>8</v>
      </c>
      <c r="T18" s="2" t="s">
        <v>8</v>
      </c>
      <c r="U18" s="2" t="s">
        <v>8</v>
      </c>
      <c r="V18" s="23" t="s">
        <v>8</v>
      </c>
      <c r="W18" s="7" t="s">
        <v>8</v>
      </c>
      <c r="X18" s="7" t="s">
        <v>8</v>
      </c>
    </row>
    <row r="19" spans="1:24" ht="45" customHeight="1" x14ac:dyDescent="0.25">
      <c r="A19" t="str">
        <f t="shared" si="0"/>
        <v xml:space="preserve">   </v>
      </c>
      <c r="B19" s="2" t="s">
        <v>8</v>
      </c>
      <c r="C19" s="2" t="s">
        <v>8</v>
      </c>
      <c r="D19" s="2" t="s">
        <v>8</v>
      </c>
      <c r="E19" s="2" t="s">
        <v>8</v>
      </c>
      <c r="F19" s="2" t="s">
        <v>8</v>
      </c>
      <c r="G19" s="2" t="s">
        <v>8</v>
      </c>
      <c r="H19" s="23" t="s">
        <v>8</v>
      </c>
      <c r="I19" s="2" t="s">
        <v>8</v>
      </c>
      <c r="J19" s="2" t="s">
        <v>8</v>
      </c>
      <c r="K19" s="2" t="s">
        <v>8</v>
      </c>
      <c r="L19" s="2" t="s">
        <v>8</v>
      </c>
      <c r="M19" s="2" t="s">
        <v>8</v>
      </c>
      <c r="N19" s="2" t="s">
        <v>8</v>
      </c>
      <c r="O19" s="23" t="s">
        <v>8</v>
      </c>
      <c r="P19" s="2" t="s">
        <v>8</v>
      </c>
      <c r="Q19" s="2" t="s">
        <v>8</v>
      </c>
      <c r="R19" s="2" t="s">
        <v>8</v>
      </c>
      <c r="S19" s="2" t="s">
        <v>8</v>
      </c>
      <c r="T19" s="2" t="s">
        <v>8</v>
      </c>
      <c r="U19" s="2" t="s">
        <v>8</v>
      </c>
      <c r="V19" s="23" t="s">
        <v>8</v>
      </c>
      <c r="W19" s="7" t="s">
        <v>8</v>
      </c>
      <c r="X19" s="7" t="s">
        <v>8</v>
      </c>
    </row>
    <row r="20" spans="1:24" ht="45" customHeight="1" x14ac:dyDescent="0.25">
      <c r="A20" t="str">
        <f t="shared" si="0"/>
        <v xml:space="preserve">   </v>
      </c>
      <c r="B20" s="2" t="s">
        <v>8</v>
      </c>
      <c r="C20" s="2" t="s">
        <v>8</v>
      </c>
      <c r="D20" s="2" t="s">
        <v>8</v>
      </c>
      <c r="E20" s="2" t="s">
        <v>8</v>
      </c>
      <c r="F20" s="2" t="s">
        <v>8</v>
      </c>
      <c r="G20" s="2" t="s">
        <v>8</v>
      </c>
      <c r="H20" s="23" t="s">
        <v>8</v>
      </c>
      <c r="I20" s="2" t="s">
        <v>8</v>
      </c>
      <c r="J20" s="2" t="s">
        <v>8</v>
      </c>
      <c r="K20" s="2" t="s">
        <v>8</v>
      </c>
      <c r="L20" s="2" t="s">
        <v>8</v>
      </c>
      <c r="M20" s="2" t="s">
        <v>8</v>
      </c>
      <c r="N20" s="2" t="s">
        <v>8</v>
      </c>
      <c r="O20" s="23" t="s">
        <v>8</v>
      </c>
      <c r="P20" s="2" t="s">
        <v>8</v>
      </c>
      <c r="Q20" s="2" t="s">
        <v>8</v>
      </c>
      <c r="R20" s="2" t="s">
        <v>8</v>
      </c>
      <c r="S20" s="2" t="s">
        <v>8</v>
      </c>
      <c r="T20" s="2" t="s">
        <v>8</v>
      </c>
      <c r="U20" s="2" t="s">
        <v>8</v>
      </c>
      <c r="V20" s="23" t="s">
        <v>8</v>
      </c>
      <c r="W20" s="7" t="s">
        <v>8</v>
      </c>
      <c r="X20" s="7" t="s">
        <v>8</v>
      </c>
    </row>
    <row r="21" spans="1:24" ht="45" customHeight="1" x14ac:dyDescent="0.25">
      <c r="A21" t="str">
        <f t="shared" si="0"/>
        <v xml:space="preserve">   </v>
      </c>
      <c r="B21" s="2" t="s">
        <v>8</v>
      </c>
      <c r="C21" s="2" t="s">
        <v>8</v>
      </c>
      <c r="D21" s="2" t="s">
        <v>8</v>
      </c>
      <c r="E21" s="2" t="s">
        <v>8</v>
      </c>
      <c r="F21" s="2" t="s">
        <v>8</v>
      </c>
      <c r="G21" s="2" t="s">
        <v>8</v>
      </c>
      <c r="H21" s="23" t="s">
        <v>8</v>
      </c>
      <c r="I21" s="2" t="s">
        <v>8</v>
      </c>
      <c r="J21" s="2" t="s">
        <v>8</v>
      </c>
      <c r="K21" s="2" t="s">
        <v>8</v>
      </c>
      <c r="L21" s="2" t="s">
        <v>8</v>
      </c>
      <c r="M21" s="2" t="s">
        <v>8</v>
      </c>
      <c r="N21" s="2" t="s">
        <v>8</v>
      </c>
      <c r="O21" s="23" t="s">
        <v>8</v>
      </c>
      <c r="P21" s="2" t="s">
        <v>8</v>
      </c>
      <c r="Q21" s="2" t="s">
        <v>8</v>
      </c>
      <c r="R21" s="2" t="s">
        <v>8</v>
      </c>
      <c r="S21" s="2" t="s">
        <v>8</v>
      </c>
      <c r="T21" s="2" t="s">
        <v>8</v>
      </c>
      <c r="U21" s="2" t="s">
        <v>8</v>
      </c>
      <c r="V21" s="23" t="s">
        <v>8</v>
      </c>
      <c r="W21" s="7" t="s">
        <v>8</v>
      </c>
      <c r="X21" s="7" t="s">
        <v>8</v>
      </c>
    </row>
    <row r="22" spans="1:24" ht="45" customHeight="1" x14ac:dyDescent="0.25">
      <c r="A22" t="str">
        <f t="shared" si="0"/>
        <v xml:space="preserve">   </v>
      </c>
      <c r="B22" s="2" t="s">
        <v>8</v>
      </c>
      <c r="C22" s="2" t="s">
        <v>8</v>
      </c>
      <c r="D22" s="2" t="s">
        <v>8</v>
      </c>
      <c r="E22" s="2" t="s">
        <v>8</v>
      </c>
      <c r="F22" s="2" t="s">
        <v>8</v>
      </c>
      <c r="G22" s="2" t="s">
        <v>8</v>
      </c>
      <c r="H22" s="23" t="s">
        <v>8</v>
      </c>
      <c r="I22" s="2" t="s">
        <v>8</v>
      </c>
      <c r="J22" s="2" t="s">
        <v>8</v>
      </c>
      <c r="K22" s="2" t="s">
        <v>8</v>
      </c>
      <c r="L22" s="2" t="s">
        <v>8</v>
      </c>
      <c r="M22" s="2" t="s">
        <v>8</v>
      </c>
      <c r="N22" s="2" t="s">
        <v>8</v>
      </c>
      <c r="O22" s="23" t="s">
        <v>8</v>
      </c>
      <c r="P22" s="2" t="s">
        <v>8</v>
      </c>
      <c r="Q22" s="2" t="s">
        <v>8</v>
      </c>
      <c r="R22" s="2" t="s">
        <v>8</v>
      </c>
      <c r="S22" s="2" t="s">
        <v>8</v>
      </c>
      <c r="T22" s="2" t="s">
        <v>8</v>
      </c>
      <c r="U22" s="2" t="s">
        <v>8</v>
      </c>
      <c r="V22" s="23" t="s">
        <v>8</v>
      </c>
      <c r="W22" s="7" t="s">
        <v>8</v>
      </c>
      <c r="X22" s="7" t="s">
        <v>8</v>
      </c>
    </row>
    <row r="23" spans="1:24" ht="45" customHeight="1" x14ac:dyDescent="0.25">
      <c r="A23" t="str">
        <f t="shared" si="0"/>
        <v xml:space="preserve">   </v>
      </c>
      <c r="B23" s="2" t="s">
        <v>8</v>
      </c>
      <c r="C23" s="2" t="s">
        <v>8</v>
      </c>
      <c r="D23" s="2" t="s">
        <v>8</v>
      </c>
      <c r="E23" s="2" t="s">
        <v>8</v>
      </c>
      <c r="F23" s="2" t="s">
        <v>8</v>
      </c>
      <c r="G23" s="2" t="s">
        <v>8</v>
      </c>
      <c r="H23" s="23" t="s">
        <v>8</v>
      </c>
      <c r="I23" s="2" t="s">
        <v>8</v>
      </c>
      <c r="J23" s="2" t="s">
        <v>8</v>
      </c>
      <c r="K23" s="2" t="s">
        <v>8</v>
      </c>
      <c r="L23" s="2" t="s">
        <v>8</v>
      </c>
      <c r="M23" s="2" t="s">
        <v>8</v>
      </c>
      <c r="N23" s="2" t="s">
        <v>8</v>
      </c>
      <c r="O23" s="23" t="s">
        <v>8</v>
      </c>
      <c r="P23" s="2" t="s">
        <v>8</v>
      </c>
      <c r="Q23" s="2" t="s">
        <v>8</v>
      </c>
      <c r="R23" s="2" t="s">
        <v>8</v>
      </c>
      <c r="S23" s="2" t="s">
        <v>8</v>
      </c>
      <c r="T23" s="2" t="s">
        <v>8</v>
      </c>
      <c r="U23" s="2" t="s">
        <v>8</v>
      </c>
      <c r="V23" s="23" t="s">
        <v>8</v>
      </c>
      <c r="W23" s="7" t="s">
        <v>8</v>
      </c>
      <c r="X23" s="7" t="s">
        <v>8</v>
      </c>
    </row>
    <row r="24" spans="1:24" ht="45" customHeight="1" x14ac:dyDescent="0.25">
      <c r="A24" t="str">
        <f t="shared" si="0"/>
        <v xml:space="preserve">   </v>
      </c>
      <c r="B24" s="2" t="s">
        <v>8</v>
      </c>
      <c r="C24" s="2" t="s">
        <v>8</v>
      </c>
      <c r="D24" s="2" t="s">
        <v>8</v>
      </c>
      <c r="E24" s="2" t="s">
        <v>8</v>
      </c>
      <c r="F24" s="2" t="s">
        <v>8</v>
      </c>
      <c r="G24" s="2" t="s">
        <v>8</v>
      </c>
      <c r="H24" s="23" t="s">
        <v>8</v>
      </c>
      <c r="I24" s="2" t="s">
        <v>8</v>
      </c>
      <c r="J24" s="2" t="s">
        <v>8</v>
      </c>
      <c r="K24" s="2" t="s">
        <v>8</v>
      </c>
      <c r="L24" s="2" t="s">
        <v>8</v>
      </c>
      <c r="M24" s="2" t="s">
        <v>8</v>
      </c>
      <c r="N24" s="2" t="s">
        <v>8</v>
      </c>
      <c r="O24" s="23" t="s">
        <v>8</v>
      </c>
      <c r="P24" s="2" t="s">
        <v>8</v>
      </c>
      <c r="Q24" s="2" t="s">
        <v>8</v>
      </c>
      <c r="R24" s="2" t="s">
        <v>8</v>
      </c>
      <c r="S24" s="2" t="s">
        <v>8</v>
      </c>
      <c r="T24" s="2" t="s">
        <v>8</v>
      </c>
      <c r="U24" s="2" t="s">
        <v>8</v>
      </c>
      <c r="V24" s="23" t="s">
        <v>8</v>
      </c>
      <c r="W24" s="7" t="s">
        <v>8</v>
      </c>
      <c r="X24" s="7" t="s">
        <v>8</v>
      </c>
    </row>
    <row r="25" spans="1:24" ht="45" customHeight="1" x14ac:dyDescent="0.25">
      <c r="A25" t="str">
        <f t="shared" si="0"/>
        <v xml:space="preserve">   </v>
      </c>
      <c r="B25" s="2" t="s">
        <v>8</v>
      </c>
      <c r="C25" s="2" t="s">
        <v>8</v>
      </c>
      <c r="D25" s="2" t="s">
        <v>8</v>
      </c>
      <c r="E25" s="2" t="s">
        <v>8</v>
      </c>
      <c r="F25" s="2" t="s">
        <v>8</v>
      </c>
      <c r="G25" s="2" t="s">
        <v>8</v>
      </c>
      <c r="H25" s="23" t="s">
        <v>8</v>
      </c>
      <c r="I25" s="2" t="s">
        <v>8</v>
      </c>
      <c r="J25" s="2" t="s">
        <v>8</v>
      </c>
      <c r="K25" s="2" t="s">
        <v>8</v>
      </c>
      <c r="L25" s="2" t="s">
        <v>8</v>
      </c>
      <c r="M25" s="2" t="s">
        <v>8</v>
      </c>
      <c r="N25" s="2" t="s">
        <v>8</v>
      </c>
      <c r="O25" s="23" t="s">
        <v>8</v>
      </c>
      <c r="P25" s="2" t="s">
        <v>8</v>
      </c>
      <c r="Q25" s="2" t="s">
        <v>8</v>
      </c>
      <c r="R25" s="2" t="s">
        <v>8</v>
      </c>
      <c r="S25" s="2" t="s">
        <v>8</v>
      </c>
      <c r="T25" s="2" t="s">
        <v>8</v>
      </c>
      <c r="U25" s="2" t="s">
        <v>8</v>
      </c>
      <c r="V25" s="23" t="s">
        <v>8</v>
      </c>
      <c r="W25" s="7" t="s">
        <v>8</v>
      </c>
      <c r="X25" s="7" t="s">
        <v>8</v>
      </c>
    </row>
    <row r="26" spans="1:24" ht="45" customHeight="1" x14ac:dyDescent="0.25">
      <c r="A26" t="str">
        <f t="shared" si="0"/>
        <v xml:space="preserve">   </v>
      </c>
      <c r="B26" s="2" t="s">
        <v>8</v>
      </c>
      <c r="C26" s="2" t="s">
        <v>8</v>
      </c>
      <c r="D26" s="2" t="s">
        <v>8</v>
      </c>
      <c r="E26" s="2" t="s">
        <v>8</v>
      </c>
      <c r="F26" s="2" t="s">
        <v>8</v>
      </c>
      <c r="G26" s="2" t="s">
        <v>8</v>
      </c>
      <c r="H26" s="23" t="s">
        <v>8</v>
      </c>
      <c r="I26" s="2" t="s">
        <v>8</v>
      </c>
      <c r="J26" s="2" t="s">
        <v>8</v>
      </c>
      <c r="K26" s="2" t="s">
        <v>8</v>
      </c>
      <c r="L26" s="2" t="s">
        <v>8</v>
      </c>
      <c r="M26" s="2" t="s">
        <v>8</v>
      </c>
      <c r="N26" s="2" t="s">
        <v>8</v>
      </c>
      <c r="O26" s="23" t="s">
        <v>8</v>
      </c>
      <c r="P26" s="2" t="s">
        <v>8</v>
      </c>
      <c r="Q26" s="2" t="s">
        <v>8</v>
      </c>
      <c r="R26" s="2" t="s">
        <v>8</v>
      </c>
      <c r="S26" s="2" t="s">
        <v>8</v>
      </c>
      <c r="T26" s="2" t="s">
        <v>8</v>
      </c>
      <c r="U26" s="2" t="s">
        <v>8</v>
      </c>
      <c r="V26" s="23" t="s">
        <v>8</v>
      </c>
      <c r="W26" s="7" t="s">
        <v>8</v>
      </c>
      <c r="X26" s="7" t="s">
        <v>8</v>
      </c>
    </row>
    <row r="27" spans="1:24" ht="45" customHeight="1" x14ac:dyDescent="0.25">
      <c r="A27" t="str">
        <f t="shared" si="0"/>
        <v xml:space="preserve">   </v>
      </c>
      <c r="B27" s="2" t="s">
        <v>8</v>
      </c>
      <c r="C27" s="2" t="s">
        <v>8</v>
      </c>
      <c r="D27" s="2" t="s">
        <v>8</v>
      </c>
      <c r="E27" s="2" t="s">
        <v>8</v>
      </c>
      <c r="F27" s="2" t="s">
        <v>8</v>
      </c>
      <c r="G27" s="2" t="s">
        <v>8</v>
      </c>
      <c r="H27" s="23" t="s">
        <v>8</v>
      </c>
      <c r="I27" s="2" t="s">
        <v>8</v>
      </c>
      <c r="J27" s="2" t="s">
        <v>8</v>
      </c>
      <c r="K27" s="2" t="s">
        <v>8</v>
      </c>
      <c r="L27" s="2" t="s">
        <v>8</v>
      </c>
      <c r="M27" s="2" t="s">
        <v>8</v>
      </c>
      <c r="N27" s="2" t="s">
        <v>8</v>
      </c>
      <c r="O27" s="23" t="s">
        <v>8</v>
      </c>
      <c r="P27" s="2" t="s">
        <v>8</v>
      </c>
      <c r="Q27" s="2" t="s">
        <v>8</v>
      </c>
      <c r="R27" s="2" t="s">
        <v>8</v>
      </c>
      <c r="S27" s="2" t="s">
        <v>8</v>
      </c>
      <c r="T27" s="2" t="s">
        <v>8</v>
      </c>
      <c r="U27" s="2" t="s">
        <v>8</v>
      </c>
      <c r="V27" s="23" t="s">
        <v>8</v>
      </c>
      <c r="W27" s="7" t="s">
        <v>8</v>
      </c>
      <c r="X27" s="7" t="s">
        <v>8</v>
      </c>
    </row>
    <row r="28" spans="1:24" ht="45" customHeight="1" x14ac:dyDescent="0.25">
      <c r="A28" t="str">
        <f t="shared" si="0"/>
        <v xml:space="preserve">   </v>
      </c>
      <c r="B28" s="2" t="s">
        <v>8</v>
      </c>
      <c r="C28" s="2" t="s">
        <v>8</v>
      </c>
      <c r="D28" s="2" t="s">
        <v>8</v>
      </c>
      <c r="E28" s="2" t="s">
        <v>8</v>
      </c>
      <c r="F28" s="2" t="s">
        <v>8</v>
      </c>
      <c r="G28" s="2" t="s">
        <v>8</v>
      </c>
      <c r="H28" s="23" t="s">
        <v>8</v>
      </c>
      <c r="I28" s="2" t="s">
        <v>8</v>
      </c>
      <c r="J28" s="2" t="s">
        <v>8</v>
      </c>
      <c r="K28" s="2" t="s">
        <v>8</v>
      </c>
      <c r="L28" s="2" t="s">
        <v>8</v>
      </c>
      <c r="M28" s="2" t="s">
        <v>8</v>
      </c>
      <c r="N28" s="2" t="s">
        <v>8</v>
      </c>
      <c r="O28" s="23" t="s">
        <v>8</v>
      </c>
      <c r="P28" s="2" t="s">
        <v>8</v>
      </c>
      <c r="Q28" s="2" t="s">
        <v>8</v>
      </c>
      <c r="R28" s="2" t="s">
        <v>8</v>
      </c>
      <c r="S28" s="2" t="s">
        <v>8</v>
      </c>
      <c r="T28" s="2" t="s">
        <v>8</v>
      </c>
      <c r="U28" s="2" t="s">
        <v>8</v>
      </c>
      <c r="V28" s="23" t="s">
        <v>8</v>
      </c>
      <c r="W28" s="7" t="s">
        <v>8</v>
      </c>
      <c r="X28" s="7" t="s">
        <v>8</v>
      </c>
    </row>
    <row r="29" spans="1:24" ht="45" customHeight="1" x14ac:dyDescent="0.25">
      <c r="A29" t="str">
        <f t="shared" si="0"/>
        <v xml:space="preserve">   </v>
      </c>
      <c r="B29" s="2" t="s">
        <v>8</v>
      </c>
      <c r="C29" s="2" t="s">
        <v>8</v>
      </c>
      <c r="D29" s="2" t="s">
        <v>8</v>
      </c>
      <c r="E29" s="2" t="s">
        <v>8</v>
      </c>
      <c r="F29" s="2" t="s">
        <v>8</v>
      </c>
      <c r="G29" s="2" t="s">
        <v>8</v>
      </c>
      <c r="H29" s="23" t="s">
        <v>8</v>
      </c>
      <c r="I29" s="2" t="s">
        <v>8</v>
      </c>
      <c r="J29" s="2" t="s">
        <v>8</v>
      </c>
      <c r="K29" s="2" t="s">
        <v>8</v>
      </c>
      <c r="L29" s="2" t="s">
        <v>8</v>
      </c>
      <c r="M29" s="2" t="s">
        <v>8</v>
      </c>
      <c r="N29" s="2" t="s">
        <v>8</v>
      </c>
      <c r="O29" s="23" t="s">
        <v>8</v>
      </c>
      <c r="P29" s="2" t="s">
        <v>8</v>
      </c>
      <c r="Q29" s="2" t="s">
        <v>8</v>
      </c>
      <c r="R29" s="2" t="s">
        <v>8</v>
      </c>
      <c r="S29" s="2" t="s">
        <v>8</v>
      </c>
      <c r="T29" s="2" t="s">
        <v>8</v>
      </c>
      <c r="U29" s="2" t="s">
        <v>8</v>
      </c>
      <c r="V29" s="23" t="s">
        <v>8</v>
      </c>
      <c r="W29" s="7" t="s">
        <v>8</v>
      </c>
      <c r="X29" s="7" t="s">
        <v>8</v>
      </c>
    </row>
    <row r="30" spans="1:24" ht="45" customHeight="1" x14ac:dyDescent="0.25">
      <c r="A30" t="str">
        <f t="shared" si="0"/>
        <v xml:space="preserve">   </v>
      </c>
      <c r="B30" s="2" t="s">
        <v>8</v>
      </c>
      <c r="C30" s="2" t="s">
        <v>8</v>
      </c>
      <c r="D30" s="2" t="s">
        <v>8</v>
      </c>
      <c r="E30" s="2" t="s">
        <v>8</v>
      </c>
      <c r="F30" s="2" t="s">
        <v>8</v>
      </c>
      <c r="G30" s="2" t="s">
        <v>8</v>
      </c>
      <c r="H30" s="23" t="s">
        <v>8</v>
      </c>
      <c r="I30" s="2" t="s">
        <v>8</v>
      </c>
      <c r="J30" s="2" t="s">
        <v>8</v>
      </c>
      <c r="K30" s="2" t="s">
        <v>8</v>
      </c>
      <c r="L30" s="2" t="s">
        <v>8</v>
      </c>
      <c r="M30" s="2" t="s">
        <v>8</v>
      </c>
      <c r="N30" s="2" t="s">
        <v>8</v>
      </c>
      <c r="O30" s="23" t="s">
        <v>8</v>
      </c>
      <c r="P30" s="2" t="s">
        <v>8</v>
      </c>
      <c r="Q30" s="2" t="s">
        <v>8</v>
      </c>
      <c r="R30" s="2" t="s">
        <v>8</v>
      </c>
      <c r="S30" s="2" t="s">
        <v>8</v>
      </c>
      <c r="T30" s="2" t="s">
        <v>8</v>
      </c>
      <c r="U30" s="2" t="s">
        <v>8</v>
      </c>
      <c r="V30" s="23" t="s">
        <v>8</v>
      </c>
      <c r="W30" s="7" t="s">
        <v>8</v>
      </c>
      <c r="X30" s="7" t="s">
        <v>8</v>
      </c>
    </row>
    <row r="31" spans="1:24" ht="45" customHeight="1" x14ac:dyDescent="0.25">
      <c r="A31" t="str">
        <f t="shared" si="0"/>
        <v xml:space="preserve">   </v>
      </c>
      <c r="B31" s="2" t="s">
        <v>8</v>
      </c>
      <c r="C31" s="2" t="s">
        <v>8</v>
      </c>
      <c r="D31" s="2" t="s">
        <v>8</v>
      </c>
      <c r="E31" s="2" t="s">
        <v>8</v>
      </c>
      <c r="F31" s="2" t="s">
        <v>8</v>
      </c>
      <c r="G31" s="2" t="s">
        <v>8</v>
      </c>
      <c r="H31" s="23" t="s">
        <v>8</v>
      </c>
      <c r="I31" s="2" t="s">
        <v>8</v>
      </c>
      <c r="J31" s="2" t="s">
        <v>8</v>
      </c>
      <c r="K31" s="2" t="s">
        <v>8</v>
      </c>
      <c r="L31" s="2" t="s">
        <v>8</v>
      </c>
      <c r="M31" s="2" t="s">
        <v>8</v>
      </c>
      <c r="N31" s="2" t="s">
        <v>8</v>
      </c>
      <c r="O31" s="23" t="s">
        <v>8</v>
      </c>
      <c r="P31" s="2" t="s">
        <v>8</v>
      </c>
      <c r="Q31" s="2" t="s">
        <v>8</v>
      </c>
      <c r="R31" s="2" t="s">
        <v>8</v>
      </c>
      <c r="S31" s="2" t="s">
        <v>8</v>
      </c>
      <c r="T31" s="2" t="s">
        <v>8</v>
      </c>
      <c r="U31" s="2" t="s">
        <v>8</v>
      </c>
      <c r="V31" s="23" t="s">
        <v>8</v>
      </c>
      <c r="W31" s="7" t="s">
        <v>8</v>
      </c>
      <c r="X31" s="7" t="s">
        <v>8</v>
      </c>
    </row>
    <row r="32" spans="1:24" ht="45" customHeight="1" x14ac:dyDescent="0.25">
      <c r="A32" t="str">
        <f t="shared" si="0"/>
        <v xml:space="preserve">   </v>
      </c>
      <c r="B32" s="2" t="s">
        <v>8</v>
      </c>
      <c r="C32" s="2" t="s">
        <v>8</v>
      </c>
      <c r="D32" s="2" t="s">
        <v>8</v>
      </c>
      <c r="E32" s="2" t="s">
        <v>8</v>
      </c>
      <c r="F32" s="2" t="s">
        <v>8</v>
      </c>
      <c r="G32" s="2" t="s">
        <v>8</v>
      </c>
      <c r="H32" s="23" t="s">
        <v>8</v>
      </c>
      <c r="I32" s="2" t="s">
        <v>8</v>
      </c>
      <c r="J32" s="2" t="s">
        <v>8</v>
      </c>
      <c r="K32" s="2" t="s">
        <v>8</v>
      </c>
      <c r="L32" s="2" t="s">
        <v>8</v>
      </c>
      <c r="M32" s="2" t="s">
        <v>8</v>
      </c>
      <c r="N32" s="2" t="s">
        <v>8</v>
      </c>
      <c r="O32" s="23" t="s">
        <v>8</v>
      </c>
      <c r="P32" s="2" t="s">
        <v>8</v>
      </c>
      <c r="Q32" s="2" t="s">
        <v>8</v>
      </c>
      <c r="R32" s="2" t="s">
        <v>8</v>
      </c>
      <c r="S32" s="2" t="s">
        <v>8</v>
      </c>
      <c r="T32" s="2" t="s">
        <v>8</v>
      </c>
      <c r="U32" s="2" t="s">
        <v>8</v>
      </c>
      <c r="V32" s="23" t="s">
        <v>8</v>
      </c>
      <c r="W32" s="7" t="s">
        <v>8</v>
      </c>
      <c r="X32" s="7" t="s">
        <v>8</v>
      </c>
    </row>
    <row r="33" spans="1:24" ht="45" customHeight="1" x14ac:dyDescent="0.25">
      <c r="A33" t="str">
        <f t="shared" si="0"/>
        <v xml:space="preserve">   </v>
      </c>
      <c r="B33" s="2" t="s">
        <v>8</v>
      </c>
      <c r="C33" s="2" t="s">
        <v>8</v>
      </c>
      <c r="D33" s="2" t="s">
        <v>8</v>
      </c>
      <c r="E33" s="2" t="s">
        <v>8</v>
      </c>
      <c r="F33" s="2" t="s">
        <v>8</v>
      </c>
      <c r="G33" s="2" t="s">
        <v>8</v>
      </c>
      <c r="H33" s="23" t="s">
        <v>8</v>
      </c>
      <c r="I33" s="2" t="s">
        <v>8</v>
      </c>
      <c r="J33" s="2" t="s">
        <v>8</v>
      </c>
      <c r="K33" s="2" t="s">
        <v>8</v>
      </c>
      <c r="L33" s="2" t="s">
        <v>8</v>
      </c>
      <c r="M33" s="2" t="s">
        <v>8</v>
      </c>
      <c r="N33" s="2" t="s">
        <v>8</v>
      </c>
      <c r="O33" s="23" t="s">
        <v>8</v>
      </c>
      <c r="P33" s="2" t="s">
        <v>8</v>
      </c>
      <c r="Q33" s="2" t="s">
        <v>8</v>
      </c>
      <c r="R33" s="2" t="s">
        <v>8</v>
      </c>
      <c r="S33" s="2" t="s">
        <v>8</v>
      </c>
      <c r="T33" s="2" t="s">
        <v>8</v>
      </c>
      <c r="U33" s="2" t="s">
        <v>8</v>
      </c>
      <c r="V33" s="23" t="s">
        <v>8</v>
      </c>
      <c r="W33" s="7" t="s">
        <v>8</v>
      </c>
      <c r="X33" s="7" t="s">
        <v>8</v>
      </c>
    </row>
    <row r="34" spans="1:24" ht="45" customHeight="1" x14ac:dyDescent="0.25">
      <c r="A34" t="str">
        <f t="shared" si="0"/>
        <v xml:space="preserve">   </v>
      </c>
      <c r="B34" s="2" t="s">
        <v>8</v>
      </c>
      <c r="C34" s="2" t="s">
        <v>8</v>
      </c>
      <c r="D34" s="2" t="s">
        <v>8</v>
      </c>
      <c r="E34" s="2" t="s">
        <v>8</v>
      </c>
      <c r="F34" s="2" t="s">
        <v>8</v>
      </c>
      <c r="G34" s="2" t="s">
        <v>8</v>
      </c>
      <c r="H34" s="23" t="s">
        <v>8</v>
      </c>
      <c r="I34" s="2" t="s">
        <v>8</v>
      </c>
      <c r="J34" s="2" t="s">
        <v>8</v>
      </c>
      <c r="K34" s="2" t="s">
        <v>8</v>
      </c>
      <c r="L34" s="2" t="s">
        <v>8</v>
      </c>
      <c r="M34" s="2" t="s">
        <v>8</v>
      </c>
      <c r="N34" s="2" t="s">
        <v>8</v>
      </c>
      <c r="O34" s="23" t="s">
        <v>8</v>
      </c>
      <c r="P34" s="2" t="s">
        <v>8</v>
      </c>
      <c r="Q34" s="2" t="s">
        <v>8</v>
      </c>
      <c r="R34" s="2" t="s">
        <v>8</v>
      </c>
      <c r="S34" s="2" t="s">
        <v>8</v>
      </c>
      <c r="T34" s="2" t="s">
        <v>8</v>
      </c>
      <c r="U34" s="2" t="s">
        <v>8</v>
      </c>
      <c r="V34" s="23" t="s">
        <v>8</v>
      </c>
      <c r="W34" s="7" t="s">
        <v>8</v>
      </c>
      <c r="X34" s="7" t="s">
        <v>8</v>
      </c>
    </row>
    <row r="35" spans="1:24" ht="45" customHeight="1" x14ac:dyDescent="0.25">
      <c r="A35" t="str">
        <f t="shared" si="0"/>
        <v xml:space="preserve">   </v>
      </c>
      <c r="B35" s="2" t="s">
        <v>8</v>
      </c>
      <c r="C35" s="2" t="s">
        <v>8</v>
      </c>
      <c r="D35" s="2" t="s">
        <v>8</v>
      </c>
      <c r="E35" s="2" t="s">
        <v>8</v>
      </c>
      <c r="F35" s="2" t="s">
        <v>8</v>
      </c>
      <c r="G35" s="2" t="s">
        <v>8</v>
      </c>
      <c r="H35" s="23" t="s">
        <v>8</v>
      </c>
      <c r="I35" s="2" t="s">
        <v>8</v>
      </c>
      <c r="J35" s="2" t="s">
        <v>8</v>
      </c>
      <c r="K35" s="2" t="s">
        <v>8</v>
      </c>
      <c r="L35" s="2" t="s">
        <v>8</v>
      </c>
      <c r="M35" s="2" t="s">
        <v>8</v>
      </c>
      <c r="N35" s="2" t="s">
        <v>8</v>
      </c>
      <c r="O35" s="23" t="s">
        <v>8</v>
      </c>
      <c r="P35" s="2" t="s">
        <v>8</v>
      </c>
      <c r="Q35" s="2" t="s">
        <v>8</v>
      </c>
      <c r="R35" s="2" t="s">
        <v>8</v>
      </c>
      <c r="S35" s="2" t="s">
        <v>8</v>
      </c>
      <c r="T35" s="2" t="s">
        <v>8</v>
      </c>
      <c r="U35" s="2" t="s">
        <v>8</v>
      </c>
      <c r="V35" s="23" t="s">
        <v>8</v>
      </c>
      <c r="W35" s="7" t="s">
        <v>8</v>
      </c>
      <c r="X35" s="7" t="s">
        <v>8</v>
      </c>
    </row>
    <row r="36" spans="1:24" ht="45" customHeight="1" x14ac:dyDescent="0.25">
      <c r="A36" t="str">
        <f t="shared" si="0"/>
        <v xml:space="preserve">   </v>
      </c>
      <c r="B36" s="2" t="s">
        <v>8</v>
      </c>
      <c r="C36" s="2" t="s">
        <v>8</v>
      </c>
      <c r="D36" s="2" t="s">
        <v>8</v>
      </c>
      <c r="E36" s="2" t="s">
        <v>8</v>
      </c>
      <c r="F36" s="2" t="s">
        <v>8</v>
      </c>
      <c r="G36" s="2" t="s">
        <v>8</v>
      </c>
      <c r="H36" s="23" t="s">
        <v>8</v>
      </c>
      <c r="I36" s="2" t="s">
        <v>8</v>
      </c>
      <c r="J36" s="2" t="s">
        <v>8</v>
      </c>
      <c r="K36" s="2" t="s">
        <v>8</v>
      </c>
      <c r="L36" s="2" t="s">
        <v>8</v>
      </c>
      <c r="M36" s="2" t="s">
        <v>8</v>
      </c>
      <c r="N36" s="2" t="s">
        <v>8</v>
      </c>
      <c r="O36" s="23" t="s">
        <v>8</v>
      </c>
      <c r="P36" s="2" t="s">
        <v>8</v>
      </c>
      <c r="Q36" s="2" t="s">
        <v>8</v>
      </c>
      <c r="R36" s="2" t="s">
        <v>8</v>
      </c>
      <c r="S36" s="2" t="s">
        <v>8</v>
      </c>
      <c r="T36" s="2" t="s">
        <v>8</v>
      </c>
      <c r="U36" s="2" t="s">
        <v>8</v>
      </c>
      <c r="V36" s="23" t="s">
        <v>8</v>
      </c>
      <c r="W36" s="7" t="s">
        <v>8</v>
      </c>
      <c r="X36" s="7" t="s">
        <v>8</v>
      </c>
    </row>
    <row r="37" spans="1:24" ht="45" customHeight="1" x14ac:dyDescent="0.25">
      <c r="A37" t="str">
        <f t="shared" si="0"/>
        <v xml:space="preserve">   </v>
      </c>
      <c r="B37" s="2" t="s">
        <v>8</v>
      </c>
      <c r="C37" s="2" t="s">
        <v>8</v>
      </c>
      <c r="D37" s="2" t="s">
        <v>8</v>
      </c>
      <c r="E37" s="2" t="s">
        <v>8</v>
      </c>
      <c r="F37" s="2" t="s">
        <v>8</v>
      </c>
      <c r="G37" s="2" t="s">
        <v>8</v>
      </c>
      <c r="H37" s="23" t="s">
        <v>8</v>
      </c>
      <c r="I37" s="2" t="s">
        <v>8</v>
      </c>
      <c r="J37" s="2" t="s">
        <v>8</v>
      </c>
      <c r="K37" s="2" t="s">
        <v>8</v>
      </c>
      <c r="L37" s="2" t="s">
        <v>8</v>
      </c>
      <c r="M37" s="2" t="s">
        <v>8</v>
      </c>
      <c r="N37" s="2" t="s">
        <v>8</v>
      </c>
      <c r="O37" s="23" t="s">
        <v>8</v>
      </c>
      <c r="P37" s="2" t="s">
        <v>8</v>
      </c>
      <c r="Q37" s="2" t="s">
        <v>8</v>
      </c>
      <c r="R37" s="2" t="s">
        <v>8</v>
      </c>
      <c r="S37" s="2" t="s">
        <v>8</v>
      </c>
      <c r="T37" s="2" t="s">
        <v>8</v>
      </c>
      <c r="U37" s="2" t="s">
        <v>8</v>
      </c>
      <c r="V37" s="23" t="s">
        <v>8</v>
      </c>
      <c r="W37" s="7" t="s">
        <v>8</v>
      </c>
      <c r="X37" s="7" t="s">
        <v>8</v>
      </c>
    </row>
    <row r="38" spans="1:24" ht="45" customHeight="1" x14ac:dyDescent="0.25">
      <c r="A38" t="str">
        <f t="shared" ref="A38:A69" si="1">A37</f>
        <v xml:space="preserve">   </v>
      </c>
      <c r="B38" s="2" t="s">
        <v>8</v>
      </c>
      <c r="C38" s="2" t="s">
        <v>8</v>
      </c>
      <c r="D38" s="2" t="s">
        <v>8</v>
      </c>
      <c r="E38" s="2" t="s">
        <v>8</v>
      </c>
      <c r="F38" s="2" t="s">
        <v>8</v>
      </c>
      <c r="G38" s="2" t="s">
        <v>8</v>
      </c>
      <c r="H38" s="23" t="s">
        <v>8</v>
      </c>
      <c r="I38" s="2" t="s">
        <v>8</v>
      </c>
      <c r="J38" s="2" t="s">
        <v>8</v>
      </c>
      <c r="K38" s="2" t="s">
        <v>8</v>
      </c>
      <c r="L38" s="2" t="s">
        <v>8</v>
      </c>
      <c r="M38" s="2" t="s">
        <v>8</v>
      </c>
      <c r="N38" s="2" t="s">
        <v>8</v>
      </c>
      <c r="O38" s="23" t="s">
        <v>8</v>
      </c>
      <c r="P38" s="2" t="s">
        <v>8</v>
      </c>
      <c r="Q38" s="2" t="s">
        <v>8</v>
      </c>
      <c r="R38" s="2" t="s">
        <v>8</v>
      </c>
      <c r="S38" s="2" t="s">
        <v>8</v>
      </c>
      <c r="T38" s="2" t="s">
        <v>8</v>
      </c>
      <c r="U38" s="2" t="s">
        <v>8</v>
      </c>
      <c r="V38" s="23" t="s">
        <v>8</v>
      </c>
      <c r="W38" s="7" t="s">
        <v>8</v>
      </c>
      <c r="X38" s="7" t="s">
        <v>8</v>
      </c>
    </row>
    <row r="39" spans="1:24" ht="45" customHeight="1" x14ac:dyDescent="0.25">
      <c r="A39" t="str">
        <f t="shared" si="1"/>
        <v xml:space="preserve">   </v>
      </c>
      <c r="B39" s="2" t="s">
        <v>8</v>
      </c>
      <c r="C39" s="2" t="s">
        <v>8</v>
      </c>
      <c r="D39" s="2" t="s">
        <v>8</v>
      </c>
      <c r="E39" s="2" t="s">
        <v>8</v>
      </c>
      <c r="F39" s="2" t="s">
        <v>8</v>
      </c>
      <c r="G39" s="2" t="s">
        <v>8</v>
      </c>
      <c r="H39" s="23" t="s">
        <v>8</v>
      </c>
      <c r="I39" s="2" t="s">
        <v>8</v>
      </c>
      <c r="J39" s="2" t="s">
        <v>8</v>
      </c>
      <c r="K39" s="2" t="s">
        <v>8</v>
      </c>
      <c r="L39" s="2" t="s">
        <v>8</v>
      </c>
      <c r="M39" s="2" t="s">
        <v>8</v>
      </c>
      <c r="N39" s="2" t="s">
        <v>8</v>
      </c>
      <c r="O39" s="23" t="s">
        <v>8</v>
      </c>
      <c r="P39" s="2" t="s">
        <v>8</v>
      </c>
      <c r="Q39" s="2" t="s">
        <v>8</v>
      </c>
      <c r="R39" s="2" t="s">
        <v>8</v>
      </c>
      <c r="S39" s="2" t="s">
        <v>8</v>
      </c>
      <c r="T39" s="2" t="s">
        <v>8</v>
      </c>
      <c r="U39" s="2" t="s">
        <v>8</v>
      </c>
      <c r="V39" s="23" t="s">
        <v>8</v>
      </c>
      <c r="W39" s="7" t="s">
        <v>8</v>
      </c>
      <c r="X39" s="7" t="s">
        <v>8</v>
      </c>
    </row>
    <row r="40" spans="1:24" ht="45" customHeight="1" x14ac:dyDescent="0.25">
      <c r="A40" t="str">
        <f t="shared" si="1"/>
        <v xml:space="preserve">   </v>
      </c>
      <c r="B40" s="2" t="s">
        <v>8</v>
      </c>
      <c r="C40" s="2" t="s">
        <v>8</v>
      </c>
      <c r="D40" s="2" t="s">
        <v>8</v>
      </c>
      <c r="E40" s="2" t="s">
        <v>8</v>
      </c>
      <c r="F40" s="2" t="s">
        <v>8</v>
      </c>
      <c r="G40" s="2" t="s">
        <v>8</v>
      </c>
      <c r="H40" s="23" t="s">
        <v>8</v>
      </c>
      <c r="I40" s="2" t="s">
        <v>8</v>
      </c>
      <c r="J40" s="2" t="s">
        <v>8</v>
      </c>
      <c r="K40" s="2" t="s">
        <v>8</v>
      </c>
      <c r="L40" s="2" t="s">
        <v>8</v>
      </c>
      <c r="M40" s="2" t="s">
        <v>8</v>
      </c>
      <c r="N40" s="2" t="s">
        <v>8</v>
      </c>
      <c r="O40" s="23" t="s">
        <v>8</v>
      </c>
      <c r="P40" s="2" t="s">
        <v>8</v>
      </c>
      <c r="Q40" s="2" t="s">
        <v>8</v>
      </c>
      <c r="R40" s="2" t="s">
        <v>8</v>
      </c>
      <c r="S40" s="2" t="s">
        <v>8</v>
      </c>
      <c r="T40" s="2" t="s">
        <v>8</v>
      </c>
      <c r="U40" s="2" t="s">
        <v>8</v>
      </c>
      <c r="V40" s="23" t="s">
        <v>8</v>
      </c>
      <c r="W40" s="7" t="s">
        <v>8</v>
      </c>
      <c r="X40" s="7" t="s">
        <v>8</v>
      </c>
    </row>
    <row r="41" spans="1:24" ht="45" customHeight="1" x14ac:dyDescent="0.25">
      <c r="A41" t="str">
        <f t="shared" si="1"/>
        <v xml:space="preserve">   </v>
      </c>
      <c r="B41" s="2" t="s">
        <v>8</v>
      </c>
      <c r="C41" s="2" t="s">
        <v>8</v>
      </c>
      <c r="D41" s="2" t="s">
        <v>8</v>
      </c>
      <c r="E41" s="2" t="s">
        <v>8</v>
      </c>
      <c r="F41" s="2" t="s">
        <v>8</v>
      </c>
      <c r="G41" s="2" t="s">
        <v>8</v>
      </c>
      <c r="H41" s="23" t="s">
        <v>8</v>
      </c>
      <c r="I41" s="2" t="s">
        <v>8</v>
      </c>
      <c r="J41" s="2" t="s">
        <v>8</v>
      </c>
      <c r="K41" s="2" t="s">
        <v>8</v>
      </c>
      <c r="L41" s="2" t="s">
        <v>8</v>
      </c>
      <c r="M41" s="2" t="s">
        <v>8</v>
      </c>
      <c r="N41" s="2" t="s">
        <v>8</v>
      </c>
      <c r="O41" s="23" t="s">
        <v>8</v>
      </c>
      <c r="P41" s="2" t="s">
        <v>8</v>
      </c>
      <c r="Q41" s="2" t="s">
        <v>8</v>
      </c>
      <c r="R41" s="2" t="s">
        <v>8</v>
      </c>
      <c r="S41" s="2" t="s">
        <v>8</v>
      </c>
      <c r="T41" s="2" t="s">
        <v>8</v>
      </c>
      <c r="U41" s="2" t="s">
        <v>8</v>
      </c>
      <c r="V41" s="23" t="s">
        <v>8</v>
      </c>
      <c r="W41" s="7" t="s">
        <v>8</v>
      </c>
      <c r="X41" s="7" t="s">
        <v>8</v>
      </c>
    </row>
    <row r="42" spans="1:24" ht="45" customHeight="1" x14ac:dyDescent="0.25">
      <c r="A42" t="str">
        <f t="shared" si="1"/>
        <v xml:space="preserve">   </v>
      </c>
      <c r="B42" s="2" t="s">
        <v>8</v>
      </c>
      <c r="C42" s="2" t="s">
        <v>8</v>
      </c>
      <c r="D42" s="2" t="s">
        <v>8</v>
      </c>
      <c r="E42" s="2" t="s">
        <v>8</v>
      </c>
      <c r="F42" s="2" t="s">
        <v>8</v>
      </c>
      <c r="G42" s="2" t="s">
        <v>8</v>
      </c>
      <c r="H42" s="23" t="s">
        <v>8</v>
      </c>
      <c r="I42" s="2" t="s">
        <v>8</v>
      </c>
      <c r="J42" s="2" t="s">
        <v>8</v>
      </c>
      <c r="K42" s="2" t="s">
        <v>8</v>
      </c>
      <c r="L42" s="2" t="s">
        <v>8</v>
      </c>
      <c r="M42" s="2" t="s">
        <v>8</v>
      </c>
      <c r="N42" s="2" t="s">
        <v>8</v>
      </c>
      <c r="O42" s="23" t="s">
        <v>8</v>
      </c>
      <c r="P42" s="2" t="s">
        <v>8</v>
      </c>
      <c r="Q42" s="2" t="s">
        <v>8</v>
      </c>
      <c r="R42" s="2" t="s">
        <v>8</v>
      </c>
      <c r="S42" s="2" t="s">
        <v>8</v>
      </c>
      <c r="T42" s="2" t="s">
        <v>8</v>
      </c>
      <c r="U42" s="2" t="s">
        <v>8</v>
      </c>
      <c r="V42" s="23" t="s">
        <v>8</v>
      </c>
      <c r="W42" s="7" t="s">
        <v>8</v>
      </c>
      <c r="X42" s="7" t="s">
        <v>8</v>
      </c>
    </row>
    <row r="43" spans="1:24" ht="45" customHeight="1" x14ac:dyDescent="0.25">
      <c r="A43" t="str">
        <f t="shared" si="1"/>
        <v xml:space="preserve">   </v>
      </c>
      <c r="B43" s="2" t="s">
        <v>8</v>
      </c>
      <c r="C43" s="2" t="s">
        <v>8</v>
      </c>
      <c r="D43" s="2" t="s">
        <v>8</v>
      </c>
      <c r="E43" s="2" t="s">
        <v>8</v>
      </c>
      <c r="F43" s="2" t="s">
        <v>8</v>
      </c>
      <c r="G43" s="2" t="s">
        <v>8</v>
      </c>
      <c r="H43" s="23" t="s">
        <v>8</v>
      </c>
      <c r="I43" s="2" t="s">
        <v>8</v>
      </c>
      <c r="J43" s="2" t="s">
        <v>8</v>
      </c>
      <c r="K43" s="2" t="s">
        <v>8</v>
      </c>
      <c r="L43" s="2" t="s">
        <v>8</v>
      </c>
      <c r="M43" s="2" t="s">
        <v>8</v>
      </c>
      <c r="N43" s="2" t="s">
        <v>8</v>
      </c>
      <c r="O43" s="23" t="s">
        <v>8</v>
      </c>
      <c r="P43" s="2" t="s">
        <v>8</v>
      </c>
      <c r="Q43" s="2" t="s">
        <v>8</v>
      </c>
      <c r="R43" s="2" t="s">
        <v>8</v>
      </c>
      <c r="S43" s="2" t="s">
        <v>8</v>
      </c>
      <c r="T43" s="2" t="s">
        <v>8</v>
      </c>
      <c r="U43" s="2" t="s">
        <v>8</v>
      </c>
      <c r="V43" s="23" t="s">
        <v>8</v>
      </c>
      <c r="W43" s="7" t="s">
        <v>8</v>
      </c>
      <c r="X43" s="7" t="s">
        <v>8</v>
      </c>
    </row>
    <row r="44" spans="1:24" ht="45" customHeight="1" x14ac:dyDescent="0.25">
      <c r="A44" t="str">
        <f t="shared" si="1"/>
        <v xml:space="preserve">   </v>
      </c>
      <c r="B44" s="2" t="s">
        <v>8</v>
      </c>
      <c r="C44" s="2" t="s">
        <v>8</v>
      </c>
      <c r="D44" s="2" t="s">
        <v>8</v>
      </c>
      <c r="E44" s="2" t="s">
        <v>8</v>
      </c>
      <c r="F44" s="2" t="s">
        <v>8</v>
      </c>
      <c r="G44" s="2" t="s">
        <v>8</v>
      </c>
      <c r="H44" s="23" t="s">
        <v>8</v>
      </c>
      <c r="I44" s="2" t="s">
        <v>8</v>
      </c>
      <c r="J44" s="2" t="s">
        <v>8</v>
      </c>
      <c r="K44" s="2" t="s">
        <v>8</v>
      </c>
      <c r="L44" s="2" t="s">
        <v>8</v>
      </c>
      <c r="M44" s="2" t="s">
        <v>8</v>
      </c>
      <c r="N44" s="2" t="s">
        <v>8</v>
      </c>
      <c r="O44" s="23" t="s">
        <v>8</v>
      </c>
      <c r="P44" s="2" t="s">
        <v>8</v>
      </c>
      <c r="Q44" s="2" t="s">
        <v>8</v>
      </c>
      <c r="R44" s="2" t="s">
        <v>8</v>
      </c>
      <c r="S44" s="2" t="s">
        <v>8</v>
      </c>
      <c r="T44" s="2" t="s">
        <v>8</v>
      </c>
      <c r="U44" s="2" t="s">
        <v>8</v>
      </c>
      <c r="V44" s="23" t="s">
        <v>8</v>
      </c>
      <c r="W44" s="7" t="s">
        <v>8</v>
      </c>
      <c r="X44" s="7" t="s">
        <v>8</v>
      </c>
    </row>
    <row r="45" spans="1:24" ht="45" customHeight="1" x14ac:dyDescent="0.25">
      <c r="A45" t="str">
        <f t="shared" si="1"/>
        <v xml:space="preserve">   </v>
      </c>
      <c r="B45" s="2" t="s">
        <v>8</v>
      </c>
      <c r="C45" s="2" t="s">
        <v>8</v>
      </c>
      <c r="D45" s="2" t="s">
        <v>8</v>
      </c>
      <c r="E45" s="2" t="s">
        <v>8</v>
      </c>
      <c r="F45" s="2" t="s">
        <v>8</v>
      </c>
      <c r="G45" s="2" t="s">
        <v>8</v>
      </c>
      <c r="H45" s="23" t="s">
        <v>8</v>
      </c>
      <c r="I45" s="2" t="s">
        <v>8</v>
      </c>
      <c r="J45" s="2" t="s">
        <v>8</v>
      </c>
      <c r="K45" s="2" t="s">
        <v>8</v>
      </c>
      <c r="L45" s="2" t="s">
        <v>8</v>
      </c>
      <c r="M45" s="2" t="s">
        <v>8</v>
      </c>
      <c r="N45" s="2" t="s">
        <v>8</v>
      </c>
      <c r="O45" s="23" t="s">
        <v>8</v>
      </c>
      <c r="P45" s="2" t="s">
        <v>8</v>
      </c>
      <c r="Q45" s="2" t="s">
        <v>8</v>
      </c>
      <c r="R45" s="2" t="s">
        <v>8</v>
      </c>
      <c r="S45" s="2" t="s">
        <v>8</v>
      </c>
      <c r="T45" s="2" t="s">
        <v>8</v>
      </c>
      <c r="U45" s="2" t="s">
        <v>8</v>
      </c>
      <c r="V45" s="23" t="s">
        <v>8</v>
      </c>
      <c r="W45" s="7" t="s">
        <v>8</v>
      </c>
      <c r="X45" s="7" t="s">
        <v>8</v>
      </c>
    </row>
    <row r="46" spans="1:24" ht="45" customHeight="1" x14ac:dyDescent="0.25">
      <c r="A46" t="str">
        <f t="shared" si="1"/>
        <v xml:space="preserve">   </v>
      </c>
      <c r="B46" s="2" t="s">
        <v>8</v>
      </c>
      <c r="C46" s="2" t="s">
        <v>8</v>
      </c>
      <c r="D46" s="2" t="s">
        <v>8</v>
      </c>
      <c r="E46" s="2" t="s">
        <v>8</v>
      </c>
      <c r="F46" s="2" t="s">
        <v>8</v>
      </c>
      <c r="G46" s="2" t="s">
        <v>8</v>
      </c>
      <c r="H46" s="23" t="s">
        <v>8</v>
      </c>
      <c r="I46" s="2" t="s">
        <v>8</v>
      </c>
      <c r="J46" s="2" t="s">
        <v>8</v>
      </c>
      <c r="K46" s="2" t="s">
        <v>8</v>
      </c>
      <c r="L46" s="2" t="s">
        <v>8</v>
      </c>
      <c r="M46" s="2" t="s">
        <v>8</v>
      </c>
      <c r="N46" s="2" t="s">
        <v>8</v>
      </c>
      <c r="O46" s="23" t="s">
        <v>8</v>
      </c>
      <c r="P46" s="2" t="s">
        <v>8</v>
      </c>
      <c r="Q46" s="2" t="s">
        <v>8</v>
      </c>
      <c r="R46" s="2" t="s">
        <v>8</v>
      </c>
      <c r="S46" s="2" t="s">
        <v>8</v>
      </c>
      <c r="T46" s="2" t="s">
        <v>8</v>
      </c>
      <c r="U46" s="2" t="s">
        <v>8</v>
      </c>
      <c r="V46" s="23" t="s">
        <v>8</v>
      </c>
      <c r="W46" s="7" t="s">
        <v>8</v>
      </c>
      <c r="X46" s="7" t="s">
        <v>8</v>
      </c>
    </row>
    <row r="47" spans="1:24" ht="45" customHeight="1" x14ac:dyDescent="0.25">
      <c r="A47" t="str">
        <f t="shared" si="1"/>
        <v xml:space="preserve">   </v>
      </c>
      <c r="B47" s="2" t="s">
        <v>8</v>
      </c>
      <c r="C47" s="2" t="s">
        <v>8</v>
      </c>
      <c r="D47" s="2" t="s">
        <v>8</v>
      </c>
      <c r="E47" s="2" t="s">
        <v>8</v>
      </c>
      <c r="F47" s="2" t="s">
        <v>8</v>
      </c>
      <c r="G47" s="2" t="s">
        <v>8</v>
      </c>
      <c r="H47" s="23" t="s">
        <v>8</v>
      </c>
      <c r="I47" s="2" t="s">
        <v>8</v>
      </c>
      <c r="J47" s="2" t="s">
        <v>8</v>
      </c>
      <c r="K47" s="2" t="s">
        <v>8</v>
      </c>
      <c r="L47" s="2" t="s">
        <v>8</v>
      </c>
      <c r="M47" s="2" t="s">
        <v>8</v>
      </c>
      <c r="N47" s="2" t="s">
        <v>8</v>
      </c>
      <c r="O47" s="23" t="s">
        <v>8</v>
      </c>
      <c r="P47" s="2" t="s">
        <v>8</v>
      </c>
      <c r="Q47" s="2" t="s">
        <v>8</v>
      </c>
      <c r="R47" s="2" t="s">
        <v>8</v>
      </c>
      <c r="S47" s="2" t="s">
        <v>8</v>
      </c>
      <c r="T47" s="2" t="s">
        <v>8</v>
      </c>
      <c r="U47" s="2" t="s">
        <v>8</v>
      </c>
      <c r="V47" s="23" t="s">
        <v>8</v>
      </c>
      <c r="W47" s="7" t="s">
        <v>8</v>
      </c>
      <c r="X47" s="7" t="s">
        <v>8</v>
      </c>
    </row>
    <row r="48" spans="1:24" ht="45" customHeight="1" x14ac:dyDescent="0.25">
      <c r="A48" t="str">
        <f t="shared" si="1"/>
        <v xml:space="preserve">   </v>
      </c>
      <c r="B48" s="2" t="s">
        <v>8</v>
      </c>
      <c r="C48" s="2" t="s">
        <v>8</v>
      </c>
      <c r="D48" s="2" t="s">
        <v>8</v>
      </c>
      <c r="E48" s="2" t="s">
        <v>8</v>
      </c>
      <c r="F48" s="2" t="s">
        <v>8</v>
      </c>
      <c r="G48" s="2" t="s">
        <v>8</v>
      </c>
      <c r="H48" s="23" t="s">
        <v>8</v>
      </c>
      <c r="I48" s="2" t="s">
        <v>8</v>
      </c>
      <c r="J48" s="2" t="s">
        <v>8</v>
      </c>
      <c r="K48" s="2" t="s">
        <v>8</v>
      </c>
      <c r="L48" s="2" t="s">
        <v>8</v>
      </c>
      <c r="M48" s="2" t="s">
        <v>8</v>
      </c>
      <c r="N48" s="2" t="s">
        <v>8</v>
      </c>
      <c r="O48" s="23" t="s">
        <v>8</v>
      </c>
      <c r="P48" s="2" t="s">
        <v>8</v>
      </c>
      <c r="Q48" s="2" t="s">
        <v>8</v>
      </c>
      <c r="R48" s="2" t="s">
        <v>8</v>
      </c>
      <c r="S48" s="2" t="s">
        <v>8</v>
      </c>
      <c r="T48" s="2" t="s">
        <v>8</v>
      </c>
      <c r="U48" s="2" t="s">
        <v>8</v>
      </c>
      <c r="V48" s="23" t="s">
        <v>8</v>
      </c>
      <c r="W48" s="7" t="s">
        <v>8</v>
      </c>
      <c r="X48" s="7" t="s">
        <v>8</v>
      </c>
    </row>
    <row r="49" spans="1:24" ht="45" customHeight="1" x14ac:dyDescent="0.25">
      <c r="A49" t="str">
        <f t="shared" si="1"/>
        <v xml:space="preserve">   </v>
      </c>
      <c r="B49" s="2" t="s">
        <v>8</v>
      </c>
      <c r="C49" s="2" t="s">
        <v>8</v>
      </c>
      <c r="D49" s="2" t="s">
        <v>8</v>
      </c>
      <c r="E49" s="2" t="s">
        <v>8</v>
      </c>
      <c r="F49" s="2" t="s">
        <v>8</v>
      </c>
      <c r="G49" s="2" t="s">
        <v>8</v>
      </c>
      <c r="H49" s="23" t="s">
        <v>8</v>
      </c>
      <c r="I49" s="2" t="s">
        <v>8</v>
      </c>
      <c r="J49" s="2" t="s">
        <v>8</v>
      </c>
      <c r="K49" s="2" t="s">
        <v>8</v>
      </c>
      <c r="L49" s="2" t="s">
        <v>8</v>
      </c>
      <c r="M49" s="2" t="s">
        <v>8</v>
      </c>
      <c r="N49" s="2" t="s">
        <v>8</v>
      </c>
      <c r="O49" s="23" t="s">
        <v>8</v>
      </c>
      <c r="P49" s="2" t="s">
        <v>8</v>
      </c>
      <c r="Q49" s="2" t="s">
        <v>8</v>
      </c>
      <c r="R49" s="2" t="s">
        <v>8</v>
      </c>
      <c r="S49" s="2" t="s">
        <v>8</v>
      </c>
      <c r="T49" s="2" t="s">
        <v>8</v>
      </c>
      <c r="U49" s="2" t="s">
        <v>8</v>
      </c>
      <c r="V49" s="23" t="s">
        <v>8</v>
      </c>
      <c r="W49" s="7" t="s">
        <v>8</v>
      </c>
      <c r="X49" s="7" t="s">
        <v>8</v>
      </c>
    </row>
    <row r="50" spans="1:24" ht="45" customHeight="1" x14ac:dyDescent="0.25">
      <c r="A50" t="str">
        <f t="shared" si="1"/>
        <v xml:space="preserve">   </v>
      </c>
      <c r="B50" s="2" t="s">
        <v>8</v>
      </c>
      <c r="C50" s="2" t="s">
        <v>8</v>
      </c>
      <c r="D50" s="2" t="s">
        <v>8</v>
      </c>
      <c r="E50" s="2" t="s">
        <v>8</v>
      </c>
      <c r="F50" s="2" t="s">
        <v>8</v>
      </c>
      <c r="G50" s="2" t="s">
        <v>8</v>
      </c>
      <c r="H50" s="23" t="s">
        <v>8</v>
      </c>
      <c r="I50" s="2" t="s">
        <v>8</v>
      </c>
      <c r="J50" s="2" t="s">
        <v>8</v>
      </c>
      <c r="K50" s="2" t="s">
        <v>8</v>
      </c>
      <c r="L50" s="2" t="s">
        <v>8</v>
      </c>
      <c r="M50" s="2" t="s">
        <v>8</v>
      </c>
      <c r="N50" s="2" t="s">
        <v>8</v>
      </c>
      <c r="O50" s="23" t="s">
        <v>8</v>
      </c>
      <c r="P50" s="2" t="s">
        <v>8</v>
      </c>
      <c r="Q50" s="2" t="s">
        <v>8</v>
      </c>
      <c r="R50" s="2" t="s">
        <v>8</v>
      </c>
      <c r="S50" s="2" t="s">
        <v>8</v>
      </c>
      <c r="T50" s="2" t="s">
        <v>8</v>
      </c>
      <c r="U50" s="2" t="s">
        <v>8</v>
      </c>
      <c r="V50" s="23" t="s">
        <v>8</v>
      </c>
      <c r="W50" s="7" t="s">
        <v>8</v>
      </c>
      <c r="X50" s="7" t="s">
        <v>8</v>
      </c>
    </row>
    <row r="51" spans="1:24" ht="45" customHeight="1" x14ac:dyDescent="0.25">
      <c r="A51" t="str">
        <f t="shared" si="1"/>
        <v xml:space="preserve">   </v>
      </c>
      <c r="B51" s="2" t="s">
        <v>8</v>
      </c>
      <c r="C51" s="2" t="s">
        <v>8</v>
      </c>
      <c r="D51" s="2" t="s">
        <v>8</v>
      </c>
      <c r="E51" s="2" t="s">
        <v>8</v>
      </c>
      <c r="F51" s="2" t="s">
        <v>8</v>
      </c>
      <c r="G51" s="2" t="s">
        <v>8</v>
      </c>
      <c r="H51" s="23" t="s">
        <v>8</v>
      </c>
      <c r="I51" s="2" t="s">
        <v>8</v>
      </c>
      <c r="J51" s="2" t="s">
        <v>8</v>
      </c>
      <c r="K51" s="2" t="s">
        <v>8</v>
      </c>
      <c r="L51" s="2" t="s">
        <v>8</v>
      </c>
      <c r="M51" s="2" t="s">
        <v>8</v>
      </c>
      <c r="N51" s="2" t="s">
        <v>8</v>
      </c>
      <c r="O51" s="23" t="s">
        <v>8</v>
      </c>
      <c r="P51" s="2" t="s">
        <v>8</v>
      </c>
      <c r="Q51" s="2" t="s">
        <v>8</v>
      </c>
      <c r="R51" s="2" t="s">
        <v>8</v>
      </c>
      <c r="S51" s="2" t="s">
        <v>8</v>
      </c>
      <c r="T51" s="2" t="s">
        <v>8</v>
      </c>
      <c r="U51" s="2" t="s">
        <v>8</v>
      </c>
      <c r="V51" s="23" t="s">
        <v>8</v>
      </c>
      <c r="W51" s="7" t="s">
        <v>8</v>
      </c>
      <c r="X51" s="7" t="s">
        <v>8</v>
      </c>
    </row>
    <row r="52" spans="1:24" ht="45" customHeight="1" x14ac:dyDescent="0.25">
      <c r="A52" t="str">
        <f t="shared" si="1"/>
        <v xml:space="preserve">   </v>
      </c>
      <c r="B52" s="2" t="s">
        <v>8</v>
      </c>
      <c r="C52" s="2" t="s">
        <v>8</v>
      </c>
      <c r="D52" s="2" t="s">
        <v>8</v>
      </c>
      <c r="E52" s="2" t="s">
        <v>8</v>
      </c>
      <c r="F52" s="2" t="s">
        <v>8</v>
      </c>
      <c r="G52" s="2" t="s">
        <v>8</v>
      </c>
      <c r="H52" s="23" t="s">
        <v>8</v>
      </c>
      <c r="I52" s="2" t="s">
        <v>8</v>
      </c>
      <c r="J52" s="2" t="s">
        <v>8</v>
      </c>
      <c r="K52" s="2" t="s">
        <v>8</v>
      </c>
      <c r="L52" s="2" t="s">
        <v>8</v>
      </c>
      <c r="M52" s="2" t="s">
        <v>8</v>
      </c>
      <c r="N52" s="2" t="s">
        <v>8</v>
      </c>
      <c r="O52" s="23" t="s">
        <v>8</v>
      </c>
      <c r="P52" s="2" t="s">
        <v>8</v>
      </c>
      <c r="Q52" s="2" t="s">
        <v>8</v>
      </c>
      <c r="R52" s="2" t="s">
        <v>8</v>
      </c>
      <c r="S52" s="2" t="s">
        <v>8</v>
      </c>
      <c r="T52" s="2" t="s">
        <v>8</v>
      </c>
      <c r="U52" s="2" t="s">
        <v>8</v>
      </c>
      <c r="V52" s="23" t="s">
        <v>8</v>
      </c>
      <c r="W52" s="7" t="s">
        <v>8</v>
      </c>
      <c r="X52" s="7" t="s">
        <v>8</v>
      </c>
    </row>
    <row r="53" spans="1:24" ht="45" customHeight="1" x14ac:dyDescent="0.25">
      <c r="A53" t="str">
        <f t="shared" si="1"/>
        <v xml:space="preserve">   </v>
      </c>
      <c r="B53" s="2" t="s">
        <v>8</v>
      </c>
      <c r="C53" s="2" t="s">
        <v>8</v>
      </c>
      <c r="D53" s="2" t="s">
        <v>8</v>
      </c>
      <c r="E53" s="2" t="s">
        <v>8</v>
      </c>
      <c r="F53" s="2" t="s">
        <v>8</v>
      </c>
      <c r="G53" s="2" t="s">
        <v>8</v>
      </c>
      <c r="H53" s="23" t="s">
        <v>8</v>
      </c>
      <c r="I53" s="2" t="s">
        <v>8</v>
      </c>
      <c r="J53" s="2" t="s">
        <v>8</v>
      </c>
      <c r="K53" s="2" t="s">
        <v>8</v>
      </c>
      <c r="L53" s="2" t="s">
        <v>8</v>
      </c>
      <c r="M53" s="2" t="s">
        <v>8</v>
      </c>
      <c r="N53" s="2" t="s">
        <v>8</v>
      </c>
      <c r="O53" s="23" t="s">
        <v>8</v>
      </c>
      <c r="P53" s="2" t="s">
        <v>8</v>
      </c>
      <c r="Q53" s="2" t="s">
        <v>8</v>
      </c>
      <c r="R53" s="2" t="s">
        <v>8</v>
      </c>
      <c r="S53" s="2" t="s">
        <v>8</v>
      </c>
      <c r="T53" s="2" t="s">
        <v>8</v>
      </c>
      <c r="U53" s="2" t="s">
        <v>8</v>
      </c>
      <c r="V53" s="23" t="s">
        <v>8</v>
      </c>
      <c r="W53" s="7" t="s">
        <v>8</v>
      </c>
      <c r="X53" s="7" t="s">
        <v>8</v>
      </c>
    </row>
    <row r="54" spans="1:24" ht="45" customHeight="1" x14ac:dyDescent="0.25">
      <c r="A54" t="str">
        <f t="shared" si="1"/>
        <v xml:space="preserve">   </v>
      </c>
      <c r="B54" s="2" t="s">
        <v>8</v>
      </c>
      <c r="C54" s="2" t="s">
        <v>8</v>
      </c>
      <c r="D54" s="2" t="s">
        <v>8</v>
      </c>
      <c r="E54" s="2" t="s">
        <v>8</v>
      </c>
      <c r="F54" s="2" t="s">
        <v>8</v>
      </c>
      <c r="G54" s="2" t="s">
        <v>8</v>
      </c>
      <c r="H54" s="23" t="s">
        <v>8</v>
      </c>
      <c r="I54" s="2" t="s">
        <v>8</v>
      </c>
      <c r="J54" s="2" t="s">
        <v>8</v>
      </c>
      <c r="K54" s="2" t="s">
        <v>8</v>
      </c>
      <c r="L54" s="2" t="s">
        <v>8</v>
      </c>
      <c r="M54" s="2" t="s">
        <v>8</v>
      </c>
      <c r="N54" s="2" t="s">
        <v>8</v>
      </c>
      <c r="O54" s="23" t="s">
        <v>8</v>
      </c>
      <c r="P54" s="2" t="s">
        <v>8</v>
      </c>
      <c r="Q54" s="2" t="s">
        <v>8</v>
      </c>
      <c r="R54" s="2" t="s">
        <v>8</v>
      </c>
      <c r="S54" s="2" t="s">
        <v>8</v>
      </c>
      <c r="T54" s="2" t="s">
        <v>8</v>
      </c>
      <c r="U54" s="2" t="s">
        <v>8</v>
      </c>
      <c r="V54" s="23" t="s">
        <v>8</v>
      </c>
      <c r="W54" s="7" t="s">
        <v>8</v>
      </c>
      <c r="X54" s="7" t="s">
        <v>8</v>
      </c>
    </row>
    <row r="55" spans="1:24" ht="45" customHeight="1" x14ac:dyDescent="0.25">
      <c r="A55" t="str">
        <f t="shared" si="1"/>
        <v xml:space="preserve">   </v>
      </c>
      <c r="B55" s="2" t="s">
        <v>8</v>
      </c>
      <c r="C55" s="2" t="s">
        <v>8</v>
      </c>
      <c r="D55" s="2" t="s">
        <v>8</v>
      </c>
      <c r="E55" s="2" t="s">
        <v>8</v>
      </c>
      <c r="F55" s="2" t="s">
        <v>8</v>
      </c>
      <c r="G55" s="2" t="s">
        <v>8</v>
      </c>
      <c r="H55" s="23" t="s">
        <v>8</v>
      </c>
      <c r="I55" s="2" t="s">
        <v>8</v>
      </c>
      <c r="J55" s="2" t="s">
        <v>8</v>
      </c>
      <c r="K55" s="2" t="s">
        <v>8</v>
      </c>
      <c r="L55" s="2" t="s">
        <v>8</v>
      </c>
      <c r="M55" s="2" t="s">
        <v>8</v>
      </c>
      <c r="N55" s="2" t="s">
        <v>8</v>
      </c>
      <c r="O55" s="23" t="s">
        <v>8</v>
      </c>
      <c r="P55" s="2" t="s">
        <v>8</v>
      </c>
      <c r="Q55" s="2" t="s">
        <v>8</v>
      </c>
      <c r="R55" s="2" t="s">
        <v>8</v>
      </c>
      <c r="S55" s="2" t="s">
        <v>8</v>
      </c>
      <c r="T55" s="2" t="s">
        <v>8</v>
      </c>
      <c r="U55" s="2" t="s">
        <v>8</v>
      </c>
      <c r="V55" s="23" t="s">
        <v>8</v>
      </c>
      <c r="W55" s="7" t="s">
        <v>8</v>
      </c>
      <c r="X55" s="7" t="s">
        <v>8</v>
      </c>
    </row>
    <row r="56" spans="1:24" ht="45" customHeight="1" x14ac:dyDescent="0.25">
      <c r="A56" t="str">
        <f t="shared" si="1"/>
        <v xml:space="preserve">   </v>
      </c>
      <c r="B56" s="2" t="s">
        <v>8</v>
      </c>
      <c r="C56" s="2" t="s">
        <v>8</v>
      </c>
      <c r="D56" s="2" t="s">
        <v>8</v>
      </c>
      <c r="E56" s="2" t="s">
        <v>8</v>
      </c>
      <c r="F56" s="2" t="s">
        <v>8</v>
      </c>
      <c r="G56" s="2" t="s">
        <v>8</v>
      </c>
      <c r="H56" s="23" t="s">
        <v>8</v>
      </c>
      <c r="I56" s="2" t="s">
        <v>8</v>
      </c>
      <c r="J56" s="2" t="s">
        <v>8</v>
      </c>
      <c r="K56" s="2" t="s">
        <v>8</v>
      </c>
      <c r="L56" s="2" t="s">
        <v>8</v>
      </c>
      <c r="M56" s="2" t="s">
        <v>8</v>
      </c>
      <c r="N56" s="2" t="s">
        <v>8</v>
      </c>
      <c r="O56" s="23" t="s">
        <v>8</v>
      </c>
      <c r="P56" s="2" t="s">
        <v>8</v>
      </c>
      <c r="Q56" s="2" t="s">
        <v>8</v>
      </c>
      <c r="R56" s="2" t="s">
        <v>8</v>
      </c>
      <c r="S56" s="2" t="s">
        <v>8</v>
      </c>
      <c r="T56" s="2" t="s">
        <v>8</v>
      </c>
      <c r="U56" s="2" t="s">
        <v>8</v>
      </c>
      <c r="V56" s="23" t="s">
        <v>8</v>
      </c>
      <c r="W56" s="7" t="s">
        <v>8</v>
      </c>
      <c r="X56" s="7" t="s">
        <v>8</v>
      </c>
    </row>
    <row r="57" spans="1:24" ht="45" customHeight="1" x14ac:dyDescent="0.25">
      <c r="A57" t="str">
        <f t="shared" si="1"/>
        <v xml:space="preserve">   </v>
      </c>
      <c r="B57" s="2" t="s">
        <v>8</v>
      </c>
      <c r="C57" s="2" t="s">
        <v>8</v>
      </c>
      <c r="D57" s="2" t="s">
        <v>8</v>
      </c>
      <c r="E57" s="2" t="s">
        <v>8</v>
      </c>
      <c r="F57" s="2" t="s">
        <v>8</v>
      </c>
      <c r="G57" s="2" t="s">
        <v>8</v>
      </c>
      <c r="H57" s="23" t="s">
        <v>8</v>
      </c>
      <c r="I57" s="2" t="s">
        <v>8</v>
      </c>
      <c r="J57" s="2" t="s">
        <v>8</v>
      </c>
      <c r="K57" s="2" t="s">
        <v>8</v>
      </c>
      <c r="L57" s="2" t="s">
        <v>8</v>
      </c>
      <c r="M57" s="2" t="s">
        <v>8</v>
      </c>
      <c r="N57" s="2" t="s">
        <v>8</v>
      </c>
      <c r="O57" s="23" t="s">
        <v>8</v>
      </c>
      <c r="P57" s="2" t="s">
        <v>8</v>
      </c>
      <c r="Q57" s="2" t="s">
        <v>8</v>
      </c>
      <c r="R57" s="2" t="s">
        <v>8</v>
      </c>
      <c r="S57" s="2" t="s">
        <v>8</v>
      </c>
      <c r="T57" s="2" t="s">
        <v>8</v>
      </c>
      <c r="U57" s="2" t="s">
        <v>8</v>
      </c>
      <c r="V57" s="23" t="s">
        <v>8</v>
      </c>
      <c r="W57" s="7" t="s">
        <v>8</v>
      </c>
      <c r="X57" s="7" t="s">
        <v>8</v>
      </c>
    </row>
    <row r="58" spans="1:24" ht="45" customHeight="1" x14ac:dyDescent="0.25">
      <c r="A58" t="str">
        <f t="shared" si="1"/>
        <v xml:space="preserve">   </v>
      </c>
      <c r="B58" s="2" t="s">
        <v>8</v>
      </c>
      <c r="C58" s="2" t="s">
        <v>8</v>
      </c>
      <c r="D58" s="2" t="s">
        <v>8</v>
      </c>
      <c r="E58" s="2" t="s">
        <v>8</v>
      </c>
      <c r="F58" s="2" t="s">
        <v>8</v>
      </c>
      <c r="G58" s="2" t="s">
        <v>8</v>
      </c>
      <c r="H58" s="23" t="s">
        <v>8</v>
      </c>
      <c r="I58" s="2" t="s">
        <v>8</v>
      </c>
      <c r="J58" s="2" t="s">
        <v>8</v>
      </c>
      <c r="K58" s="2" t="s">
        <v>8</v>
      </c>
      <c r="L58" s="2" t="s">
        <v>8</v>
      </c>
      <c r="M58" s="2" t="s">
        <v>8</v>
      </c>
      <c r="N58" s="2" t="s">
        <v>8</v>
      </c>
      <c r="O58" s="23" t="s">
        <v>8</v>
      </c>
      <c r="P58" s="2" t="s">
        <v>8</v>
      </c>
      <c r="Q58" s="2" t="s">
        <v>8</v>
      </c>
      <c r="R58" s="2" t="s">
        <v>8</v>
      </c>
      <c r="S58" s="2" t="s">
        <v>8</v>
      </c>
      <c r="T58" s="2" t="s">
        <v>8</v>
      </c>
      <c r="U58" s="2" t="s">
        <v>8</v>
      </c>
      <c r="V58" s="23" t="s">
        <v>8</v>
      </c>
      <c r="W58" s="7" t="s">
        <v>8</v>
      </c>
      <c r="X58" s="7" t="s">
        <v>8</v>
      </c>
    </row>
    <row r="59" spans="1:24" ht="45" customHeight="1" x14ac:dyDescent="0.25">
      <c r="A59" t="str">
        <f t="shared" si="1"/>
        <v xml:space="preserve">   </v>
      </c>
      <c r="B59" s="2" t="s">
        <v>8</v>
      </c>
      <c r="C59" s="2" t="s">
        <v>8</v>
      </c>
      <c r="D59" s="2" t="s">
        <v>8</v>
      </c>
      <c r="E59" s="2" t="s">
        <v>8</v>
      </c>
      <c r="F59" s="2" t="s">
        <v>8</v>
      </c>
      <c r="G59" s="2" t="s">
        <v>8</v>
      </c>
      <c r="H59" s="23" t="s">
        <v>8</v>
      </c>
      <c r="I59" s="2" t="s">
        <v>8</v>
      </c>
      <c r="J59" s="2" t="s">
        <v>8</v>
      </c>
      <c r="K59" s="2" t="s">
        <v>8</v>
      </c>
      <c r="L59" s="2" t="s">
        <v>8</v>
      </c>
      <c r="M59" s="2" t="s">
        <v>8</v>
      </c>
      <c r="N59" s="2" t="s">
        <v>8</v>
      </c>
      <c r="O59" s="23" t="s">
        <v>8</v>
      </c>
      <c r="P59" s="2" t="s">
        <v>8</v>
      </c>
      <c r="Q59" s="2" t="s">
        <v>8</v>
      </c>
      <c r="R59" s="2" t="s">
        <v>8</v>
      </c>
      <c r="S59" s="2" t="s">
        <v>8</v>
      </c>
      <c r="T59" s="2" t="s">
        <v>8</v>
      </c>
      <c r="U59" s="2" t="s">
        <v>8</v>
      </c>
      <c r="V59" s="23" t="s">
        <v>8</v>
      </c>
      <c r="W59" s="7" t="s">
        <v>8</v>
      </c>
      <c r="X59" s="7" t="s">
        <v>8</v>
      </c>
    </row>
    <row r="60" spans="1:24" ht="45" customHeight="1" x14ac:dyDescent="0.25">
      <c r="A60" t="str">
        <f t="shared" si="1"/>
        <v xml:space="preserve">   </v>
      </c>
      <c r="B60" s="2" t="s">
        <v>8</v>
      </c>
      <c r="C60" s="2" t="s">
        <v>8</v>
      </c>
      <c r="D60" s="2" t="s">
        <v>8</v>
      </c>
      <c r="E60" s="2" t="s">
        <v>8</v>
      </c>
      <c r="F60" s="2" t="s">
        <v>8</v>
      </c>
      <c r="G60" s="2" t="s">
        <v>8</v>
      </c>
      <c r="H60" s="23" t="s">
        <v>8</v>
      </c>
      <c r="I60" s="2" t="s">
        <v>8</v>
      </c>
      <c r="J60" s="2" t="s">
        <v>8</v>
      </c>
      <c r="K60" s="2" t="s">
        <v>8</v>
      </c>
      <c r="L60" s="2" t="s">
        <v>8</v>
      </c>
      <c r="M60" s="2" t="s">
        <v>8</v>
      </c>
      <c r="N60" s="2" t="s">
        <v>8</v>
      </c>
      <c r="O60" s="23" t="s">
        <v>8</v>
      </c>
      <c r="P60" s="2" t="s">
        <v>8</v>
      </c>
      <c r="Q60" s="2" t="s">
        <v>8</v>
      </c>
      <c r="R60" s="2" t="s">
        <v>8</v>
      </c>
      <c r="S60" s="2" t="s">
        <v>8</v>
      </c>
      <c r="T60" s="2" t="s">
        <v>8</v>
      </c>
      <c r="U60" s="2" t="s">
        <v>8</v>
      </c>
      <c r="V60" s="23" t="s">
        <v>8</v>
      </c>
      <c r="W60" s="7" t="s">
        <v>8</v>
      </c>
      <c r="X60" s="7" t="s">
        <v>8</v>
      </c>
    </row>
    <row r="61" spans="1:24" ht="45" customHeight="1" x14ac:dyDescent="0.25">
      <c r="A61" t="str">
        <f t="shared" si="1"/>
        <v xml:space="preserve">   </v>
      </c>
      <c r="B61" s="2" t="s">
        <v>8</v>
      </c>
      <c r="C61" s="2" t="s">
        <v>8</v>
      </c>
      <c r="D61" s="2" t="s">
        <v>8</v>
      </c>
      <c r="E61" s="2" t="s">
        <v>8</v>
      </c>
      <c r="F61" s="2" t="s">
        <v>8</v>
      </c>
      <c r="G61" s="2" t="s">
        <v>8</v>
      </c>
      <c r="H61" s="23" t="s">
        <v>8</v>
      </c>
      <c r="I61" s="2" t="s">
        <v>8</v>
      </c>
      <c r="J61" s="2" t="s">
        <v>8</v>
      </c>
      <c r="K61" s="2" t="s">
        <v>8</v>
      </c>
      <c r="L61" s="2" t="s">
        <v>8</v>
      </c>
      <c r="M61" s="2" t="s">
        <v>8</v>
      </c>
      <c r="N61" s="2" t="s">
        <v>8</v>
      </c>
      <c r="O61" s="23" t="s">
        <v>8</v>
      </c>
      <c r="P61" s="2" t="s">
        <v>8</v>
      </c>
      <c r="Q61" s="2" t="s">
        <v>8</v>
      </c>
      <c r="R61" s="2" t="s">
        <v>8</v>
      </c>
      <c r="S61" s="2" t="s">
        <v>8</v>
      </c>
      <c r="T61" s="2" t="s">
        <v>8</v>
      </c>
      <c r="U61" s="2" t="s">
        <v>8</v>
      </c>
      <c r="V61" s="23" t="s">
        <v>8</v>
      </c>
      <c r="W61" s="7" t="s">
        <v>8</v>
      </c>
      <c r="X61" s="7" t="s">
        <v>8</v>
      </c>
    </row>
    <row r="62" spans="1:24" ht="45" customHeight="1" x14ac:dyDescent="0.25">
      <c r="A62" t="str">
        <f t="shared" si="1"/>
        <v xml:space="preserve">   </v>
      </c>
      <c r="B62" s="2" t="s">
        <v>8</v>
      </c>
      <c r="C62" s="2" t="s">
        <v>8</v>
      </c>
      <c r="D62" s="2" t="s">
        <v>8</v>
      </c>
      <c r="E62" s="2" t="s">
        <v>8</v>
      </c>
      <c r="F62" s="2" t="s">
        <v>8</v>
      </c>
      <c r="G62" s="2" t="s">
        <v>8</v>
      </c>
      <c r="H62" s="23" t="s">
        <v>8</v>
      </c>
      <c r="I62" s="2" t="s">
        <v>8</v>
      </c>
      <c r="J62" s="2" t="s">
        <v>8</v>
      </c>
      <c r="K62" s="2" t="s">
        <v>8</v>
      </c>
      <c r="L62" s="2" t="s">
        <v>8</v>
      </c>
      <c r="M62" s="2" t="s">
        <v>8</v>
      </c>
      <c r="N62" s="2" t="s">
        <v>8</v>
      </c>
      <c r="O62" s="23" t="s">
        <v>8</v>
      </c>
      <c r="P62" s="2" t="s">
        <v>8</v>
      </c>
      <c r="Q62" s="2" t="s">
        <v>8</v>
      </c>
      <c r="R62" s="2" t="s">
        <v>8</v>
      </c>
      <c r="S62" s="2" t="s">
        <v>8</v>
      </c>
      <c r="T62" s="2" t="s">
        <v>8</v>
      </c>
      <c r="U62" s="2" t="s">
        <v>8</v>
      </c>
      <c r="V62" s="23" t="s">
        <v>8</v>
      </c>
      <c r="W62" s="7" t="s">
        <v>8</v>
      </c>
      <c r="X62" s="7" t="s">
        <v>8</v>
      </c>
    </row>
    <row r="63" spans="1:24" ht="45" customHeight="1" x14ac:dyDescent="0.25">
      <c r="A63" t="str">
        <f t="shared" si="1"/>
        <v xml:space="preserve">   </v>
      </c>
      <c r="B63" s="2" t="s">
        <v>8</v>
      </c>
      <c r="C63" s="2" t="s">
        <v>8</v>
      </c>
      <c r="D63" s="2" t="s">
        <v>8</v>
      </c>
      <c r="E63" s="2" t="s">
        <v>8</v>
      </c>
      <c r="F63" s="2" t="s">
        <v>8</v>
      </c>
      <c r="G63" s="2" t="s">
        <v>8</v>
      </c>
      <c r="H63" s="23" t="s">
        <v>8</v>
      </c>
      <c r="I63" s="2" t="s">
        <v>8</v>
      </c>
      <c r="J63" s="2" t="s">
        <v>8</v>
      </c>
      <c r="K63" s="2" t="s">
        <v>8</v>
      </c>
      <c r="L63" s="2" t="s">
        <v>8</v>
      </c>
      <c r="M63" s="2" t="s">
        <v>8</v>
      </c>
      <c r="N63" s="2" t="s">
        <v>8</v>
      </c>
      <c r="O63" s="23" t="s">
        <v>8</v>
      </c>
      <c r="P63" s="2" t="s">
        <v>8</v>
      </c>
      <c r="Q63" s="2" t="s">
        <v>8</v>
      </c>
      <c r="R63" s="2" t="s">
        <v>8</v>
      </c>
      <c r="S63" s="2" t="s">
        <v>8</v>
      </c>
      <c r="T63" s="2" t="s">
        <v>8</v>
      </c>
      <c r="U63" s="2" t="s">
        <v>8</v>
      </c>
      <c r="V63" s="23" t="s">
        <v>8</v>
      </c>
      <c r="W63" s="7" t="s">
        <v>8</v>
      </c>
      <c r="X63" s="7" t="s">
        <v>8</v>
      </c>
    </row>
    <row r="64" spans="1:24" ht="45" customHeight="1" x14ac:dyDescent="0.25">
      <c r="A64" t="str">
        <f t="shared" si="1"/>
        <v xml:space="preserve">   </v>
      </c>
      <c r="B64" s="2" t="s">
        <v>8</v>
      </c>
      <c r="C64" s="2" t="s">
        <v>8</v>
      </c>
      <c r="D64" s="2" t="s">
        <v>8</v>
      </c>
      <c r="E64" s="2" t="s">
        <v>8</v>
      </c>
      <c r="F64" s="2" t="s">
        <v>8</v>
      </c>
      <c r="G64" s="2" t="s">
        <v>8</v>
      </c>
      <c r="H64" s="23" t="s">
        <v>8</v>
      </c>
      <c r="I64" s="2" t="s">
        <v>8</v>
      </c>
      <c r="J64" s="2" t="s">
        <v>8</v>
      </c>
      <c r="K64" s="2" t="s">
        <v>8</v>
      </c>
      <c r="L64" s="2" t="s">
        <v>8</v>
      </c>
      <c r="M64" s="2" t="s">
        <v>8</v>
      </c>
      <c r="N64" s="2" t="s">
        <v>8</v>
      </c>
      <c r="O64" s="23" t="s">
        <v>8</v>
      </c>
      <c r="P64" s="2" t="s">
        <v>8</v>
      </c>
      <c r="Q64" s="2" t="s">
        <v>8</v>
      </c>
      <c r="R64" s="2" t="s">
        <v>8</v>
      </c>
      <c r="S64" s="2" t="s">
        <v>8</v>
      </c>
      <c r="T64" s="2" t="s">
        <v>8</v>
      </c>
      <c r="U64" s="2" t="s">
        <v>8</v>
      </c>
      <c r="V64" s="23" t="s">
        <v>8</v>
      </c>
      <c r="W64" s="7" t="s">
        <v>8</v>
      </c>
      <c r="X64" s="7" t="s">
        <v>8</v>
      </c>
    </row>
    <row r="65" spans="1:24" ht="45" customHeight="1" x14ac:dyDescent="0.25">
      <c r="A65" t="str">
        <f t="shared" si="1"/>
        <v xml:space="preserve">   </v>
      </c>
      <c r="B65" s="2" t="s">
        <v>8</v>
      </c>
      <c r="C65" s="2" t="s">
        <v>8</v>
      </c>
      <c r="D65" s="2" t="s">
        <v>8</v>
      </c>
      <c r="E65" s="2" t="s">
        <v>8</v>
      </c>
      <c r="F65" s="2" t="s">
        <v>8</v>
      </c>
      <c r="G65" s="2" t="s">
        <v>8</v>
      </c>
      <c r="H65" s="23" t="s">
        <v>8</v>
      </c>
      <c r="I65" s="2" t="s">
        <v>8</v>
      </c>
      <c r="J65" s="2" t="s">
        <v>8</v>
      </c>
      <c r="K65" s="2" t="s">
        <v>8</v>
      </c>
      <c r="L65" s="2" t="s">
        <v>8</v>
      </c>
      <c r="M65" s="2" t="s">
        <v>8</v>
      </c>
      <c r="N65" s="2" t="s">
        <v>8</v>
      </c>
      <c r="O65" s="23" t="s">
        <v>8</v>
      </c>
      <c r="P65" s="2" t="s">
        <v>8</v>
      </c>
      <c r="Q65" s="2" t="s">
        <v>8</v>
      </c>
      <c r="R65" s="2" t="s">
        <v>8</v>
      </c>
      <c r="S65" s="2" t="s">
        <v>8</v>
      </c>
      <c r="T65" s="2" t="s">
        <v>8</v>
      </c>
      <c r="U65" s="2" t="s">
        <v>8</v>
      </c>
      <c r="V65" s="23" t="s">
        <v>8</v>
      </c>
      <c r="W65" s="7" t="s">
        <v>8</v>
      </c>
      <c r="X65" s="7" t="s">
        <v>8</v>
      </c>
    </row>
    <row r="66" spans="1:24" ht="45" customHeight="1" x14ac:dyDescent="0.25">
      <c r="A66" t="str">
        <f t="shared" si="1"/>
        <v xml:space="preserve">   </v>
      </c>
      <c r="B66" s="2" t="s">
        <v>8</v>
      </c>
      <c r="C66" s="2" t="s">
        <v>8</v>
      </c>
      <c r="D66" s="2" t="s">
        <v>8</v>
      </c>
      <c r="E66" s="2" t="s">
        <v>8</v>
      </c>
      <c r="F66" s="2" t="s">
        <v>8</v>
      </c>
      <c r="G66" s="2" t="s">
        <v>8</v>
      </c>
      <c r="H66" s="23" t="s">
        <v>8</v>
      </c>
      <c r="I66" s="2" t="s">
        <v>8</v>
      </c>
      <c r="J66" s="2" t="s">
        <v>8</v>
      </c>
      <c r="K66" s="2" t="s">
        <v>8</v>
      </c>
      <c r="L66" s="2" t="s">
        <v>8</v>
      </c>
      <c r="M66" s="2" t="s">
        <v>8</v>
      </c>
      <c r="N66" s="2" t="s">
        <v>8</v>
      </c>
      <c r="O66" s="23" t="s">
        <v>8</v>
      </c>
      <c r="P66" s="2" t="s">
        <v>8</v>
      </c>
      <c r="Q66" s="2" t="s">
        <v>8</v>
      </c>
      <c r="R66" s="2" t="s">
        <v>8</v>
      </c>
      <c r="S66" s="2" t="s">
        <v>8</v>
      </c>
      <c r="T66" s="2" t="s">
        <v>8</v>
      </c>
      <c r="U66" s="2" t="s">
        <v>8</v>
      </c>
      <c r="V66" s="23" t="s">
        <v>8</v>
      </c>
      <c r="W66" s="7" t="s">
        <v>8</v>
      </c>
      <c r="X66" s="7" t="s">
        <v>8</v>
      </c>
    </row>
    <row r="67" spans="1:24" ht="45" customHeight="1" x14ac:dyDescent="0.25">
      <c r="A67" t="str">
        <f t="shared" si="1"/>
        <v xml:space="preserve">   </v>
      </c>
      <c r="B67" s="2" t="s">
        <v>8</v>
      </c>
      <c r="C67" s="2" t="s">
        <v>8</v>
      </c>
      <c r="D67" s="2" t="s">
        <v>8</v>
      </c>
      <c r="E67" s="2" t="s">
        <v>8</v>
      </c>
      <c r="F67" s="2" t="s">
        <v>8</v>
      </c>
      <c r="G67" s="2" t="s">
        <v>8</v>
      </c>
      <c r="H67" s="23" t="s">
        <v>8</v>
      </c>
      <c r="I67" s="2" t="s">
        <v>8</v>
      </c>
      <c r="J67" s="2" t="s">
        <v>8</v>
      </c>
      <c r="K67" s="2" t="s">
        <v>8</v>
      </c>
      <c r="L67" s="2" t="s">
        <v>8</v>
      </c>
      <c r="M67" s="2" t="s">
        <v>8</v>
      </c>
      <c r="N67" s="2" t="s">
        <v>8</v>
      </c>
      <c r="O67" s="23" t="s">
        <v>8</v>
      </c>
      <c r="P67" s="2" t="s">
        <v>8</v>
      </c>
      <c r="Q67" s="2" t="s">
        <v>8</v>
      </c>
      <c r="R67" s="2" t="s">
        <v>8</v>
      </c>
      <c r="S67" s="2" t="s">
        <v>8</v>
      </c>
      <c r="T67" s="2" t="s">
        <v>8</v>
      </c>
      <c r="U67" s="2" t="s">
        <v>8</v>
      </c>
      <c r="V67" s="23" t="s">
        <v>8</v>
      </c>
      <c r="W67" s="7" t="s">
        <v>8</v>
      </c>
      <c r="X67" s="7" t="s">
        <v>8</v>
      </c>
    </row>
    <row r="68" spans="1:24" ht="45" customHeight="1" x14ac:dyDescent="0.25">
      <c r="A68" t="str">
        <f t="shared" si="1"/>
        <v xml:space="preserve">   </v>
      </c>
      <c r="B68" s="2" t="s">
        <v>8</v>
      </c>
      <c r="C68" s="2" t="s">
        <v>8</v>
      </c>
      <c r="D68" s="2" t="s">
        <v>8</v>
      </c>
      <c r="E68" s="2" t="s">
        <v>8</v>
      </c>
      <c r="F68" s="2" t="s">
        <v>8</v>
      </c>
      <c r="G68" s="2" t="s">
        <v>8</v>
      </c>
      <c r="H68" s="23" t="s">
        <v>8</v>
      </c>
      <c r="I68" s="2" t="s">
        <v>8</v>
      </c>
      <c r="J68" s="2" t="s">
        <v>8</v>
      </c>
      <c r="K68" s="2" t="s">
        <v>8</v>
      </c>
      <c r="L68" s="2" t="s">
        <v>8</v>
      </c>
      <c r="M68" s="2" t="s">
        <v>8</v>
      </c>
      <c r="N68" s="2" t="s">
        <v>8</v>
      </c>
      <c r="O68" s="23" t="s">
        <v>8</v>
      </c>
      <c r="P68" s="2" t="s">
        <v>8</v>
      </c>
      <c r="Q68" s="2" t="s">
        <v>8</v>
      </c>
      <c r="R68" s="2" t="s">
        <v>8</v>
      </c>
      <c r="S68" s="2" t="s">
        <v>8</v>
      </c>
      <c r="T68" s="2" t="s">
        <v>8</v>
      </c>
      <c r="U68" s="2" t="s">
        <v>8</v>
      </c>
      <c r="V68" s="23" t="s">
        <v>8</v>
      </c>
      <c r="W68" s="7" t="s">
        <v>8</v>
      </c>
      <c r="X68" s="7" t="s">
        <v>8</v>
      </c>
    </row>
    <row r="69" spans="1:24" ht="45" customHeight="1" x14ac:dyDescent="0.25">
      <c r="A69" t="str">
        <f t="shared" si="1"/>
        <v xml:space="preserve">   </v>
      </c>
      <c r="B69" s="2" t="s">
        <v>8</v>
      </c>
      <c r="C69" s="2" t="s">
        <v>8</v>
      </c>
      <c r="D69" s="2" t="s">
        <v>8</v>
      </c>
      <c r="E69" s="2" t="s">
        <v>8</v>
      </c>
      <c r="F69" s="2" t="s">
        <v>8</v>
      </c>
      <c r="G69" s="2" t="s">
        <v>8</v>
      </c>
      <c r="H69" s="23" t="s">
        <v>8</v>
      </c>
      <c r="I69" s="2" t="s">
        <v>8</v>
      </c>
      <c r="J69" s="2" t="s">
        <v>8</v>
      </c>
      <c r="K69" s="2" t="s">
        <v>8</v>
      </c>
      <c r="L69" s="2" t="s">
        <v>8</v>
      </c>
      <c r="M69" s="2" t="s">
        <v>8</v>
      </c>
      <c r="N69" s="2" t="s">
        <v>8</v>
      </c>
      <c r="O69" s="23" t="s">
        <v>8</v>
      </c>
      <c r="P69" s="2" t="s">
        <v>8</v>
      </c>
      <c r="Q69" s="2" t="s">
        <v>8</v>
      </c>
      <c r="R69" s="2" t="s">
        <v>8</v>
      </c>
      <c r="S69" s="2" t="s">
        <v>8</v>
      </c>
      <c r="T69" s="2" t="s">
        <v>8</v>
      </c>
      <c r="U69" s="2" t="s">
        <v>8</v>
      </c>
      <c r="V69" s="23" t="s">
        <v>8</v>
      </c>
      <c r="W69" s="7" t="s">
        <v>8</v>
      </c>
      <c r="X69" s="7" t="s">
        <v>8</v>
      </c>
    </row>
    <row r="70" spans="1:24" ht="45" customHeight="1" x14ac:dyDescent="0.25">
      <c r="A70" t="str">
        <f t="shared" ref="A70:A101" si="2">A69</f>
        <v xml:space="preserve">   </v>
      </c>
      <c r="B70" s="2" t="s">
        <v>8</v>
      </c>
      <c r="C70" s="2" t="s">
        <v>8</v>
      </c>
      <c r="D70" s="2" t="s">
        <v>8</v>
      </c>
      <c r="E70" s="2" t="s">
        <v>8</v>
      </c>
      <c r="F70" s="2" t="s">
        <v>8</v>
      </c>
      <c r="G70" s="2" t="s">
        <v>8</v>
      </c>
      <c r="H70" s="23" t="s">
        <v>8</v>
      </c>
      <c r="I70" s="2" t="s">
        <v>8</v>
      </c>
      <c r="J70" s="2" t="s">
        <v>8</v>
      </c>
      <c r="K70" s="2" t="s">
        <v>8</v>
      </c>
      <c r="L70" s="2" t="s">
        <v>8</v>
      </c>
      <c r="M70" s="2" t="s">
        <v>8</v>
      </c>
      <c r="N70" s="2" t="s">
        <v>8</v>
      </c>
      <c r="O70" s="23" t="s">
        <v>8</v>
      </c>
      <c r="P70" s="2" t="s">
        <v>8</v>
      </c>
      <c r="Q70" s="2" t="s">
        <v>8</v>
      </c>
      <c r="R70" s="2" t="s">
        <v>8</v>
      </c>
      <c r="S70" s="2" t="s">
        <v>8</v>
      </c>
      <c r="T70" s="2" t="s">
        <v>8</v>
      </c>
      <c r="U70" s="2" t="s">
        <v>8</v>
      </c>
      <c r="V70" s="23" t="s">
        <v>8</v>
      </c>
      <c r="W70" s="7" t="s">
        <v>8</v>
      </c>
      <c r="X70" s="7" t="s">
        <v>8</v>
      </c>
    </row>
    <row r="71" spans="1:24" ht="45" customHeight="1" x14ac:dyDescent="0.25">
      <c r="A71" t="str">
        <f t="shared" si="2"/>
        <v xml:space="preserve">   </v>
      </c>
      <c r="B71" s="2" t="s">
        <v>8</v>
      </c>
      <c r="C71" s="2" t="s">
        <v>8</v>
      </c>
      <c r="D71" s="2" t="s">
        <v>8</v>
      </c>
      <c r="E71" s="2" t="s">
        <v>8</v>
      </c>
      <c r="F71" s="2" t="s">
        <v>8</v>
      </c>
      <c r="G71" s="2" t="s">
        <v>8</v>
      </c>
      <c r="H71" s="23" t="s">
        <v>8</v>
      </c>
      <c r="I71" s="2" t="s">
        <v>8</v>
      </c>
      <c r="J71" s="2" t="s">
        <v>8</v>
      </c>
      <c r="K71" s="2" t="s">
        <v>8</v>
      </c>
      <c r="L71" s="2" t="s">
        <v>8</v>
      </c>
      <c r="M71" s="2" t="s">
        <v>8</v>
      </c>
      <c r="N71" s="2" t="s">
        <v>8</v>
      </c>
      <c r="O71" s="23" t="s">
        <v>8</v>
      </c>
      <c r="P71" s="2" t="s">
        <v>8</v>
      </c>
      <c r="Q71" s="2" t="s">
        <v>8</v>
      </c>
      <c r="R71" s="2" t="s">
        <v>8</v>
      </c>
      <c r="S71" s="2" t="s">
        <v>8</v>
      </c>
      <c r="T71" s="2" t="s">
        <v>8</v>
      </c>
      <c r="U71" s="2" t="s">
        <v>8</v>
      </c>
      <c r="V71" s="23" t="s">
        <v>8</v>
      </c>
      <c r="W71" s="7" t="s">
        <v>8</v>
      </c>
      <c r="X71" s="7" t="s">
        <v>8</v>
      </c>
    </row>
    <row r="72" spans="1:24" ht="45" customHeight="1" x14ac:dyDescent="0.25">
      <c r="A72" t="str">
        <f t="shared" si="2"/>
        <v xml:space="preserve">   </v>
      </c>
      <c r="B72" s="2" t="s">
        <v>8</v>
      </c>
      <c r="C72" s="2" t="s">
        <v>8</v>
      </c>
      <c r="D72" s="2" t="s">
        <v>8</v>
      </c>
      <c r="E72" s="2" t="s">
        <v>8</v>
      </c>
      <c r="F72" s="2" t="s">
        <v>8</v>
      </c>
      <c r="G72" s="2" t="s">
        <v>8</v>
      </c>
      <c r="H72" s="23" t="s">
        <v>8</v>
      </c>
      <c r="I72" s="2" t="s">
        <v>8</v>
      </c>
      <c r="J72" s="2" t="s">
        <v>8</v>
      </c>
      <c r="K72" s="2" t="s">
        <v>8</v>
      </c>
      <c r="L72" s="2" t="s">
        <v>8</v>
      </c>
      <c r="M72" s="2" t="s">
        <v>8</v>
      </c>
      <c r="N72" s="2" t="s">
        <v>8</v>
      </c>
      <c r="O72" s="23" t="s">
        <v>8</v>
      </c>
      <c r="P72" s="2" t="s">
        <v>8</v>
      </c>
      <c r="Q72" s="2" t="s">
        <v>8</v>
      </c>
      <c r="R72" s="2" t="s">
        <v>8</v>
      </c>
      <c r="S72" s="2" t="s">
        <v>8</v>
      </c>
      <c r="T72" s="2" t="s">
        <v>8</v>
      </c>
      <c r="U72" s="2" t="s">
        <v>8</v>
      </c>
      <c r="V72" s="23" t="s">
        <v>8</v>
      </c>
      <c r="W72" s="7" t="s">
        <v>8</v>
      </c>
      <c r="X72" s="7" t="s">
        <v>8</v>
      </c>
    </row>
    <row r="73" spans="1:24" ht="45" customHeight="1" x14ac:dyDescent="0.25">
      <c r="A73" t="str">
        <f t="shared" si="2"/>
        <v xml:space="preserve">   </v>
      </c>
      <c r="B73" s="2" t="s">
        <v>8</v>
      </c>
      <c r="C73" s="2" t="s">
        <v>8</v>
      </c>
      <c r="D73" s="2" t="s">
        <v>8</v>
      </c>
      <c r="E73" s="2" t="s">
        <v>8</v>
      </c>
      <c r="F73" s="2" t="s">
        <v>8</v>
      </c>
      <c r="G73" s="2" t="s">
        <v>8</v>
      </c>
      <c r="H73" s="23" t="s">
        <v>8</v>
      </c>
      <c r="I73" s="2" t="s">
        <v>8</v>
      </c>
      <c r="J73" s="2" t="s">
        <v>8</v>
      </c>
      <c r="K73" s="2" t="s">
        <v>8</v>
      </c>
      <c r="L73" s="2" t="s">
        <v>8</v>
      </c>
      <c r="M73" s="2" t="s">
        <v>8</v>
      </c>
      <c r="N73" s="2" t="s">
        <v>8</v>
      </c>
      <c r="O73" s="23" t="s">
        <v>8</v>
      </c>
      <c r="P73" s="2" t="s">
        <v>8</v>
      </c>
      <c r="Q73" s="2" t="s">
        <v>8</v>
      </c>
      <c r="R73" s="2" t="s">
        <v>8</v>
      </c>
      <c r="S73" s="2" t="s">
        <v>8</v>
      </c>
      <c r="T73" s="2" t="s">
        <v>8</v>
      </c>
      <c r="U73" s="2" t="s">
        <v>8</v>
      </c>
      <c r="V73" s="23" t="s">
        <v>8</v>
      </c>
      <c r="W73" s="7" t="s">
        <v>8</v>
      </c>
      <c r="X73" s="7" t="s">
        <v>8</v>
      </c>
    </row>
    <row r="74" spans="1:24" ht="45" customHeight="1" x14ac:dyDescent="0.25">
      <c r="A74" t="str">
        <f t="shared" si="2"/>
        <v xml:space="preserve">   </v>
      </c>
      <c r="B74" s="2" t="s">
        <v>8</v>
      </c>
      <c r="C74" s="2" t="s">
        <v>8</v>
      </c>
      <c r="D74" s="2" t="s">
        <v>8</v>
      </c>
      <c r="E74" s="2" t="s">
        <v>8</v>
      </c>
      <c r="F74" s="2" t="s">
        <v>8</v>
      </c>
      <c r="G74" s="2" t="s">
        <v>8</v>
      </c>
      <c r="H74" s="23" t="s">
        <v>8</v>
      </c>
      <c r="I74" s="2" t="s">
        <v>8</v>
      </c>
      <c r="J74" s="2" t="s">
        <v>8</v>
      </c>
      <c r="K74" s="2" t="s">
        <v>8</v>
      </c>
      <c r="L74" s="2" t="s">
        <v>8</v>
      </c>
      <c r="M74" s="2" t="s">
        <v>8</v>
      </c>
      <c r="N74" s="2" t="s">
        <v>8</v>
      </c>
      <c r="O74" s="23" t="s">
        <v>8</v>
      </c>
      <c r="P74" s="2" t="s">
        <v>8</v>
      </c>
      <c r="Q74" s="2" t="s">
        <v>8</v>
      </c>
      <c r="R74" s="2" t="s">
        <v>8</v>
      </c>
      <c r="S74" s="2" t="s">
        <v>8</v>
      </c>
      <c r="T74" s="2" t="s">
        <v>8</v>
      </c>
      <c r="U74" s="2" t="s">
        <v>8</v>
      </c>
      <c r="V74" s="23" t="s">
        <v>8</v>
      </c>
      <c r="W74" s="7" t="s">
        <v>8</v>
      </c>
      <c r="X74" s="7" t="s">
        <v>8</v>
      </c>
    </row>
    <row r="75" spans="1:24" ht="45" customHeight="1" x14ac:dyDescent="0.25">
      <c r="A75" t="str">
        <f t="shared" si="2"/>
        <v xml:space="preserve">   </v>
      </c>
      <c r="B75" s="2" t="s">
        <v>8</v>
      </c>
      <c r="C75" s="2" t="s">
        <v>8</v>
      </c>
      <c r="D75" s="2" t="s">
        <v>8</v>
      </c>
      <c r="E75" s="2" t="s">
        <v>8</v>
      </c>
      <c r="F75" s="2" t="s">
        <v>8</v>
      </c>
      <c r="G75" s="2" t="s">
        <v>8</v>
      </c>
      <c r="H75" s="23" t="s">
        <v>8</v>
      </c>
      <c r="I75" s="2" t="s">
        <v>8</v>
      </c>
      <c r="J75" s="2" t="s">
        <v>8</v>
      </c>
      <c r="K75" s="2" t="s">
        <v>8</v>
      </c>
      <c r="L75" s="2" t="s">
        <v>8</v>
      </c>
      <c r="M75" s="2" t="s">
        <v>8</v>
      </c>
      <c r="N75" s="2" t="s">
        <v>8</v>
      </c>
      <c r="O75" s="23" t="s">
        <v>8</v>
      </c>
      <c r="P75" s="2" t="s">
        <v>8</v>
      </c>
      <c r="Q75" s="2" t="s">
        <v>8</v>
      </c>
      <c r="R75" s="2" t="s">
        <v>8</v>
      </c>
      <c r="S75" s="2" t="s">
        <v>8</v>
      </c>
      <c r="T75" s="2" t="s">
        <v>8</v>
      </c>
      <c r="U75" s="2" t="s">
        <v>8</v>
      </c>
      <c r="V75" s="23" t="s">
        <v>8</v>
      </c>
      <c r="W75" s="7" t="s">
        <v>8</v>
      </c>
      <c r="X75" s="7" t="s">
        <v>8</v>
      </c>
    </row>
    <row r="76" spans="1:24" ht="45" customHeight="1" x14ac:dyDescent="0.25">
      <c r="A76" t="str">
        <f t="shared" si="2"/>
        <v xml:space="preserve">   </v>
      </c>
      <c r="B76" s="2" t="s">
        <v>8</v>
      </c>
      <c r="C76" s="2" t="s">
        <v>8</v>
      </c>
      <c r="D76" s="2" t="s">
        <v>8</v>
      </c>
      <c r="E76" s="2" t="s">
        <v>8</v>
      </c>
      <c r="F76" s="2" t="s">
        <v>8</v>
      </c>
      <c r="G76" s="2" t="s">
        <v>8</v>
      </c>
      <c r="H76" s="23" t="s">
        <v>8</v>
      </c>
      <c r="I76" s="2" t="s">
        <v>8</v>
      </c>
      <c r="J76" s="2" t="s">
        <v>8</v>
      </c>
      <c r="K76" s="2" t="s">
        <v>8</v>
      </c>
      <c r="L76" s="2" t="s">
        <v>8</v>
      </c>
      <c r="M76" s="2" t="s">
        <v>8</v>
      </c>
      <c r="N76" s="2" t="s">
        <v>8</v>
      </c>
      <c r="O76" s="23" t="s">
        <v>8</v>
      </c>
      <c r="P76" s="2" t="s">
        <v>8</v>
      </c>
      <c r="Q76" s="2" t="s">
        <v>8</v>
      </c>
      <c r="R76" s="2" t="s">
        <v>8</v>
      </c>
      <c r="S76" s="2" t="s">
        <v>8</v>
      </c>
      <c r="T76" s="2" t="s">
        <v>8</v>
      </c>
      <c r="U76" s="2" t="s">
        <v>8</v>
      </c>
      <c r="V76" s="23" t="s">
        <v>8</v>
      </c>
      <c r="W76" s="7" t="s">
        <v>8</v>
      </c>
      <c r="X76" s="7" t="s">
        <v>8</v>
      </c>
    </row>
    <row r="77" spans="1:24" ht="45" customHeight="1" x14ac:dyDescent="0.25">
      <c r="A77" t="str">
        <f t="shared" si="2"/>
        <v xml:space="preserve">   </v>
      </c>
      <c r="B77" s="2" t="s">
        <v>8</v>
      </c>
      <c r="C77" s="2" t="s">
        <v>8</v>
      </c>
      <c r="D77" s="2" t="s">
        <v>8</v>
      </c>
      <c r="E77" s="2" t="s">
        <v>8</v>
      </c>
      <c r="F77" s="2" t="s">
        <v>8</v>
      </c>
      <c r="G77" s="2" t="s">
        <v>8</v>
      </c>
      <c r="H77" s="23" t="s">
        <v>8</v>
      </c>
      <c r="I77" s="2" t="s">
        <v>8</v>
      </c>
      <c r="J77" s="2" t="s">
        <v>8</v>
      </c>
      <c r="K77" s="2" t="s">
        <v>8</v>
      </c>
      <c r="L77" s="2" t="s">
        <v>8</v>
      </c>
      <c r="M77" s="2" t="s">
        <v>8</v>
      </c>
      <c r="N77" s="2" t="s">
        <v>8</v>
      </c>
      <c r="O77" s="23" t="s">
        <v>8</v>
      </c>
      <c r="P77" s="2" t="s">
        <v>8</v>
      </c>
      <c r="Q77" s="2" t="s">
        <v>8</v>
      </c>
      <c r="R77" s="2" t="s">
        <v>8</v>
      </c>
      <c r="S77" s="2" t="s">
        <v>8</v>
      </c>
      <c r="T77" s="2" t="s">
        <v>8</v>
      </c>
      <c r="U77" s="2" t="s">
        <v>8</v>
      </c>
      <c r="V77" s="23" t="s">
        <v>8</v>
      </c>
      <c r="W77" s="7" t="s">
        <v>8</v>
      </c>
      <c r="X77" s="7" t="s">
        <v>8</v>
      </c>
    </row>
    <row r="78" spans="1:24" ht="45" customHeight="1" x14ac:dyDescent="0.25">
      <c r="A78" t="str">
        <f t="shared" si="2"/>
        <v xml:space="preserve">   </v>
      </c>
      <c r="B78" s="2" t="s">
        <v>8</v>
      </c>
      <c r="C78" s="2" t="s">
        <v>8</v>
      </c>
      <c r="D78" s="2" t="s">
        <v>8</v>
      </c>
      <c r="E78" s="2" t="s">
        <v>8</v>
      </c>
      <c r="F78" s="2" t="s">
        <v>8</v>
      </c>
      <c r="G78" s="2" t="s">
        <v>8</v>
      </c>
      <c r="H78" s="23" t="s">
        <v>8</v>
      </c>
      <c r="I78" s="2" t="s">
        <v>8</v>
      </c>
      <c r="J78" s="2" t="s">
        <v>8</v>
      </c>
      <c r="K78" s="2" t="s">
        <v>8</v>
      </c>
      <c r="L78" s="2" t="s">
        <v>8</v>
      </c>
      <c r="M78" s="2" t="s">
        <v>8</v>
      </c>
      <c r="N78" s="2" t="s">
        <v>8</v>
      </c>
      <c r="O78" s="23" t="s">
        <v>8</v>
      </c>
      <c r="P78" s="2" t="s">
        <v>8</v>
      </c>
      <c r="Q78" s="2" t="s">
        <v>8</v>
      </c>
      <c r="R78" s="2" t="s">
        <v>8</v>
      </c>
      <c r="S78" s="2" t="s">
        <v>8</v>
      </c>
      <c r="T78" s="2" t="s">
        <v>8</v>
      </c>
      <c r="U78" s="2" t="s">
        <v>8</v>
      </c>
      <c r="V78" s="23" t="s">
        <v>8</v>
      </c>
      <c r="W78" s="7" t="s">
        <v>8</v>
      </c>
      <c r="X78" s="7" t="s">
        <v>8</v>
      </c>
    </row>
    <row r="79" spans="1:24" ht="45" customHeight="1" x14ac:dyDescent="0.25">
      <c r="A79" t="str">
        <f t="shared" si="2"/>
        <v xml:space="preserve">   </v>
      </c>
      <c r="B79" s="2" t="s">
        <v>8</v>
      </c>
      <c r="C79" s="2" t="s">
        <v>8</v>
      </c>
      <c r="D79" s="2" t="s">
        <v>8</v>
      </c>
      <c r="E79" s="2" t="s">
        <v>8</v>
      </c>
      <c r="F79" s="2" t="s">
        <v>8</v>
      </c>
      <c r="G79" s="2" t="s">
        <v>8</v>
      </c>
      <c r="H79" s="23" t="s">
        <v>8</v>
      </c>
      <c r="I79" s="2" t="s">
        <v>8</v>
      </c>
      <c r="J79" s="2" t="s">
        <v>8</v>
      </c>
      <c r="K79" s="2" t="s">
        <v>8</v>
      </c>
      <c r="L79" s="2" t="s">
        <v>8</v>
      </c>
      <c r="M79" s="2" t="s">
        <v>8</v>
      </c>
      <c r="N79" s="2" t="s">
        <v>8</v>
      </c>
      <c r="O79" s="23" t="s">
        <v>8</v>
      </c>
      <c r="P79" s="2" t="s">
        <v>8</v>
      </c>
      <c r="Q79" s="2" t="s">
        <v>8</v>
      </c>
      <c r="R79" s="2" t="s">
        <v>8</v>
      </c>
      <c r="S79" s="2" t="s">
        <v>8</v>
      </c>
      <c r="T79" s="2" t="s">
        <v>8</v>
      </c>
      <c r="U79" s="2" t="s">
        <v>8</v>
      </c>
      <c r="V79" s="23" t="s">
        <v>8</v>
      </c>
      <c r="W79" s="7" t="s">
        <v>8</v>
      </c>
      <c r="X79" s="7" t="s">
        <v>8</v>
      </c>
    </row>
    <row r="80" spans="1:24" ht="45" customHeight="1" x14ac:dyDescent="0.25">
      <c r="A80" t="str">
        <f t="shared" si="2"/>
        <v xml:space="preserve">   </v>
      </c>
      <c r="B80" s="2" t="s">
        <v>8</v>
      </c>
      <c r="C80" s="2" t="s">
        <v>8</v>
      </c>
      <c r="D80" s="2" t="s">
        <v>8</v>
      </c>
      <c r="E80" s="2" t="s">
        <v>8</v>
      </c>
      <c r="F80" s="2" t="s">
        <v>8</v>
      </c>
      <c r="G80" s="2" t="s">
        <v>8</v>
      </c>
      <c r="H80" s="23" t="s">
        <v>8</v>
      </c>
      <c r="I80" s="2" t="s">
        <v>8</v>
      </c>
      <c r="J80" s="2" t="s">
        <v>8</v>
      </c>
      <c r="K80" s="2" t="s">
        <v>8</v>
      </c>
      <c r="L80" s="2" t="s">
        <v>8</v>
      </c>
      <c r="M80" s="2" t="s">
        <v>8</v>
      </c>
      <c r="N80" s="2" t="s">
        <v>8</v>
      </c>
      <c r="O80" s="23" t="s">
        <v>8</v>
      </c>
      <c r="P80" s="2" t="s">
        <v>8</v>
      </c>
      <c r="Q80" s="2" t="s">
        <v>8</v>
      </c>
      <c r="R80" s="2" t="s">
        <v>8</v>
      </c>
      <c r="S80" s="2" t="s">
        <v>8</v>
      </c>
      <c r="T80" s="2" t="s">
        <v>8</v>
      </c>
      <c r="U80" s="2" t="s">
        <v>8</v>
      </c>
      <c r="V80" s="23" t="s">
        <v>8</v>
      </c>
      <c r="W80" s="7" t="s">
        <v>8</v>
      </c>
      <c r="X80" s="7" t="s">
        <v>8</v>
      </c>
    </row>
    <row r="81" spans="1:24" ht="45" customHeight="1" x14ac:dyDescent="0.25">
      <c r="A81" t="str">
        <f t="shared" si="2"/>
        <v xml:space="preserve">   </v>
      </c>
      <c r="B81" s="2" t="s">
        <v>8</v>
      </c>
      <c r="C81" s="2" t="s">
        <v>8</v>
      </c>
      <c r="D81" s="2" t="s">
        <v>8</v>
      </c>
      <c r="E81" s="2" t="s">
        <v>8</v>
      </c>
      <c r="F81" s="2" t="s">
        <v>8</v>
      </c>
      <c r="G81" s="2" t="s">
        <v>8</v>
      </c>
      <c r="H81" s="23" t="s">
        <v>8</v>
      </c>
      <c r="I81" s="2" t="s">
        <v>8</v>
      </c>
      <c r="J81" s="2" t="s">
        <v>8</v>
      </c>
      <c r="K81" s="2" t="s">
        <v>8</v>
      </c>
      <c r="L81" s="2" t="s">
        <v>8</v>
      </c>
      <c r="M81" s="2" t="s">
        <v>8</v>
      </c>
      <c r="N81" s="2" t="s">
        <v>8</v>
      </c>
      <c r="O81" s="23" t="s">
        <v>8</v>
      </c>
      <c r="P81" s="2" t="s">
        <v>8</v>
      </c>
      <c r="Q81" s="2" t="s">
        <v>8</v>
      </c>
      <c r="R81" s="2" t="s">
        <v>8</v>
      </c>
      <c r="S81" s="2" t="s">
        <v>8</v>
      </c>
      <c r="T81" s="2" t="s">
        <v>8</v>
      </c>
      <c r="U81" s="2" t="s">
        <v>8</v>
      </c>
      <c r="V81" s="23" t="s">
        <v>8</v>
      </c>
      <c r="W81" s="7" t="s">
        <v>8</v>
      </c>
      <c r="X81" s="7" t="s">
        <v>8</v>
      </c>
    </row>
    <row r="82" spans="1:24" ht="45" customHeight="1" x14ac:dyDescent="0.25">
      <c r="A82" t="str">
        <f t="shared" si="2"/>
        <v xml:space="preserve">   </v>
      </c>
      <c r="B82" s="2" t="s">
        <v>8</v>
      </c>
      <c r="C82" s="2" t="s">
        <v>8</v>
      </c>
      <c r="D82" s="2" t="s">
        <v>8</v>
      </c>
      <c r="E82" s="2" t="s">
        <v>8</v>
      </c>
      <c r="F82" s="2" t="s">
        <v>8</v>
      </c>
      <c r="G82" s="2" t="s">
        <v>8</v>
      </c>
      <c r="H82" s="23" t="s">
        <v>8</v>
      </c>
      <c r="I82" s="2" t="s">
        <v>8</v>
      </c>
      <c r="J82" s="2" t="s">
        <v>8</v>
      </c>
      <c r="K82" s="2" t="s">
        <v>8</v>
      </c>
      <c r="L82" s="2" t="s">
        <v>8</v>
      </c>
      <c r="M82" s="2" t="s">
        <v>8</v>
      </c>
      <c r="N82" s="2" t="s">
        <v>8</v>
      </c>
      <c r="O82" s="23" t="s">
        <v>8</v>
      </c>
      <c r="P82" s="2" t="s">
        <v>8</v>
      </c>
      <c r="Q82" s="2" t="s">
        <v>8</v>
      </c>
      <c r="R82" s="2" t="s">
        <v>8</v>
      </c>
      <c r="S82" s="2" t="s">
        <v>8</v>
      </c>
      <c r="T82" s="2" t="s">
        <v>8</v>
      </c>
      <c r="U82" s="2" t="s">
        <v>8</v>
      </c>
      <c r="V82" s="23" t="s">
        <v>8</v>
      </c>
      <c r="W82" s="7" t="s">
        <v>8</v>
      </c>
      <c r="X82" s="7" t="s">
        <v>8</v>
      </c>
    </row>
    <row r="83" spans="1:24" ht="45" customHeight="1" x14ac:dyDescent="0.25">
      <c r="A83" t="str">
        <f t="shared" si="2"/>
        <v xml:space="preserve">   </v>
      </c>
      <c r="B83" s="2" t="s">
        <v>8</v>
      </c>
      <c r="C83" s="2" t="s">
        <v>8</v>
      </c>
      <c r="D83" s="2" t="s">
        <v>8</v>
      </c>
      <c r="E83" s="2" t="s">
        <v>8</v>
      </c>
      <c r="F83" s="2" t="s">
        <v>8</v>
      </c>
      <c r="G83" s="2" t="s">
        <v>8</v>
      </c>
      <c r="H83" s="23" t="s">
        <v>8</v>
      </c>
      <c r="I83" s="2" t="s">
        <v>8</v>
      </c>
      <c r="J83" s="2" t="s">
        <v>8</v>
      </c>
      <c r="K83" s="2" t="s">
        <v>8</v>
      </c>
      <c r="L83" s="2" t="s">
        <v>8</v>
      </c>
      <c r="M83" s="2" t="s">
        <v>8</v>
      </c>
      <c r="N83" s="2" t="s">
        <v>8</v>
      </c>
      <c r="O83" s="23" t="s">
        <v>8</v>
      </c>
      <c r="P83" s="2" t="s">
        <v>8</v>
      </c>
      <c r="Q83" s="2" t="s">
        <v>8</v>
      </c>
      <c r="R83" s="2" t="s">
        <v>8</v>
      </c>
      <c r="S83" s="2" t="s">
        <v>8</v>
      </c>
      <c r="T83" s="2" t="s">
        <v>8</v>
      </c>
      <c r="U83" s="2" t="s">
        <v>8</v>
      </c>
      <c r="V83" s="23" t="s">
        <v>8</v>
      </c>
      <c r="W83" s="7" t="s">
        <v>8</v>
      </c>
      <c r="X83" s="7" t="s">
        <v>8</v>
      </c>
    </row>
    <row r="84" spans="1:24" ht="45" customHeight="1" x14ac:dyDescent="0.25">
      <c r="A84" t="str">
        <f t="shared" si="2"/>
        <v xml:space="preserve">   </v>
      </c>
      <c r="B84" s="2" t="s">
        <v>8</v>
      </c>
      <c r="C84" s="2" t="s">
        <v>8</v>
      </c>
      <c r="D84" s="2" t="s">
        <v>8</v>
      </c>
      <c r="E84" s="2" t="s">
        <v>8</v>
      </c>
      <c r="F84" s="2" t="s">
        <v>8</v>
      </c>
      <c r="G84" s="2" t="s">
        <v>8</v>
      </c>
      <c r="H84" s="23" t="s">
        <v>8</v>
      </c>
      <c r="I84" s="2" t="s">
        <v>8</v>
      </c>
      <c r="J84" s="2" t="s">
        <v>8</v>
      </c>
      <c r="K84" s="2" t="s">
        <v>8</v>
      </c>
      <c r="L84" s="2" t="s">
        <v>8</v>
      </c>
      <c r="M84" s="2" t="s">
        <v>8</v>
      </c>
      <c r="N84" s="2" t="s">
        <v>8</v>
      </c>
      <c r="O84" s="23" t="s">
        <v>8</v>
      </c>
      <c r="P84" s="2" t="s">
        <v>8</v>
      </c>
      <c r="Q84" s="2" t="s">
        <v>8</v>
      </c>
      <c r="R84" s="2" t="s">
        <v>8</v>
      </c>
      <c r="S84" s="2" t="s">
        <v>8</v>
      </c>
      <c r="T84" s="2" t="s">
        <v>8</v>
      </c>
      <c r="U84" s="2" t="s">
        <v>8</v>
      </c>
      <c r="V84" s="23" t="s">
        <v>8</v>
      </c>
      <c r="W84" s="7" t="s">
        <v>8</v>
      </c>
      <c r="X84" s="7" t="s">
        <v>8</v>
      </c>
    </row>
    <row r="85" spans="1:24" ht="45" customHeight="1" x14ac:dyDescent="0.25">
      <c r="A85" t="str">
        <f t="shared" si="2"/>
        <v xml:space="preserve">   </v>
      </c>
      <c r="B85" s="2" t="s">
        <v>8</v>
      </c>
      <c r="C85" s="2" t="s">
        <v>8</v>
      </c>
      <c r="D85" s="2" t="s">
        <v>8</v>
      </c>
      <c r="E85" s="2" t="s">
        <v>8</v>
      </c>
      <c r="F85" s="2" t="s">
        <v>8</v>
      </c>
      <c r="G85" s="2" t="s">
        <v>8</v>
      </c>
      <c r="H85" s="23" t="s">
        <v>8</v>
      </c>
      <c r="I85" s="2" t="s">
        <v>8</v>
      </c>
      <c r="J85" s="2" t="s">
        <v>8</v>
      </c>
      <c r="K85" s="2" t="s">
        <v>8</v>
      </c>
      <c r="L85" s="2" t="s">
        <v>8</v>
      </c>
      <c r="M85" s="2" t="s">
        <v>8</v>
      </c>
      <c r="N85" s="2" t="s">
        <v>8</v>
      </c>
      <c r="O85" s="23" t="s">
        <v>8</v>
      </c>
      <c r="P85" s="2" t="s">
        <v>8</v>
      </c>
      <c r="Q85" s="2" t="s">
        <v>8</v>
      </c>
      <c r="R85" s="2" t="s">
        <v>8</v>
      </c>
      <c r="S85" s="2" t="s">
        <v>8</v>
      </c>
      <c r="T85" s="2" t="s">
        <v>8</v>
      </c>
      <c r="U85" s="2" t="s">
        <v>8</v>
      </c>
      <c r="V85" s="23" t="s">
        <v>8</v>
      </c>
      <c r="W85" s="7" t="s">
        <v>8</v>
      </c>
      <c r="X85" s="7" t="s">
        <v>8</v>
      </c>
    </row>
    <row r="86" spans="1:24" ht="45" customHeight="1" x14ac:dyDescent="0.25">
      <c r="A86" t="str">
        <f t="shared" si="2"/>
        <v xml:space="preserve">   </v>
      </c>
      <c r="B86" s="2" t="s">
        <v>8</v>
      </c>
      <c r="C86" s="2" t="s">
        <v>8</v>
      </c>
      <c r="D86" s="2" t="s">
        <v>8</v>
      </c>
      <c r="E86" s="2" t="s">
        <v>8</v>
      </c>
      <c r="F86" s="2" t="s">
        <v>8</v>
      </c>
      <c r="G86" s="2" t="s">
        <v>8</v>
      </c>
      <c r="H86" s="23" t="s">
        <v>8</v>
      </c>
      <c r="I86" s="2" t="s">
        <v>8</v>
      </c>
      <c r="J86" s="2" t="s">
        <v>8</v>
      </c>
      <c r="K86" s="2" t="s">
        <v>8</v>
      </c>
      <c r="L86" s="2" t="s">
        <v>8</v>
      </c>
      <c r="M86" s="2" t="s">
        <v>8</v>
      </c>
      <c r="N86" s="2" t="s">
        <v>8</v>
      </c>
      <c r="O86" s="23" t="s">
        <v>8</v>
      </c>
      <c r="P86" s="2" t="s">
        <v>8</v>
      </c>
      <c r="Q86" s="2" t="s">
        <v>8</v>
      </c>
      <c r="R86" s="2" t="s">
        <v>8</v>
      </c>
      <c r="S86" s="2" t="s">
        <v>8</v>
      </c>
      <c r="T86" s="2" t="s">
        <v>8</v>
      </c>
      <c r="U86" s="2" t="s">
        <v>8</v>
      </c>
      <c r="V86" s="23" t="s">
        <v>8</v>
      </c>
      <c r="W86" s="7" t="s">
        <v>8</v>
      </c>
      <c r="X86" s="7" t="s">
        <v>8</v>
      </c>
    </row>
    <row r="87" spans="1:24" ht="45" customHeight="1" x14ac:dyDescent="0.25">
      <c r="A87" t="str">
        <f t="shared" si="2"/>
        <v xml:space="preserve">   </v>
      </c>
      <c r="B87" s="2" t="s">
        <v>8</v>
      </c>
      <c r="C87" s="2" t="s">
        <v>8</v>
      </c>
      <c r="D87" s="2" t="s">
        <v>8</v>
      </c>
      <c r="E87" s="2" t="s">
        <v>8</v>
      </c>
      <c r="F87" s="2" t="s">
        <v>8</v>
      </c>
      <c r="G87" s="2" t="s">
        <v>8</v>
      </c>
      <c r="H87" s="23" t="s">
        <v>8</v>
      </c>
      <c r="I87" s="2" t="s">
        <v>8</v>
      </c>
      <c r="J87" s="2" t="s">
        <v>8</v>
      </c>
      <c r="K87" s="2" t="s">
        <v>8</v>
      </c>
      <c r="L87" s="2" t="s">
        <v>8</v>
      </c>
      <c r="M87" s="2" t="s">
        <v>8</v>
      </c>
      <c r="N87" s="2" t="s">
        <v>8</v>
      </c>
      <c r="O87" s="23" t="s">
        <v>8</v>
      </c>
      <c r="P87" s="2" t="s">
        <v>8</v>
      </c>
      <c r="Q87" s="2" t="s">
        <v>8</v>
      </c>
      <c r="R87" s="2" t="s">
        <v>8</v>
      </c>
      <c r="S87" s="2" t="s">
        <v>8</v>
      </c>
      <c r="T87" s="2" t="s">
        <v>8</v>
      </c>
      <c r="U87" s="2" t="s">
        <v>8</v>
      </c>
      <c r="V87" s="23" t="s">
        <v>8</v>
      </c>
      <c r="W87" s="7" t="s">
        <v>8</v>
      </c>
      <c r="X87" s="7" t="s">
        <v>8</v>
      </c>
    </row>
    <row r="88" spans="1:24" ht="45" customHeight="1" x14ac:dyDescent="0.25">
      <c r="A88" t="str">
        <f t="shared" si="2"/>
        <v xml:space="preserve">   </v>
      </c>
      <c r="B88" s="2" t="s">
        <v>8</v>
      </c>
      <c r="C88" s="2" t="s">
        <v>8</v>
      </c>
      <c r="D88" s="2" t="s">
        <v>8</v>
      </c>
      <c r="E88" s="2" t="s">
        <v>8</v>
      </c>
      <c r="F88" s="2" t="s">
        <v>8</v>
      </c>
      <c r="G88" s="2" t="s">
        <v>8</v>
      </c>
      <c r="H88" s="23" t="s">
        <v>8</v>
      </c>
      <c r="I88" s="2" t="s">
        <v>8</v>
      </c>
      <c r="J88" s="2" t="s">
        <v>8</v>
      </c>
      <c r="K88" s="2" t="s">
        <v>8</v>
      </c>
      <c r="L88" s="2" t="s">
        <v>8</v>
      </c>
      <c r="M88" s="2" t="s">
        <v>8</v>
      </c>
      <c r="N88" s="2" t="s">
        <v>8</v>
      </c>
      <c r="O88" s="23" t="s">
        <v>8</v>
      </c>
      <c r="P88" s="2" t="s">
        <v>8</v>
      </c>
      <c r="Q88" s="2" t="s">
        <v>8</v>
      </c>
      <c r="R88" s="2" t="s">
        <v>8</v>
      </c>
      <c r="S88" s="2" t="s">
        <v>8</v>
      </c>
      <c r="T88" s="2" t="s">
        <v>8</v>
      </c>
      <c r="U88" s="2" t="s">
        <v>8</v>
      </c>
      <c r="V88" s="23" t="s">
        <v>8</v>
      </c>
      <c r="W88" s="7" t="s">
        <v>8</v>
      </c>
      <c r="X88" s="7" t="s">
        <v>8</v>
      </c>
    </row>
    <row r="89" spans="1:24" ht="45" customHeight="1" x14ac:dyDescent="0.25">
      <c r="A89" t="str">
        <f t="shared" si="2"/>
        <v xml:space="preserve">   </v>
      </c>
      <c r="B89" s="2" t="s">
        <v>8</v>
      </c>
      <c r="C89" s="2" t="s">
        <v>8</v>
      </c>
      <c r="D89" s="2" t="s">
        <v>8</v>
      </c>
      <c r="E89" s="2" t="s">
        <v>8</v>
      </c>
      <c r="F89" s="2" t="s">
        <v>8</v>
      </c>
      <c r="G89" s="2" t="s">
        <v>8</v>
      </c>
      <c r="H89" s="23" t="s">
        <v>8</v>
      </c>
      <c r="I89" s="2" t="s">
        <v>8</v>
      </c>
      <c r="J89" s="2" t="s">
        <v>8</v>
      </c>
      <c r="K89" s="2" t="s">
        <v>8</v>
      </c>
      <c r="L89" s="2" t="s">
        <v>8</v>
      </c>
      <c r="M89" s="2" t="s">
        <v>8</v>
      </c>
      <c r="N89" s="2" t="s">
        <v>8</v>
      </c>
      <c r="O89" s="23" t="s">
        <v>8</v>
      </c>
      <c r="P89" s="2" t="s">
        <v>8</v>
      </c>
      <c r="Q89" s="2" t="s">
        <v>8</v>
      </c>
      <c r="R89" s="2" t="s">
        <v>8</v>
      </c>
      <c r="S89" s="2" t="s">
        <v>8</v>
      </c>
      <c r="T89" s="2" t="s">
        <v>8</v>
      </c>
      <c r="U89" s="2" t="s">
        <v>8</v>
      </c>
      <c r="V89" s="23" t="s">
        <v>8</v>
      </c>
      <c r="W89" s="7" t="s">
        <v>8</v>
      </c>
      <c r="X89" s="7" t="s">
        <v>8</v>
      </c>
    </row>
    <row r="90" spans="1:24" ht="45" customHeight="1" x14ac:dyDescent="0.25">
      <c r="A90" t="str">
        <f t="shared" si="2"/>
        <v xml:space="preserve">   </v>
      </c>
      <c r="B90" s="2" t="s">
        <v>8</v>
      </c>
      <c r="C90" s="2" t="s">
        <v>8</v>
      </c>
      <c r="D90" s="2" t="s">
        <v>8</v>
      </c>
      <c r="E90" s="2" t="s">
        <v>8</v>
      </c>
      <c r="F90" s="2" t="s">
        <v>8</v>
      </c>
      <c r="G90" s="2" t="s">
        <v>8</v>
      </c>
      <c r="H90" s="23" t="s">
        <v>8</v>
      </c>
      <c r="I90" s="2" t="s">
        <v>8</v>
      </c>
      <c r="J90" s="2" t="s">
        <v>8</v>
      </c>
      <c r="K90" s="2" t="s">
        <v>8</v>
      </c>
      <c r="L90" s="2" t="s">
        <v>8</v>
      </c>
      <c r="M90" s="2" t="s">
        <v>8</v>
      </c>
      <c r="N90" s="2" t="s">
        <v>8</v>
      </c>
      <c r="O90" s="23" t="s">
        <v>8</v>
      </c>
      <c r="P90" s="2" t="s">
        <v>8</v>
      </c>
      <c r="Q90" s="2" t="s">
        <v>8</v>
      </c>
      <c r="R90" s="2" t="s">
        <v>8</v>
      </c>
      <c r="S90" s="2" t="s">
        <v>8</v>
      </c>
      <c r="T90" s="2" t="s">
        <v>8</v>
      </c>
      <c r="U90" s="2" t="s">
        <v>8</v>
      </c>
      <c r="V90" s="23" t="s">
        <v>8</v>
      </c>
      <c r="W90" s="7" t="s">
        <v>8</v>
      </c>
      <c r="X90" s="7" t="s">
        <v>8</v>
      </c>
    </row>
    <row r="91" spans="1:24" ht="45" customHeight="1" x14ac:dyDescent="0.25">
      <c r="A91" t="str">
        <f t="shared" si="2"/>
        <v xml:space="preserve">   </v>
      </c>
      <c r="B91" s="2" t="s">
        <v>8</v>
      </c>
      <c r="C91" s="2" t="s">
        <v>8</v>
      </c>
      <c r="D91" s="2" t="s">
        <v>8</v>
      </c>
      <c r="E91" s="2" t="s">
        <v>8</v>
      </c>
      <c r="F91" s="2" t="s">
        <v>8</v>
      </c>
      <c r="G91" s="2" t="s">
        <v>8</v>
      </c>
      <c r="H91" s="23" t="s">
        <v>8</v>
      </c>
      <c r="I91" s="2" t="s">
        <v>8</v>
      </c>
      <c r="J91" s="2" t="s">
        <v>8</v>
      </c>
      <c r="K91" s="2" t="s">
        <v>8</v>
      </c>
      <c r="L91" s="2" t="s">
        <v>8</v>
      </c>
      <c r="M91" s="2" t="s">
        <v>8</v>
      </c>
      <c r="N91" s="2" t="s">
        <v>8</v>
      </c>
      <c r="O91" s="23" t="s">
        <v>8</v>
      </c>
      <c r="P91" s="2" t="s">
        <v>8</v>
      </c>
      <c r="Q91" s="2" t="s">
        <v>8</v>
      </c>
      <c r="R91" s="2" t="s">
        <v>8</v>
      </c>
      <c r="S91" s="2" t="s">
        <v>8</v>
      </c>
      <c r="T91" s="2" t="s">
        <v>8</v>
      </c>
      <c r="U91" s="2" t="s">
        <v>8</v>
      </c>
      <c r="V91" s="23" t="s">
        <v>8</v>
      </c>
      <c r="W91" s="7" t="s">
        <v>8</v>
      </c>
      <c r="X91" s="7" t="s">
        <v>8</v>
      </c>
    </row>
    <row r="92" spans="1:24" ht="45" customHeight="1" x14ac:dyDescent="0.25">
      <c r="A92" t="str">
        <f t="shared" si="2"/>
        <v xml:space="preserve">   </v>
      </c>
      <c r="B92" s="2" t="s">
        <v>8</v>
      </c>
      <c r="C92" s="2" t="s">
        <v>8</v>
      </c>
      <c r="D92" s="2" t="s">
        <v>8</v>
      </c>
      <c r="E92" s="2" t="s">
        <v>8</v>
      </c>
      <c r="F92" s="2" t="s">
        <v>8</v>
      </c>
      <c r="G92" s="2" t="s">
        <v>8</v>
      </c>
      <c r="H92" s="23" t="s">
        <v>8</v>
      </c>
      <c r="I92" s="2" t="s">
        <v>8</v>
      </c>
      <c r="J92" s="2" t="s">
        <v>8</v>
      </c>
      <c r="K92" s="2" t="s">
        <v>8</v>
      </c>
      <c r="L92" s="2" t="s">
        <v>8</v>
      </c>
      <c r="M92" s="2" t="s">
        <v>8</v>
      </c>
      <c r="N92" s="2" t="s">
        <v>8</v>
      </c>
      <c r="O92" s="23" t="s">
        <v>8</v>
      </c>
      <c r="P92" s="2" t="s">
        <v>8</v>
      </c>
      <c r="Q92" s="2" t="s">
        <v>8</v>
      </c>
      <c r="R92" s="2" t="s">
        <v>8</v>
      </c>
      <c r="S92" s="2" t="s">
        <v>8</v>
      </c>
      <c r="T92" s="2" t="s">
        <v>8</v>
      </c>
      <c r="U92" s="2" t="s">
        <v>8</v>
      </c>
      <c r="V92" s="23" t="s">
        <v>8</v>
      </c>
      <c r="W92" s="7" t="s">
        <v>8</v>
      </c>
      <c r="X92" s="7" t="s">
        <v>8</v>
      </c>
    </row>
    <row r="93" spans="1:24" ht="45" customHeight="1" x14ac:dyDescent="0.25">
      <c r="A93" t="str">
        <f t="shared" si="2"/>
        <v xml:space="preserve">   </v>
      </c>
      <c r="B93" s="2" t="s">
        <v>8</v>
      </c>
      <c r="C93" s="2" t="s">
        <v>8</v>
      </c>
      <c r="D93" s="2" t="s">
        <v>8</v>
      </c>
      <c r="E93" s="2" t="s">
        <v>8</v>
      </c>
      <c r="F93" s="2" t="s">
        <v>8</v>
      </c>
      <c r="G93" s="2" t="s">
        <v>8</v>
      </c>
      <c r="H93" s="23" t="s">
        <v>8</v>
      </c>
      <c r="I93" s="2" t="s">
        <v>8</v>
      </c>
      <c r="J93" s="2" t="s">
        <v>8</v>
      </c>
      <c r="K93" s="2" t="s">
        <v>8</v>
      </c>
      <c r="L93" s="2" t="s">
        <v>8</v>
      </c>
      <c r="M93" s="2" t="s">
        <v>8</v>
      </c>
      <c r="N93" s="2" t="s">
        <v>8</v>
      </c>
      <c r="O93" s="23" t="s">
        <v>8</v>
      </c>
      <c r="P93" s="2" t="s">
        <v>8</v>
      </c>
      <c r="Q93" s="2" t="s">
        <v>8</v>
      </c>
      <c r="R93" s="2" t="s">
        <v>8</v>
      </c>
      <c r="S93" s="2" t="s">
        <v>8</v>
      </c>
      <c r="T93" s="2" t="s">
        <v>8</v>
      </c>
      <c r="U93" s="2" t="s">
        <v>8</v>
      </c>
      <c r="V93" s="23" t="s">
        <v>8</v>
      </c>
      <c r="W93" s="7" t="s">
        <v>8</v>
      </c>
      <c r="X93" s="7" t="s">
        <v>8</v>
      </c>
    </row>
    <row r="94" spans="1:24" ht="45" customHeight="1" x14ac:dyDescent="0.25">
      <c r="A94" t="str">
        <f t="shared" si="2"/>
        <v xml:space="preserve">   </v>
      </c>
      <c r="B94" s="2" t="s">
        <v>8</v>
      </c>
      <c r="C94" s="2" t="s">
        <v>8</v>
      </c>
      <c r="D94" s="2" t="s">
        <v>8</v>
      </c>
      <c r="E94" s="2" t="s">
        <v>8</v>
      </c>
      <c r="F94" s="2" t="s">
        <v>8</v>
      </c>
      <c r="G94" s="2" t="s">
        <v>8</v>
      </c>
      <c r="H94" s="23" t="s">
        <v>8</v>
      </c>
      <c r="I94" s="2" t="s">
        <v>8</v>
      </c>
      <c r="J94" s="2" t="s">
        <v>8</v>
      </c>
      <c r="K94" s="2" t="s">
        <v>8</v>
      </c>
      <c r="L94" s="2" t="s">
        <v>8</v>
      </c>
      <c r="M94" s="2" t="s">
        <v>8</v>
      </c>
      <c r="N94" s="2" t="s">
        <v>8</v>
      </c>
      <c r="O94" s="23" t="s">
        <v>8</v>
      </c>
      <c r="P94" s="2" t="s">
        <v>8</v>
      </c>
      <c r="Q94" s="2" t="s">
        <v>8</v>
      </c>
      <c r="R94" s="2" t="s">
        <v>8</v>
      </c>
      <c r="S94" s="2" t="s">
        <v>8</v>
      </c>
      <c r="T94" s="2" t="s">
        <v>8</v>
      </c>
      <c r="U94" s="2" t="s">
        <v>8</v>
      </c>
      <c r="V94" s="23" t="s">
        <v>8</v>
      </c>
      <c r="W94" s="7" t="s">
        <v>8</v>
      </c>
      <c r="X94" s="7" t="s">
        <v>8</v>
      </c>
    </row>
    <row r="95" spans="1:24" ht="45" customHeight="1" x14ac:dyDescent="0.25">
      <c r="A95" t="str">
        <f t="shared" si="2"/>
        <v xml:space="preserve">   </v>
      </c>
      <c r="B95" s="2" t="s">
        <v>8</v>
      </c>
      <c r="C95" s="2" t="s">
        <v>8</v>
      </c>
      <c r="D95" s="2" t="s">
        <v>8</v>
      </c>
      <c r="E95" s="2" t="s">
        <v>8</v>
      </c>
      <c r="F95" s="2" t="s">
        <v>8</v>
      </c>
      <c r="G95" s="2" t="s">
        <v>8</v>
      </c>
      <c r="H95" s="23" t="s">
        <v>8</v>
      </c>
      <c r="I95" s="2" t="s">
        <v>8</v>
      </c>
      <c r="J95" s="2" t="s">
        <v>8</v>
      </c>
      <c r="K95" s="2" t="s">
        <v>8</v>
      </c>
      <c r="L95" s="2" t="s">
        <v>8</v>
      </c>
      <c r="M95" s="2" t="s">
        <v>8</v>
      </c>
      <c r="N95" s="2" t="s">
        <v>8</v>
      </c>
      <c r="O95" s="23" t="s">
        <v>8</v>
      </c>
      <c r="P95" s="2" t="s">
        <v>8</v>
      </c>
      <c r="Q95" s="2" t="s">
        <v>8</v>
      </c>
      <c r="R95" s="2" t="s">
        <v>8</v>
      </c>
      <c r="S95" s="2" t="s">
        <v>8</v>
      </c>
      <c r="T95" s="2" t="s">
        <v>8</v>
      </c>
      <c r="U95" s="2" t="s">
        <v>8</v>
      </c>
      <c r="V95" s="23" t="s">
        <v>8</v>
      </c>
      <c r="W95" s="7" t="s">
        <v>8</v>
      </c>
      <c r="X95" s="7" t="s">
        <v>8</v>
      </c>
    </row>
    <row r="96" spans="1:24" ht="45" customHeight="1" x14ac:dyDescent="0.25">
      <c r="A96" t="str">
        <f t="shared" si="2"/>
        <v xml:space="preserve">   </v>
      </c>
      <c r="B96" s="2" t="s">
        <v>8</v>
      </c>
      <c r="C96" s="2" t="s">
        <v>8</v>
      </c>
      <c r="D96" s="2" t="s">
        <v>8</v>
      </c>
      <c r="E96" s="2" t="s">
        <v>8</v>
      </c>
      <c r="F96" s="2" t="s">
        <v>8</v>
      </c>
      <c r="G96" s="2" t="s">
        <v>8</v>
      </c>
      <c r="H96" s="23" t="s">
        <v>8</v>
      </c>
      <c r="I96" s="2" t="s">
        <v>8</v>
      </c>
      <c r="J96" s="2" t="s">
        <v>8</v>
      </c>
      <c r="K96" s="2" t="s">
        <v>8</v>
      </c>
      <c r="L96" s="2" t="s">
        <v>8</v>
      </c>
      <c r="M96" s="2" t="s">
        <v>8</v>
      </c>
      <c r="N96" s="2" t="s">
        <v>8</v>
      </c>
      <c r="O96" s="23" t="s">
        <v>8</v>
      </c>
      <c r="P96" s="2" t="s">
        <v>8</v>
      </c>
      <c r="Q96" s="2" t="s">
        <v>8</v>
      </c>
      <c r="R96" s="2" t="s">
        <v>8</v>
      </c>
      <c r="S96" s="2" t="s">
        <v>8</v>
      </c>
      <c r="T96" s="2" t="s">
        <v>8</v>
      </c>
      <c r="U96" s="2" t="s">
        <v>8</v>
      </c>
      <c r="V96" s="23" t="s">
        <v>8</v>
      </c>
      <c r="W96" s="7" t="s">
        <v>8</v>
      </c>
      <c r="X96" s="7" t="s">
        <v>8</v>
      </c>
    </row>
    <row r="97" spans="1:24" ht="45" customHeight="1" x14ac:dyDescent="0.25">
      <c r="A97" t="str">
        <f t="shared" si="2"/>
        <v xml:space="preserve">   </v>
      </c>
      <c r="B97" s="2" t="s">
        <v>8</v>
      </c>
      <c r="C97" s="2" t="s">
        <v>8</v>
      </c>
      <c r="D97" s="2" t="s">
        <v>8</v>
      </c>
      <c r="E97" s="2" t="s">
        <v>8</v>
      </c>
      <c r="F97" s="2" t="s">
        <v>8</v>
      </c>
      <c r="G97" s="2" t="s">
        <v>8</v>
      </c>
      <c r="H97" s="23" t="s">
        <v>8</v>
      </c>
      <c r="I97" s="2" t="s">
        <v>8</v>
      </c>
      <c r="J97" s="2" t="s">
        <v>8</v>
      </c>
      <c r="K97" s="2" t="s">
        <v>8</v>
      </c>
      <c r="L97" s="2" t="s">
        <v>8</v>
      </c>
      <c r="M97" s="2" t="s">
        <v>8</v>
      </c>
      <c r="N97" s="2" t="s">
        <v>8</v>
      </c>
      <c r="O97" s="23" t="s">
        <v>8</v>
      </c>
      <c r="P97" s="2" t="s">
        <v>8</v>
      </c>
      <c r="Q97" s="2" t="s">
        <v>8</v>
      </c>
      <c r="R97" s="2" t="s">
        <v>8</v>
      </c>
      <c r="S97" s="2" t="s">
        <v>8</v>
      </c>
      <c r="T97" s="2" t="s">
        <v>8</v>
      </c>
      <c r="U97" s="2" t="s">
        <v>8</v>
      </c>
      <c r="V97" s="23" t="s">
        <v>8</v>
      </c>
      <c r="W97" s="7" t="s">
        <v>8</v>
      </c>
      <c r="X97" s="7" t="s">
        <v>8</v>
      </c>
    </row>
    <row r="98" spans="1:24" ht="45" customHeight="1" x14ac:dyDescent="0.25">
      <c r="A98" t="str">
        <f t="shared" si="2"/>
        <v xml:space="preserve">   </v>
      </c>
      <c r="B98" s="2" t="s">
        <v>8</v>
      </c>
      <c r="C98" s="2" t="s">
        <v>8</v>
      </c>
      <c r="D98" s="2" t="s">
        <v>8</v>
      </c>
      <c r="E98" s="2" t="s">
        <v>8</v>
      </c>
      <c r="F98" s="2" t="s">
        <v>8</v>
      </c>
      <c r="G98" s="2" t="s">
        <v>8</v>
      </c>
      <c r="H98" s="23" t="s">
        <v>8</v>
      </c>
      <c r="I98" s="2" t="s">
        <v>8</v>
      </c>
      <c r="J98" s="2" t="s">
        <v>8</v>
      </c>
      <c r="K98" s="2" t="s">
        <v>8</v>
      </c>
      <c r="L98" s="2" t="s">
        <v>8</v>
      </c>
      <c r="M98" s="2" t="s">
        <v>8</v>
      </c>
      <c r="N98" s="2" t="s">
        <v>8</v>
      </c>
      <c r="O98" s="23" t="s">
        <v>8</v>
      </c>
      <c r="P98" s="2" t="s">
        <v>8</v>
      </c>
      <c r="Q98" s="2" t="s">
        <v>8</v>
      </c>
      <c r="R98" s="2" t="s">
        <v>8</v>
      </c>
      <c r="S98" s="2" t="s">
        <v>8</v>
      </c>
      <c r="T98" s="2" t="s">
        <v>8</v>
      </c>
      <c r="U98" s="2" t="s">
        <v>8</v>
      </c>
      <c r="V98" s="23" t="s">
        <v>8</v>
      </c>
      <c r="W98" s="7" t="s">
        <v>8</v>
      </c>
      <c r="X98" s="7" t="s">
        <v>8</v>
      </c>
    </row>
    <row r="99" spans="1:24" ht="45" customHeight="1" x14ac:dyDescent="0.25">
      <c r="A99" t="str">
        <f t="shared" si="2"/>
        <v xml:space="preserve">   </v>
      </c>
      <c r="B99" s="2" t="s">
        <v>8</v>
      </c>
      <c r="C99" s="2" t="s">
        <v>8</v>
      </c>
      <c r="D99" s="2" t="s">
        <v>8</v>
      </c>
      <c r="E99" s="2" t="s">
        <v>8</v>
      </c>
      <c r="F99" s="2" t="s">
        <v>8</v>
      </c>
      <c r="G99" s="2" t="s">
        <v>8</v>
      </c>
      <c r="H99" s="23" t="s">
        <v>8</v>
      </c>
      <c r="I99" s="2" t="s">
        <v>8</v>
      </c>
      <c r="J99" s="2" t="s">
        <v>8</v>
      </c>
      <c r="K99" s="2" t="s">
        <v>8</v>
      </c>
      <c r="L99" s="2" t="s">
        <v>8</v>
      </c>
      <c r="M99" s="2" t="s">
        <v>8</v>
      </c>
      <c r="N99" s="2" t="s">
        <v>8</v>
      </c>
      <c r="O99" s="23" t="s">
        <v>8</v>
      </c>
      <c r="P99" s="2" t="s">
        <v>8</v>
      </c>
      <c r="Q99" s="2" t="s">
        <v>8</v>
      </c>
      <c r="R99" s="2" t="s">
        <v>8</v>
      </c>
      <c r="S99" s="2" t="s">
        <v>8</v>
      </c>
      <c r="T99" s="2" t="s">
        <v>8</v>
      </c>
      <c r="U99" s="2" t="s">
        <v>8</v>
      </c>
      <c r="V99" s="23" t="s">
        <v>8</v>
      </c>
      <c r="W99" s="7" t="s">
        <v>8</v>
      </c>
      <c r="X99" s="7" t="s">
        <v>8</v>
      </c>
    </row>
    <row r="100" spans="1:24" ht="45" customHeight="1" x14ac:dyDescent="0.25">
      <c r="A100" t="str">
        <f t="shared" si="2"/>
        <v xml:space="preserve">   </v>
      </c>
      <c r="B100" s="2" t="s">
        <v>8</v>
      </c>
      <c r="C100" s="2" t="s">
        <v>8</v>
      </c>
      <c r="D100" s="2" t="s">
        <v>8</v>
      </c>
      <c r="E100" s="2" t="s">
        <v>8</v>
      </c>
      <c r="F100" s="2" t="s">
        <v>8</v>
      </c>
      <c r="G100" s="2" t="s">
        <v>8</v>
      </c>
      <c r="H100" s="23" t="s">
        <v>8</v>
      </c>
      <c r="I100" s="2" t="s">
        <v>8</v>
      </c>
      <c r="J100" s="2" t="s">
        <v>8</v>
      </c>
      <c r="K100" s="2" t="s">
        <v>8</v>
      </c>
      <c r="L100" s="2" t="s">
        <v>8</v>
      </c>
      <c r="M100" s="2" t="s">
        <v>8</v>
      </c>
      <c r="N100" s="2" t="s">
        <v>8</v>
      </c>
      <c r="O100" s="23" t="s">
        <v>8</v>
      </c>
      <c r="P100" s="2" t="s">
        <v>8</v>
      </c>
      <c r="Q100" s="2" t="s">
        <v>8</v>
      </c>
      <c r="R100" s="2" t="s">
        <v>8</v>
      </c>
      <c r="S100" s="2" t="s">
        <v>8</v>
      </c>
      <c r="T100" s="2" t="s">
        <v>8</v>
      </c>
      <c r="U100" s="2" t="s">
        <v>8</v>
      </c>
      <c r="V100" s="23" t="s">
        <v>8</v>
      </c>
      <c r="W100" s="7" t="s">
        <v>8</v>
      </c>
      <c r="X100" s="7" t="s">
        <v>8</v>
      </c>
    </row>
    <row r="101" spans="1:24" ht="45" customHeight="1" x14ac:dyDescent="0.25">
      <c r="A101" t="str">
        <f t="shared" si="2"/>
        <v xml:space="preserve">   </v>
      </c>
      <c r="B101" s="2" t="s">
        <v>8</v>
      </c>
      <c r="C101" s="2" t="s">
        <v>8</v>
      </c>
      <c r="D101" s="2" t="s">
        <v>8</v>
      </c>
      <c r="E101" s="2" t="s">
        <v>8</v>
      </c>
      <c r="F101" s="2" t="s">
        <v>8</v>
      </c>
      <c r="G101" s="2" t="s">
        <v>8</v>
      </c>
      <c r="H101" s="23" t="s">
        <v>8</v>
      </c>
      <c r="I101" s="2" t="s">
        <v>8</v>
      </c>
      <c r="J101" s="2" t="s">
        <v>8</v>
      </c>
      <c r="K101" s="2" t="s">
        <v>8</v>
      </c>
      <c r="L101" s="2" t="s">
        <v>8</v>
      </c>
      <c r="M101" s="2" t="s">
        <v>8</v>
      </c>
      <c r="N101" s="2" t="s">
        <v>8</v>
      </c>
      <c r="O101" s="23" t="s">
        <v>8</v>
      </c>
      <c r="P101" s="2" t="s">
        <v>8</v>
      </c>
      <c r="Q101" s="2" t="s">
        <v>8</v>
      </c>
      <c r="R101" s="2" t="s">
        <v>8</v>
      </c>
      <c r="S101" s="2" t="s">
        <v>8</v>
      </c>
      <c r="T101" s="2" t="s">
        <v>8</v>
      </c>
      <c r="U101" s="2" t="s">
        <v>8</v>
      </c>
      <c r="V101" s="23" t="s">
        <v>8</v>
      </c>
      <c r="W101" s="7" t="s">
        <v>8</v>
      </c>
      <c r="X101" s="7" t="s">
        <v>8</v>
      </c>
    </row>
    <row r="102" spans="1:24" ht="45" customHeight="1" x14ac:dyDescent="0.25">
      <c r="A102" t="str">
        <f t="shared" ref="A102:A133" si="3">A101</f>
        <v xml:space="preserve">   </v>
      </c>
      <c r="B102" s="2" t="s">
        <v>8</v>
      </c>
      <c r="C102" s="2" t="s">
        <v>8</v>
      </c>
      <c r="D102" s="2" t="s">
        <v>8</v>
      </c>
      <c r="E102" s="2" t="s">
        <v>8</v>
      </c>
      <c r="F102" s="2" t="s">
        <v>8</v>
      </c>
      <c r="G102" s="2" t="s">
        <v>8</v>
      </c>
      <c r="H102" s="23" t="s">
        <v>8</v>
      </c>
      <c r="I102" s="2" t="s">
        <v>8</v>
      </c>
      <c r="J102" s="2" t="s">
        <v>8</v>
      </c>
      <c r="K102" s="2" t="s">
        <v>8</v>
      </c>
      <c r="L102" s="2" t="s">
        <v>8</v>
      </c>
      <c r="M102" s="2" t="s">
        <v>8</v>
      </c>
      <c r="N102" s="2" t="s">
        <v>8</v>
      </c>
      <c r="O102" s="23" t="s">
        <v>8</v>
      </c>
      <c r="P102" s="2" t="s">
        <v>8</v>
      </c>
      <c r="Q102" s="2" t="s">
        <v>8</v>
      </c>
      <c r="R102" s="2" t="s">
        <v>8</v>
      </c>
      <c r="S102" s="2" t="s">
        <v>8</v>
      </c>
      <c r="T102" s="2" t="s">
        <v>8</v>
      </c>
      <c r="U102" s="2" t="s">
        <v>8</v>
      </c>
      <c r="V102" s="23" t="s">
        <v>8</v>
      </c>
      <c r="W102" s="7" t="s">
        <v>8</v>
      </c>
      <c r="X102" s="7" t="s">
        <v>8</v>
      </c>
    </row>
    <row r="103" spans="1:24" ht="45" customHeight="1" x14ac:dyDescent="0.25">
      <c r="A103" t="str">
        <f t="shared" si="3"/>
        <v xml:space="preserve">   </v>
      </c>
      <c r="B103" s="2" t="s">
        <v>8</v>
      </c>
      <c r="C103" s="2" t="s">
        <v>8</v>
      </c>
      <c r="D103" s="2" t="s">
        <v>8</v>
      </c>
      <c r="E103" s="2" t="s">
        <v>8</v>
      </c>
      <c r="F103" s="2" t="s">
        <v>8</v>
      </c>
      <c r="G103" s="2" t="s">
        <v>8</v>
      </c>
      <c r="H103" s="23" t="s">
        <v>8</v>
      </c>
      <c r="I103" s="2" t="s">
        <v>8</v>
      </c>
      <c r="J103" s="2" t="s">
        <v>8</v>
      </c>
      <c r="K103" s="2" t="s">
        <v>8</v>
      </c>
      <c r="L103" s="2" t="s">
        <v>8</v>
      </c>
      <c r="M103" s="2" t="s">
        <v>8</v>
      </c>
      <c r="N103" s="2" t="s">
        <v>8</v>
      </c>
      <c r="O103" s="23" t="s">
        <v>8</v>
      </c>
      <c r="P103" s="2" t="s">
        <v>8</v>
      </c>
      <c r="Q103" s="2" t="s">
        <v>8</v>
      </c>
      <c r="R103" s="2" t="s">
        <v>8</v>
      </c>
      <c r="S103" s="2" t="s">
        <v>8</v>
      </c>
      <c r="T103" s="2" t="s">
        <v>8</v>
      </c>
      <c r="U103" s="2" t="s">
        <v>8</v>
      </c>
      <c r="V103" s="23" t="s">
        <v>8</v>
      </c>
      <c r="W103" s="7" t="s">
        <v>8</v>
      </c>
      <c r="X103" s="7" t="s">
        <v>8</v>
      </c>
    </row>
    <row r="104" spans="1:24" ht="45" customHeight="1" x14ac:dyDescent="0.25">
      <c r="A104" t="str">
        <f t="shared" si="3"/>
        <v xml:space="preserve">   </v>
      </c>
      <c r="B104" s="2" t="s">
        <v>8</v>
      </c>
      <c r="C104" s="2" t="s">
        <v>8</v>
      </c>
      <c r="D104" s="2" t="s">
        <v>8</v>
      </c>
      <c r="E104" s="2" t="s">
        <v>8</v>
      </c>
      <c r="F104" s="2" t="s">
        <v>8</v>
      </c>
      <c r="G104" s="2" t="s">
        <v>8</v>
      </c>
      <c r="H104" s="23" t="s">
        <v>8</v>
      </c>
      <c r="I104" s="2" t="s">
        <v>8</v>
      </c>
      <c r="J104" s="2" t="s">
        <v>8</v>
      </c>
      <c r="K104" s="2" t="s">
        <v>8</v>
      </c>
      <c r="L104" s="2" t="s">
        <v>8</v>
      </c>
      <c r="M104" s="2" t="s">
        <v>8</v>
      </c>
      <c r="N104" s="2" t="s">
        <v>8</v>
      </c>
      <c r="O104" s="23" t="s">
        <v>8</v>
      </c>
      <c r="P104" s="2" t="s">
        <v>8</v>
      </c>
      <c r="Q104" s="2" t="s">
        <v>8</v>
      </c>
      <c r="R104" s="2" t="s">
        <v>8</v>
      </c>
      <c r="S104" s="2" t="s">
        <v>8</v>
      </c>
      <c r="T104" s="2" t="s">
        <v>8</v>
      </c>
      <c r="U104" s="2" t="s">
        <v>8</v>
      </c>
      <c r="V104" s="23" t="s">
        <v>8</v>
      </c>
      <c r="W104" s="7" t="s">
        <v>8</v>
      </c>
      <c r="X104" s="7" t="s">
        <v>8</v>
      </c>
    </row>
    <row r="105" spans="1:24" ht="45" customHeight="1" x14ac:dyDescent="0.25">
      <c r="A105" t="str">
        <f t="shared" si="3"/>
        <v xml:space="preserve">   </v>
      </c>
      <c r="B105" s="2" t="s">
        <v>8</v>
      </c>
      <c r="C105" s="2" t="s">
        <v>8</v>
      </c>
      <c r="D105" s="2" t="s">
        <v>8</v>
      </c>
      <c r="E105" s="2" t="s">
        <v>8</v>
      </c>
      <c r="F105" s="2" t="s">
        <v>8</v>
      </c>
      <c r="G105" s="2" t="s">
        <v>8</v>
      </c>
      <c r="H105" s="23" t="s">
        <v>8</v>
      </c>
      <c r="I105" s="2" t="s">
        <v>8</v>
      </c>
      <c r="J105" s="2" t="s">
        <v>8</v>
      </c>
      <c r="K105" s="2" t="s">
        <v>8</v>
      </c>
      <c r="L105" s="2" t="s">
        <v>8</v>
      </c>
      <c r="M105" s="2" t="s">
        <v>8</v>
      </c>
      <c r="N105" s="2" t="s">
        <v>8</v>
      </c>
      <c r="O105" s="23" t="s">
        <v>8</v>
      </c>
      <c r="P105" s="2" t="s">
        <v>8</v>
      </c>
      <c r="Q105" s="2" t="s">
        <v>8</v>
      </c>
      <c r="R105" s="2" t="s">
        <v>8</v>
      </c>
      <c r="S105" s="2" t="s">
        <v>8</v>
      </c>
      <c r="T105" s="2" t="s">
        <v>8</v>
      </c>
      <c r="U105" s="2" t="s">
        <v>8</v>
      </c>
      <c r="V105" s="23" t="s">
        <v>8</v>
      </c>
      <c r="W105" s="7" t="s">
        <v>8</v>
      </c>
      <c r="X105" s="7" t="s">
        <v>8</v>
      </c>
    </row>
    <row r="106" spans="1:24" ht="45" customHeight="1" x14ac:dyDescent="0.25">
      <c r="A106" t="str">
        <f t="shared" si="3"/>
        <v xml:space="preserve">   </v>
      </c>
      <c r="B106" s="2" t="s">
        <v>8</v>
      </c>
      <c r="C106" s="2" t="s">
        <v>8</v>
      </c>
      <c r="D106" s="2" t="s">
        <v>8</v>
      </c>
      <c r="E106" s="2" t="s">
        <v>8</v>
      </c>
      <c r="F106" s="2" t="s">
        <v>8</v>
      </c>
      <c r="G106" s="2" t="s">
        <v>8</v>
      </c>
      <c r="H106" s="23" t="s">
        <v>8</v>
      </c>
      <c r="I106" s="2" t="s">
        <v>8</v>
      </c>
      <c r="J106" s="2" t="s">
        <v>8</v>
      </c>
      <c r="K106" s="2" t="s">
        <v>8</v>
      </c>
      <c r="L106" s="2" t="s">
        <v>8</v>
      </c>
      <c r="M106" s="2" t="s">
        <v>8</v>
      </c>
      <c r="N106" s="2" t="s">
        <v>8</v>
      </c>
      <c r="O106" s="23" t="s">
        <v>8</v>
      </c>
      <c r="P106" s="2" t="s">
        <v>8</v>
      </c>
      <c r="Q106" s="2" t="s">
        <v>8</v>
      </c>
      <c r="R106" s="2" t="s">
        <v>8</v>
      </c>
      <c r="S106" s="2" t="s">
        <v>8</v>
      </c>
      <c r="T106" s="2" t="s">
        <v>8</v>
      </c>
      <c r="U106" s="2" t="s">
        <v>8</v>
      </c>
      <c r="V106" s="23" t="s">
        <v>8</v>
      </c>
      <c r="W106" s="7" t="s">
        <v>8</v>
      </c>
      <c r="X106" s="7" t="s">
        <v>8</v>
      </c>
    </row>
    <row r="107" spans="1:24" ht="45" customHeight="1" x14ac:dyDescent="0.25">
      <c r="A107" t="str">
        <f t="shared" si="3"/>
        <v xml:space="preserve">   </v>
      </c>
      <c r="B107" s="2" t="s">
        <v>8</v>
      </c>
      <c r="C107" s="2" t="s">
        <v>8</v>
      </c>
      <c r="D107" s="2" t="s">
        <v>8</v>
      </c>
      <c r="E107" s="2" t="s">
        <v>8</v>
      </c>
      <c r="F107" s="2" t="s">
        <v>8</v>
      </c>
      <c r="G107" s="2" t="s">
        <v>8</v>
      </c>
      <c r="H107" s="23" t="s">
        <v>8</v>
      </c>
      <c r="I107" s="2" t="s">
        <v>8</v>
      </c>
      <c r="J107" s="2" t="s">
        <v>8</v>
      </c>
      <c r="K107" s="2" t="s">
        <v>8</v>
      </c>
      <c r="L107" s="2" t="s">
        <v>8</v>
      </c>
      <c r="M107" s="2" t="s">
        <v>8</v>
      </c>
      <c r="N107" s="2" t="s">
        <v>8</v>
      </c>
      <c r="O107" s="23" t="s">
        <v>8</v>
      </c>
      <c r="P107" s="2" t="s">
        <v>8</v>
      </c>
      <c r="Q107" s="2" t="s">
        <v>8</v>
      </c>
      <c r="R107" s="2" t="s">
        <v>8</v>
      </c>
      <c r="S107" s="2" t="s">
        <v>8</v>
      </c>
      <c r="T107" s="2" t="s">
        <v>8</v>
      </c>
      <c r="U107" s="2" t="s">
        <v>8</v>
      </c>
      <c r="V107" s="23" t="s">
        <v>8</v>
      </c>
      <c r="W107" s="7" t="s">
        <v>8</v>
      </c>
      <c r="X107" s="7" t="s">
        <v>8</v>
      </c>
    </row>
    <row r="108" spans="1:24" ht="45" customHeight="1" x14ac:dyDescent="0.25">
      <c r="A108" t="str">
        <f t="shared" si="3"/>
        <v xml:space="preserve">   </v>
      </c>
      <c r="B108" s="2" t="s">
        <v>8</v>
      </c>
      <c r="C108" s="2" t="s">
        <v>8</v>
      </c>
      <c r="D108" s="2" t="s">
        <v>8</v>
      </c>
      <c r="E108" s="2" t="s">
        <v>8</v>
      </c>
      <c r="F108" s="2" t="s">
        <v>8</v>
      </c>
      <c r="G108" s="2" t="s">
        <v>8</v>
      </c>
      <c r="H108" s="23" t="s">
        <v>8</v>
      </c>
      <c r="I108" s="2" t="s">
        <v>8</v>
      </c>
      <c r="J108" s="2" t="s">
        <v>8</v>
      </c>
      <c r="K108" s="2" t="s">
        <v>8</v>
      </c>
      <c r="L108" s="2" t="s">
        <v>8</v>
      </c>
      <c r="M108" s="2" t="s">
        <v>8</v>
      </c>
      <c r="N108" s="2" t="s">
        <v>8</v>
      </c>
      <c r="O108" s="23" t="s">
        <v>8</v>
      </c>
      <c r="P108" s="2" t="s">
        <v>8</v>
      </c>
      <c r="Q108" s="2" t="s">
        <v>8</v>
      </c>
      <c r="R108" s="2" t="s">
        <v>8</v>
      </c>
      <c r="S108" s="2" t="s">
        <v>8</v>
      </c>
      <c r="T108" s="2" t="s">
        <v>8</v>
      </c>
      <c r="U108" s="2" t="s">
        <v>8</v>
      </c>
      <c r="V108" s="23" t="s">
        <v>8</v>
      </c>
      <c r="W108" s="7" t="s">
        <v>8</v>
      </c>
      <c r="X108" s="7" t="s">
        <v>8</v>
      </c>
    </row>
    <row r="109" spans="1:24" ht="45" customHeight="1" x14ac:dyDescent="0.25">
      <c r="A109" t="str">
        <f t="shared" si="3"/>
        <v xml:space="preserve">   </v>
      </c>
      <c r="B109" s="2" t="s">
        <v>8</v>
      </c>
      <c r="C109" s="2" t="s">
        <v>8</v>
      </c>
      <c r="D109" s="2" t="s">
        <v>8</v>
      </c>
      <c r="E109" s="2" t="s">
        <v>8</v>
      </c>
      <c r="F109" s="2" t="s">
        <v>8</v>
      </c>
      <c r="G109" s="2" t="s">
        <v>8</v>
      </c>
      <c r="H109" s="23" t="s">
        <v>8</v>
      </c>
      <c r="I109" s="2" t="s">
        <v>8</v>
      </c>
      <c r="J109" s="2" t="s">
        <v>8</v>
      </c>
      <c r="K109" s="2" t="s">
        <v>8</v>
      </c>
      <c r="L109" s="2" t="s">
        <v>8</v>
      </c>
      <c r="M109" s="2" t="s">
        <v>8</v>
      </c>
      <c r="N109" s="2" t="s">
        <v>8</v>
      </c>
      <c r="O109" s="23" t="s">
        <v>8</v>
      </c>
      <c r="P109" s="2" t="s">
        <v>8</v>
      </c>
      <c r="Q109" s="2" t="s">
        <v>8</v>
      </c>
      <c r="R109" s="2" t="s">
        <v>8</v>
      </c>
      <c r="S109" s="2" t="s">
        <v>8</v>
      </c>
      <c r="T109" s="2" t="s">
        <v>8</v>
      </c>
      <c r="U109" s="2" t="s">
        <v>8</v>
      </c>
      <c r="V109" s="23" t="s">
        <v>8</v>
      </c>
      <c r="W109" s="7" t="s">
        <v>8</v>
      </c>
      <c r="X109" s="7" t="s">
        <v>8</v>
      </c>
    </row>
    <row r="110" spans="1:24" ht="45" customHeight="1" x14ac:dyDescent="0.25">
      <c r="A110" t="str">
        <f t="shared" si="3"/>
        <v xml:space="preserve">   </v>
      </c>
      <c r="B110" s="2" t="s">
        <v>8</v>
      </c>
      <c r="C110" s="2" t="s">
        <v>8</v>
      </c>
      <c r="D110" s="2" t="s">
        <v>8</v>
      </c>
      <c r="E110" s="2" t="s">
        <v>8</v>
      </c>
      <c r="F110" s="2" t="s">
        <v>8</v>
      </c>
      <c r="G110" s="2" t="s">
        <v>8</v>
      </c>
      <c r="H110" s="23" t="s">
        <v>8</v>
      </c>
      <c r="I110" s="2" t="s">
        <v>8</v>
      </c>
      <c r="J110" s="2" t="s">
        <v>8</v>
      </c>
      <c r="K110" s="2" t="s">
        <v>8</v>
      </c>
      <c r="L110" s="2" t="s">
        <v>8</v>
      </c>
      <c r="M110" s="2" t="s">
        <v>8</v>
      </c>
      <c r="N110" s="2" t="s">
        <v>8</v>
      </c>
      <c r="O110" s="23" t="s">
        <v>8</v>
      </c>
      <c r="P110" s="2" t="s">
        <v>8</v>
      </c>
      <c r="Q110" s="2" t="s">
        <v>8</v>
      </c>
      <c r="R110" s="2" t="s">
        <v>8</v>
      </c>
      <c r="S110" s="2" t="s">
        <v>8</v>
      </c>
      <c r="T110" s="2" t="s">
        <v>8</v>
      </c>
      <c r="U110" s="2" t="s">
        <v>8</v>
      </c>
      <c r="V110" s="23" t="s">
        <v>8</v>
      </c>
      <c r="W110" s="7" t="s">
        <v>8</v>
      </c>
      <c r="X110" s="7" t="s">
        <v>8</v>
      </c>
    </row>
    <row r="111" spans="1:24" ht="45" customHeight="1" x14ac:dyDescent="0.25">
      <c r="A111" t="str">
        <f t="shared" si="3"/>
        <v xml:space="preserve">   </v>
      </c>
      <c r="B111" s="2" t="s">
        <v>8</v>
      </c>
      <c r="C111" s="2" t="s">
        <v>8</v>
      </c>
      <c r="D111" s="2" t="s">
        <v>8</v>
      </c>
      <c r="E111" s="2" t="s">
        <v>8</v>
      </c>
      <c r="F111" s="2" t="s">
        <v>8</v>
      </c>
      <c r="G111" s="2" t="s">
        <v>8</v>
      </c>
      <c r="H111" s="23" t="s">
        <v>8</v>
      </c>
      <c r="I111" s="2" t="s">
        <v>8</v>
      </c>
      <c r="J111" s="2" t="s">
        <v>8</v>
      </c>
      <c r="K111" s="2" t="s">
        <v>8</v>
      </c>
      <c r="L111" s="2" t="s">
        <v>8</v>
      </c>
      <c r="M111" s="2" t="s">
        <v>8</v>
      </c>
      <c r="N111" s="2" t="s">
        <v>8</v>
      </c>
      <c r="O111" s="23" t="s">
        <v>8</v>
      </c>
      <c r="P111" s="2" t="s">
        <v>8</v>
      </c>
      <c r="Q111" s="2" t="s">
        <v>8</v>
      </c>
      <c r="R111" s="2" t="s">
        <v>8</v>
      </c>
      <c r="S111" s="2" t="s">
        <v>8</v>
      </c>
      <c r="T111" s="2" t="s">
        <v>8</v>
      </c>
      <c r="U111" s="2" t="s">
        <v>8</v>
      </c>
      <c r="V111" s="23" t="s">
        <v>8</v>
      </c>
      <c r="W111" s="7" t="s">
        <v>8</v>
      </c>
      <c r="X111" s="7" t="s">
        <v>8</v>
      </c>
    </row>
    <row r="112" spans="1:24" ht="45" customHeight="1" x14ac:dyDescent="0.25">
      <c r="A112" t="str">
        <f t="shared" si="3"/>
        <v xml:space="preserve">   </v>
      </c>
      <c r="B112" s="2" t="s">
        <v>8</v>
      </c>
      <c r="C112" s="2" t="s">
        <v>8</v>
      </c>
      <c r="D112" s="2" t="s">
        <v>8</v>
      </c>
      <c r="E112" s="2" t="s">
        <v>8</v>
      </c>
      <c r="F112" s="2" t="s">
        <v>8</v>
      </c>
      <c r="G112" s="2" t="s">
        <v>8</v>
      </c>
      <c r="H112" s="23" t="s">
        <v>8</v>
      </c>
      <c r="I112" s="2" t="s">
        <v>8</v>
      </c>
      <c r="J112" s="2" t="s">
        <v>8</v>
      </c>
      <c r="K112" s="2" t="s">
        <v>8</v>
      </c>
      <c r="L112" s="2" t="s">
        <v>8</v>
      </c>
      <c r="M112" s="2" t="s">
        <v>8</v>
      </c>
      <c r="N112" s="2" t="s">
        <v>8</v>
      </c>
      <c r="O112" s="23" t="s">
        <v>8</v>
      </c>
      <c r="P112" s="2" t="s">
        <v>8</v>
      </c>
      <c r="Q112" s="2" t="s">
        <v>8</v>
      </c>
      <c r="R112" s="2" t="s">
        <v>8</v>
      </c>
      <c r="S112" s="2" t="s">
        <v>8</v>
      </c>
      <c r="T112" s="2" t="s">
        <v>8</v>
      </c>
      <c r="U112" s="2" t="s">
        <v>8</v>
      </c>
      <c r="V112" s="23" t="s">
        <v>8</v>
      </c>
      <c r="W112" s="7" t="s">
        <v>8</v>
      </c>
      <c r="X112" s="7" t="s">
        <v>8</v>
      </c>
    </row>
    <row r="113" spans="1:24" ht="45" customHeight="1" x14ac:dyDescent="0.25">
      <c r="A113" t="str">
        <f t="shared" si="3"/>
        <v xml:space="preserve">   </v>
      </c>
      <c r="B113" s="2" t="s">
        <v>8</v>
      </c>
      <c r="C113" s="2" t="s">
        <v>8</v>
      </c>
      <c r="D113" s="2" t="s">
        <v>8</v>
      </c>
      <c r="E113" s="2" t="s">
        <v>8</v>
      </c>
      <c r="F113" s="2" t="s">
        <v>8</v>
      </c>
      <c r="G113" s="2" t="s">
        <v>8</v>
      </c>
      <c r="H113" s="23" t="s">
        <v>8</v>
      </c>
      <c r="I113" s="2" t="s">
        <v>8</v>
      </c>
      <c r="J113" s="2" t="s">
        <v>8</v>
      </c>
      <c r="K113" s="2" t="s">
        <v>8</v>
      </c>
      <c r="L113" s="2" t="s">
        <v>8</v>
      </c>
      <c r="M113" s="2" t="s">
        <v>8</v>
      </c>
      <c r="N113" s="2" t="s">
        <v>8</v>
      </c>
      <c r="O113" s="23" t="s">
        <v>8</v>
      </c>
      <c r="P113" s="2" t="s">
        <v>8</v>
      </c>
      <c r="Q113" s="2" t="s">
        <v>8</v>
      </c>
      <c r="R113" s="2" t="s">
        <v>8</v>
      </c>
      <c r="S113" s="2" t="s">
        <v>8</v>
      </c>
      <c r="T113" s="2" t="s">
        <v>8</v>
      </c>
      <c r="U113" s="2" t="s">
        <v>8</v>
      </c>
      <c r="V113" s="23" t="s">
        <v>8</v>
      </c>
      <c r="W113" s="7" t="s">
        <v>8</v>
      </c>
      <c r="X113" s="7" t="s">
        <v>8</v>
      </c>
    </row>
    <row r="114" spans="1:24" ht="45" customHeight="1" x14ac:dyDescent="0.25">
      <c r="A114" t="str">
        <f t="shared" si="3"/>
        <v xml:space="preserve">   </v>
      </c>
      <c r="B114" s="2" t="s">
        <v>8</v>
      </c>
      <c r="C114" s="2" t="s">
        <v>8</v>
      </c>
      <c r="D114" s="2" t="s">
        <v>8</v>
      </c>
      <c r="E114" s="2" t="s">
        <v>8</v>
      </c>
      <c r="F114" s="2" t="s">
        <v>8</v>
      </c>
      <c r="G114" s="2" t="s">
        <v>8</v>
      </c>
      <c r="H114" s="23" t="s">
        <v>8</v>
      </c>
      <c r="I114" s="2" t="s">
        <v>8</v>
      </c>
      <c r="J114" s="2" t="s">
        <v>8</v>
      </c>
      <c r="K114" s="2" t="s">
        <v>8</v>
      </c>
      <c r="L114" s="2" t="s">
        <v>8</v>
      </c>
      <c r="M114" s="2" t="s">
        <v>8</v>
      </c>
      <c r="N114" s="2" t="s">
        <v>8</v>
      </c>
      <c r="O114" s="23" t="s">
        <v>8</v>
      </c>
      <c r="P114" s="2" t="s">
        <v>8</v>
      </c>
      <c r="Q114" s="2" t="s">
        <v>8</v>
      </c>
      <c r="R114" s="2" t="s">
        <v>8</v>
      </c>
      <c r="S114" s="2" t="s">
        <v>8</v>
      </c>
      <c r="T114" s="2" t="s">
        <v>8</v>
      </c>
      <c r="U114" s="2" t="s">
        <v>8</v>
      </c>
      <c r="V114" s="23" t="s">
        <v>8</v>
      </c>
      <c r="W114" s="7" t="s">
        <v>8</v>
      </c>
      <c r="X114" s="7" t="s">
        <v>8</v>
      </c>
    </row>
    <row r="115" spans="1:24" ht="45" customHeight="1" x14ac:dyDescent="0.25">
      <c r="A115" t="str">
        <f t="shared" si="3"/>
        <v xml:space="preserve">   </v>
      </c>
      <c r="B115" s="2" t="s">
        <v>8</v>
      </c>
      <c r="C115" s="2" t="s">
        <v>8</v>
      </c>
      <c r="D115" s="2" t="s">
        <v>8</v>
      </c>
      <c r="E115" s="2" t="s">
        <v>8</v>
      </c>
      <c r="F115" s="2" t="s">
        <v>8</v>
      </c>
      <c r="G115" s="2" t="s">
        <v>8</v>
      </c>
      <c r="H115" s="23" t="s">
        <v>8</v>
      </c>
      <c r="I115" s="2" t="s">
        <v>8</v>
      </c>
      <c r="J115" s="2" t="s">
        <v>8</v>
      </c>
      <c r="K115" s="2" t="s">
        <v>8</v>
      </c>
      <c r="L115" s="2" t="s">
        <v>8</v>
      </c>
      <c r="M115" s="2" t="s">
        <v>8</v>
      </c>
      <c r="N115" s="2" t="s">
        <v>8</v>
      </c>
      <c r="O115" s="23" t="s">
        <v>8</v>
      </c>
      <c r="P115" s="2" t="s">
        <v>8</v>
      </c>
      <c r="Q115" s="2" t="s">
        <v>8</v>
      </c>
      <c r="R115" s="2" t="s">
        <v>8</v>
      </c>
      <c r="S115" s="2" t="s">
        <v>8</v>
      </c>
      <c r="T115" s="2" t="s">
        <v>8</v>
      </c>
      <c r="U115" s="2" t="s">
        <v>8</v>
      </c>
      <c r="V115" s="23" t="s">
        <v>8</v>
      </c>
      <c r="W115" s="7" t="s">
        <v>8</v>
      </c>
      <c r="X115" s="7" t="s">
        <v>8</v>
      </c>
    </row>
    <row r="116" spans="1:24" ht="45" customHeight="1" x14ac:dyDescent="0.25">
      <c r="A116" t="str">
        <f t="shared" si="3"/>
        <v xml:space="preserve">   </v>
      </c>
      <c r="B116" s="2" t="s">
        <v>8</v>
      </c>
      <c r="C116" s="2" t="s">
        <v>8</v>
      </c>
      <c r="D116" s="2" t="s">
        <v>8</v>
      </c>
      <c r="E116" s="2" t="s">
        <v>8</v>
      </c>
      <c r="F116" s="2" t="s">
        <v>8</v>
      </c>
      <c r="G116" s="2" t="s">
        <v>8</v>
      </c>
      <c r="H116" s="23" t="s">
        <v>8</v>
      </c>
      <c r="I116" s="2" t="s">
        <v>8</v>
      </c>
      <c r="J116" s="2" t="s">
        <v>8</v>
      </c>
      <c r="K116" s="2" t="s">
        <v>8</v>
      </c>
      <c r="L116" s="2" t="s">
        <v>8</v>
      </c>
      <c r="M116" s="2" t="s">
        <v>8</v>
      </c>
      <c r="N116" s="2" t="s">
        <v>8</v>
      </c>
      <c r="O116" s="23" t="s">
        <v>8</v>
      </c>
      <c r="P116" s="2" t="s">
        <v>8</v>
      </c>
      <c r="Q116" s="2" t="s">
        <v>8</v>
      </c>
      <c r="R116" s="2" t="s">
        <v>8</v>
      </c>
      <c r="S116" s="2" t="s">
        <v>8</v>
      </c>
      <c r="T116" s="2" t="s">
        <v>8</v>
      </c>
      <c r="U116" s="2" t="s">
        <v>8</v>
      </c>
      <c r="V116" s="23" t="s">
        <v>8</v>
      </c>
      <c r="W116" s="7" t="s">
        <v>8</v>
      </c>
      <c r="X116" s="7" t="s">
        <v>8</v>
      </c>
    </row>
    <row r="117" spans="1:24" ht="45" customHeight="1" x14ac:dyDescent="0.25">
      <c r="A117" t="str">
        <f t="shared" si="3"/>
        <v xml:space="preserve">   </v>
      </c>
      <c r="B117" s="2" t="s">
        <v>8</v>
      </c>
      <c r="C117" s="2" t="s">
        <v>8</v>
      </c>
      <c r="D117" s="2" t="s">
        <v>8</v>
      </c>
      <c r="E117" s="2" t="s">
        <v>8</v>
      </c>
      <c r="F117" s="2" t="s">
        <v>8</v>
      </c>
      <c r="G117" s="2" t="s">
        <v>8</v>
      </c>
      <c r="H117" s="23" t="s">
        <v>8</v>
      </c>
      <c r="I117" s="2" t="s">
        <v>8</v>
      </c>
      <c r="J117" s="2" t="s">
        <v>8</v>
      </c>
      <c r="K117" s="2" t="s">
        <v>8</v>
      </c>
      <c r="L117" s="2" t="s">
        <v>8</v>
      </c>
      <c r="M117" s="2" t="s">
        <v>8</v>
      </c>
      <c r="N117" s="2" t="s">
        <v>8</v>
      </c>
      <c r="O117" s="23" t="s">
        <v>8</v>
      </c>
      <c r="P117" s="2" t="s">
        <v>8</v>
      </c>
      <c r="Q117" s="2" t="s">
        <v>8</v>
      </c>
      <c r="R117" s="2" t="s">
        <v>8</v>
      </c>
      <c r="S117" s="2" t="s">
        <v>8</v>
      </c>
      <c r="T117" s="2" t="s">
        <v>8</v>
      </c>
      <c r="U117" s="2" t="s">
        <v>8</v>
      </c>
      <c r="V117" s="23" t="s">
        <v>8</v>
      </c>
      <c r="W117" s="7" t="s">
        <v>8</v>
      </c>
      <c r="X117" s="7" t="s">
        <v>8</v>
      </c>
    </row>
    <row r="118" spans="1:24" ht="45" customHeight="1" x14ac:dyDescent="0.25">
      <c r="A118" t="str">
        <f t="shared" si="3"/>
        <v xml:space="preserve">   </v>
      </c>
      <c r="B118" s="2" t="s">
        <v>8</v>
      </c>
      <c r="C118" s="2" t="s">
        <v>8</v>
      </c>
      <c r="D118" s="2" t="s">
        <v>8</v>
      </c>
      <c r="E118" s="2" t="s">
        <v>8</v>
      </c>
      <c r="F118" s="2" t="s">
        <v>8</v>
      </c>
      <c r="G118" s="2" t="s">
        <v>8</v>
      </c>
      <c r="H118" s="23" t="s">
        <v>8</v>
      </c>
      <c r="I118" s="2" t="s">
        <v>8</v>
      </c>
      <c r="J118" s="2" t="s">
        <v>8</v>
      </c>
      <c r="K118" s="2" t="s">
        <v>8</v>
      </c>
      <c r="L118" s="2" t="s">
        <v>8</v>
      </c>
      <c r="M118" s="2" t="s">
        <v>8</v>
      </c>
      <c r="N118" s="2" t="s">
        <v>8</v>
      </c>
      <c r="O118" s="23" t="s">
        <v>8</v>
      </c>
      <c r="P118" s="2" t="s">
        <v>8</v>
      </c>
      <c r="Q118" s="2" t="s">
        <v>8</v>
      </c>
      <c r="R118" s="2" t="s">
        <v>8</v>
      </c>
      <c r="S118" s="2" t="s">
        <v>8</v>
      </c>
      <c r="T118" s="2" t="s">
        <v>8</v>
      </c>
      <c r="U118" s="2" t="s">
        <v>8</v>
      </c>
      <c r="V118" s="23" t="s">
        <v>8</v>
      </c>
      <c r="W118" s="7" t="s">
        <v>8</v>
      </c>
      <c r="X118" s="7" t="s">
        <v>8</v>
      </c>
    </row>
    <row r="119" spans="1:24" ht="45" customHeight="1" x14ac:dyDescent="0.25">
      <c r="A119" t="str">
        <f t="shared" si="3"/>
        <v xml:space="preserve">   </v>
      </c>
      <c r="B119" s="2" t="s">
        <v>8</v>
      </c>
      <c r="C119" s="2" t="s">
        <v>8</v>
      </c>
      <c r="D119" s="2" t="s">
        <v>8</v>
      </c>
      <c r="E119" s="2" t="s">
        <v>8</v>
      </c>
      <c r="F119" s="2" t="s">
        <v>8</v>
      </c>
      <c r="G119" s="2" t="s">
        <v>8</v>
      </c>
      <c r="H119" s="23" t="s">
        <v>8</v>
      </c>
      <c r="I119" s="2" t="s">
        <v>8</v>
      </c>
      <c r="J119" s="2" t="s">
        <v>8</v>
      </c>
      <c r="K119" s="2" t="s">
        <v>8</v>
      </c>
      <c r="L119" s="2" t="s">
        <v>8</v>
      </c>
      <c r="M119" s="2" t="s">
        <v>8</v>
      </c>
      <c r="N119" s="2" t="s">
        <v>8</v>
      </c>
      <c r="O119" s="23" t="s">
        <v>8</v>
      </c>
      <c r="P119" s="2" t="s">
        <v>8</v>
      </c>
      <c r="Q119" s="2" t="s">
        <v>8</v>
      </c>
      <c r="R119" s="2" t="s">
        <v>8</v>
      </c>
      <c r="S119" s="2" t="s">
        <v>8</v>
      </c>
      <c r="T119" s="2" t="s">
        <v>8</v>
      </c>
      <c r="U119" s="2" t="s">
        <v>8</v>
      </c>
      <c r="V119" s="23" t="s">
        <v>8</v>
      </c>
      <c r="W119" s="7" t="s">
        <v>8</v>
      </c>
      <c r="X119" s="7" t="s">
        <v>8</v>
      </c>
    </row>
    <row r="120" spans="1:24" ht="45" customHeight="1" x14ac:dyDescent="0.25">
      <c r="A120" t="str">
        <f t="shared" si="3"/>
        <v xml:space="preserve">   </v>
      </c>
      <c r="B120" s="2" t="s">
        <v>8</v>
      </c>
      <c r="C120" s="2" t="s">
        <v>8</v>
      </c>
      <c r="D120" s="2" t="s">
        <v>8</v>
      </c>
      <c r="E120" s="2" t="s">
        <v>8</v>
      </c>
      <c r="F120" s="2" t="s">
        <v>8</v>
      </c>
      <c r="G120" s="2" t="s">
        <v>8</v>
      </c>
      <c r="H120" s="23" t="s">
        <v>8</v>
      </c>
      <c r="I120" s="2" t="s">
        <v>8</v>
      </c>
      <c r="J120" s="2" t="s">
        <v>8</v>
      </c>
      <c r="K120" s="2" t="s">
        <v>8</v>
      </c>
      <c r="L120" s="2" t="s">
        <v>8</v>
      </c>
      <c r="M120" s="2" t="s">
        <v>8</v>
      </c>
      <c r="N120" s="2" t="s">
        <v>8</v>
      </c>
      <c r="O120" s="23" t="s">
        <v>8</v>
      </c>
      <c r="P120" s="2" t="s">
        <v>8</v>
      </c>
      <c r="Q120" s="2" t="s">
        <v>8</v>
      </c>
      <c r="R120" s="2" t="s">
        <v>8</v>
      </c>
      <c r="S120" s="2" t="s">
        <v>8</v>
      </c>
      <c r="T120" s="2" t="s">
        <v>8</v>
      </c>
      <c r="U120" s="2" t="s">
        <v>8</v>
      </c>
      <c r="V120" s="23" t="s">
        <v>8</v>
      </c>
      <c r="W120" s="7" t="s">
        <v>8</v>
      </c>
      <c r="X120" s="7" t="s">
        <v>8</v>
      </c>
    </row>
    <row r="121" spans="1:24" ht="45" customHeight="1" x14ac:dyDescent="0.25">
      <c r="A121" t="str">
        <f t="shared" si="3"/>
        <v xml:space="preserve">   </v>
      </c>
      <c r="B121" s="2" t="s">
        <v>8</v>
      </c>
      <c r="C121" s="2" t="s">
        <v>8</v>
      </c>
      <c r="D121" s="2" t="s">
        <v>8</v>
      </c>
      <c r="E121" s="2" t="s">
        <v>8</v>
      </c>
      <c r="F121" s="2" t="s">
        <v>8</v>
      </c>
      <c r="G121" s="2" t="s">
        <v>8</v>
      </c>
      <c r="H121" s="23" t="s">
        <v>8</v>
      </c>
      <c r="I121" s="2" t="s">
        <v>8</v>
      </c>
      <c r="J121" s="2" t="s">
        <v>8</v>
      </c>
      <c r="K121" s="2" t="s">
        <v>8</v>
      </c>
      <c r="L121" s="2" t="s">
        <v>8</v>
      </c>
      <c r="M121" s="2" t="s">
        <v>8</v>
      </c>
      <c r="N121" s="2" t="s">
        <v>8</v>
      </c>
      <c r="O121" s="23" t="s">
        <v>8</v>
      </c>
      <c r="P121" s="2" t="s">
        <v>8</v>
      </c>
      <c r="Q121" s="2" t="s">
        <v>8</v>
      </c>
      <c r="R121" s="2" t="s">
        <v>8</v>
      </c>
      <c r="S121" s="2" t="s">
        <v>8</v>
      </c>
      <c r="T121" s="2" t="s">
        <v>8</v>
      </c>
      <c r="U121" s="2" t="s">
        <v>8</v>
      </c>
      <c r="V121" s="23" t="s">
        <v>8</v>
      </c>
      <c r="W121" s="7" t="s">
        <v>8</v>
      </c>
      <c r="X121" s="7" t="s">
        <v>8</v>
      </c>
    </row>
    <row r="122" spans="1:24" ht="45" customHeight="1" x14ac:dyDescent="0.25">
      <c r="A122" t="str">
        <f t="shared" si="3"/>
        <v xml:space="preserve">   </v>
      </c>
      <c r="B122" s="2" t="s">
        <v>8</v>
      </c>
      <c r="C122" s="2" t="s">
        <v>8</v>
      </c>
      <c r="D122" s="2" t="s">
        <v>8</v>
      </c>
      <c r="E122" s="2" t="s">
        <v>8</v>
      </c>
      <c r="F122" s="2" t="s">
        <v>8</v>
      </c>
      <c r="G122" s="2" t="s">
        <v>8</v>
      </c>
      <c r="H122" s="23" t="s">
        <v>8</v>
      </c>
      <c r="I122" s="2" t="s">
        <v>8</v>
      </c>
      <c r="J122" s="2" t="s">
        <v>8</v>
      </c>
      <c r="K122" s="2" t="s">
        <v>8</v>
      </c>
      <c r="L122" s="2" t="s">
        <v>8</v>
      </c>
      <c r="M122" s="2" t="s">
        <v>8</v>
      </c>
      <c r="N122" s="2" t="s">
        <v>8</v>
      </c>
      <c r="O122" s="23" t="s">
        <v>8</v>
      </c>
      <c r="P122" s="2" t="s">
        <v>8</v>
      </c>
      <c r="Q122" s="2" t="s">
        <v>8</v>
      </c>
      <c r="R122" s="2" t="s">
        <v>8</v>
      </c>
      <c r="S122" s="2" t="s">
        <v>8</v>
      </c>
      <c r="T122" s="2" t="s">
        <v>8</v>
      </c>
      <c r="U122" s="2" t="s">
        <v>8</v>
      </c>
      <c r="V122" s="23" t="s">
        <v>8</v>
      </c>
      <c r="W122" s="7" t="s">
        <v>8</v>
      </c>
      <c r="X122" s="7" t="s">
        <v>8</v>
      </c>
    </row>
    <row r="123" spans="1:24" ht="45" customHeight="1" x14ac:dyDescent="0.25">
      <c r="A123" t="str">
        <f t="shared" si="3"/>
        <v xml:space="preserve">   </v>
      </c>
      <c r="B123" s="2" t="s">
        <v>8</v>
      </c>
      <c r="C123" s="2" t="s">
        <v>8</v>
      </c>
      <c r="D123" s="2" t="s">
        <v>8</v>
      </c>
      <c r="E123" s="2" t="s">
        <v>8</v>
      </c>
      <c r="F123" s="2" t="s">
        <v>8</v>
      </c>
      <c r="G123" s="2" t="s">
        <v>8</v>
      </c>
      <c r="H123" s="23" t="s">
        <v>8</v>
      </c>
      <c r="I123" s="2" t="s">
        <v>8</v>
      </c>
      <c r="J123" s="2" t="s">
        <v>8</v>
      </c>
      <c r="K123" s="2" t="s">
        <v>8</v>
      </c>
      <c r="L123" s="2" t="s">
        <v>8</v>
      </c>
      <c r="M123" s="2" t="s">
        <v>8</v>
      </c>
      <c r="N123" s="2" t="s">
        <v>8</v>
      </c>
      <c r="O123" s="23" t="s">
        <v>8</v>
      </c>
      <c r="P123" s="2" t="s">
        <v>8</v>
      </c>
      <c r="Q123" s="2" t="s">
        <v>8</v>
      </c>
      <c r="R123" s="2" t="s">
        <v>8</v>
      </c>
      <c r="S123" s="2" t="s">
        <v>8</v>
      </c>
      <c r="T123" s="2" t="s">
        <v>8</v>
      </c>
      <c r="U123" s="2" t="s">
        <v>8</v>
      </c>
      <c r="V123" s="23" t="s">
        <v>8</v>
      </c>
      <c r="W123" s="7" t="s">
        <v>8</v>
      </c>
      <c r="X123" s="7" t="s">
        <v>8</v>
      </c>
    </row>
    <row r="124" spans="1:24" ht="45" customHeight="1" x14ac:dyDescent="0.25">
      <c r="A124" t="str">
        <f t="shared" si="3"/>
        <v xml:space="preserve">   </v>
      </c>
      <c r="B124" s="2" t="s">
        <v>8</v>
      </c>
      <c r="C124" s="2" t="s">
        <v>8</v>
      </c>
      <c r="D124" s="2" t="s">
        <v>8</v>
      </c>
      <c r="E124" s="2" t="s">
        <v>8</v>
      </c>
      <c r="F124" s="2" t="s">
        <v>8</v>
      </c>
      <c r="G124" s="2" t="s">
        <v>8</v>
      </c>
      <c r="H124" s="23" t="s">
        <v>8</v>
      </c>
      <c r="I124" s="2" t="s">
        <v>8</v>
      </c>
      <c r="J124" s="2" t="s">
        <v>8</v>
      </c>
      <c r="K124" s="2" t="s">
        <v>8</v>
      </c>
      <c r="L124" s="2" t="s">
        <v>8</v>
      </c>
      <c r="M124" s="2" t="s">
        <v>8</v>
      </c>
      <c r="N124" s="2" t="s">
        <v>8</v>
      </c>
      <c r="O124" s="23" t="s">
        <v>8</v>
      </c>
      <c r="P124" s="2" t="s">
        <v>8</v>
      </c>
      <c r="Q124" s="2" t="s">
        <v>8</v>
      </c>
      <c r="R124" s="2" t="s">
        <v>8</v>
      </c>
      <c r="S124" s="2" t="s">
        <v>8</v>
      </c>
      <c r="T124" s="2" t="s">
        <v>8</v>
      </c>
      <c r="U124" s="2" t="s">
        <v>8</v>
      </c>
      <c r="V124" s="23" t="s">
        <v>8</v>
      </c>
      <c r="W124" s="7" t="s">
        <v>8</v>
      </c>
      <c r="X124" s="7" t="s">
        <v>8</v>
      </c>
    </row>
    <row r="125" spans="1:24" ht="45" customHeight="1" x14ac:dyDescent="0.25">
      <c r="A125" t="str">
        <f t="shared" si="3"/>
        <v xml:space="preserve">   </v>
      </c>
      <c r="B125" s="2" t="s">
        <v>8</v>
      </c>
      <c r="C125" s="2" t="s">
        <v>8</v>
      </c>
      <c r="D125" s="2" t="s">
        <v>8</v>
      </c>
      <c r="E125" s="2" t="s">
        <v>8</v>
      </c>
      <c r="F125" s="2" t="s">
        <v>8</v>
      </c>
      <c r="G125" s="2" t="s">
        <v>8</v>
      </c>
      <c r="H125" s="23" t="s">
        <v>8</v>
      </c>
      <c r="I125" s="2" t="s">
        <v>8</v>
      </c>
      <c r="J125" s="2" t="s">
        <v>8</v>
      </c>
      <c r="K125" s="2" t="s">
        <v>8</v>
      </c>
      <c r="L125" s="2" t="s">
        <v>8</v>
      </c>
      <c r="M125" s="2" t="s">
        <v>8</v>
      </c>
      <c r="N125" s="2" t="s">
        <v>8</v>
      </c>
      <c r="O125" s="23" t="s">
        <v>8</v>
      </c>
      <c r="P125" s="2" t="s">
        <v>8</v>
      </c>
      <c r="Q125" s="2" t="s">
        <v>8</v>
      </c>
      <c r="R125" s="2" t="s">
        <v>8</v>
      </c>
      <c r="S125" s="2" t="s">
        <v>8</v>
      </c>
      <c r="T125" s="2" t="s">
        <v>8</v>
      </c>
      <c r="U125" s="2" t="s">
        <v>8</v>
      </c>
      <c r="V125" s="23" t="s">
        <v>8</v>
      </c>
      <c r="W125" s="7" t="s">
        <v>8</v>
      </c>
      <c r="X125" s="7" t="s">
        <v>8</v>
      </c>
    </row>
    <row r="126" spans="1:24" ht="45" customHeight="1" x14ac:dyDescent="0.25">
      <c r="A126" t="str">
        <f t="shared" si="3"/>
        <v xml:space="preserve">   </v>
      </c>
      <c r="B126" s="2" t="s">
        <v>8</v>
      </c>
      <c r="C126" s="2" t="s">
        <v>8</v>
      </c>
      <c r="D126" s="2" t="s">
        <v>8</v>
      </c>
      <c r="E126" s="2" t="s">
        <v>8</v>
      </c>
      <c r="F126" s="2" t="s">
        <v>8</v>
      </c>
      <c r="G126" s="2" t="s">
        <v>8</v>
      </c>
      <c r="H126" s="23" t="s">
        <v>8</v>
      </c>
      <c r="I126" s="2" t="s">
        <v>8</v>
      </c>
      <c r="J126" s="2" t="s">
        <v>8</v>
      </c>
      <c r="K126" s="2" t="s">
        <v>8</v>
      </c>
      <c r="L126" s="2" t="s">
        <v>8</v>
      </c>
      <c r="M126" s="2" t="s">
        <v>8</v>
      </c>
      <c r="N126" s="2" t="s">
        <v>8</v>
      </c>
      <c r="O126" s="23" t="s">
        <v>8</v>
      </c>
      <c r="P126" s="2" t="s">
        <v>8</v>
      </c>
      <c r="Q126" s="2" t="s">
        <v>8</v>
      </c>
      <c r="R126" s="2" t="s">
        <v>8</v>
      </c>
      <c r="S126" s="2" t="s">
        <v>8</v>
      </c>
      <c r="T126" s="2" t="s">
        <v>8</v>
      </c>
      <c r="U126" s="2" t="s">
        <v>8</v>
      </c>
      <c r="V126" s="23" t="s">
        <v>8</v>
      </c>
      <c r="W126" s="7" t="s">
        <v>8</v>
      </c>
      <c r="X126" s="7" t="s">
        <v>8</v>
      </c>
    </row>
    <row r="127" spans="1:24" ht="45" customHeight="1" x14ac:dyDescent="0.25">
      <c r="A127" t="str">
        <f t="shared" si="3"/>
        <v xml:space="preserve">   </v>
      </c>
      <c r="B127" s="2" t="s">
        <v>8</v>
      </c>
      <c r="C127" s="2" t="s">
        <v>8</v>
      </c>
      <c r="D127" s="2" t="s">
        <v>8</v>
      </c>
      <c r="E127" s="2" t="s">
        <v>8</v>
      </c>
      <c r="F127" s="2" t="s">
        <v>8</v>
      </c>
      <c r="G127" s="2" t="s">
        <v>8</v>
      </c>
      <c r="H127" s="23" t="s">
        <v>8</v>
      </c>
      <c r="I127" s="2" t="s">
        <v>8</v>
      </c>
      <c r="J127" s="2" t="s">
        <v>8</v>
      </c>
      <c r="K127" s="2" t="s">
        <v>8</v>
      </c>
      <c r="L127" s="2" t="s">
        <v>8</v>
      </c>
      <c r="M127" s="2" t="s">
        <v>8</v>
      </c>
      <c r="N127" s="2" t="s">
        <v>8</v>
      </c>
      <c r="O127" s="23" t="s">
        <v>8</v>
      </c>
      <c r="P127" s="2" t="s">
        <v>8</v>
      </c>
      <c r="Q127" s="2" t="s">
        <v>8</v>
      </c>
      <c r="R127" s="2" t="s">
        <v>8</v>
      </c>
      <c r="S127" s="2" t="s">
        <v>8</v>
      </c>
      <c r="T127" s="2" t="s">
        <v>8</v>
      </c>
      <c r="U127" s="2" t="s">
        <v>8</v>
      </c>
      <c r="V127" s="23" t="s">
        <v>8</v>
      </c>
      <c r="W127" s="7" t="s">
        <v>8</v>
      </c>
      <c r="X127" s="7" t="s">
        <v>8</v>
      </c>
    </row>
    <row r="128" spans="1:24" ht="45" customHeight="1" x14ac:dyDescent="0.25">
      <c r="A128" t="str">
        <f t="shared" si="3"/>
        <v xml:space="preserve">   </v>
      </c>
      <c r="B128" s="2" t="s">
        <v>8</v>
      </c>
      <c r="C128" s="2" t="s">
        <v>8</v>
      </c>
      <c r="D128" s="2" t="s">
        <v>8</v>
      </c>
      <c r="E128" s="2" t="s">
        <v>8</v>
      </c>
      <c r="F128" s="2" t="s">
        <v>8</v>
      </c>
      <c r="G128" s="2" t="s">
        <v>8</v>
      </c>
      <c r="H128" s="23" t="s">
        <v>8</v>
      </c>
      <c r="I128" s="2" t="s">
        <v>8</v>
      </c>
      <c r="J128" s="2" t="s">
        <v>8</v>
      </c>
      <c r="K128" s="2" t="s">
        <v>8</v>
      </c>
      <c r="L128" s="2" t="s">
        <v>8</v>
      </c>
      <c r="M128" s="2" t="s">
        <v>8</v>
      </c>
      <c r="N128" s="2" t="s">
        <v>8</v>
      </c>
      <c r="O128" s="23" t="s">
        <v>8</v>
      </c>
      <c r="P128" s="2" t="s">
        <v>8</v>
      </c>
      <c r="Q128" s="2" t="s">
        <v>8</v>
      </c>
      <c r="R128" s="2" t="s">
        <v>8</v>
      </c>
      <c r="S128" s="2" t="s">
        <v>8</v>
      </c>
      <c r="T128" s="2" t="s">
        <v>8</v>
      </c>
      <c r="U128" s="2" t="s">
        <v>8</v>
      </c>
      <c r="V128" s="23" t="s">
        <v>8</v>
      </c>
      <c r="W128" s="7" t="s">
        <v>8</v>
      </c>
      <c r="X128" s="7" t="s">
        <v>8</v>
      </c>
    </row>
    <row r="129" spans="1:24" ht="45" customHeight="1" x14ac:dyDescent="0.25">
      <c r="A129" t="str">
        <f t="shared" si="3"/>
        <v xml:space="preserve">   </v>
      </c>
      <c r="B129" s="2" t="s">
        <v>8</v>
      </c>
      <c r="C129" s="2" t="s">
        <v>8</v>
      </c>
      <c r="D129" s="2" t="s">
        <v>8</v>
      </c>
      <c r="E129" s="2" t="s">
        <v>8</v>
      </c>
      <c r="F129" s="2" t="s">
        <v>8</v>
      </c>
      <c r="G129" s="2" t="s">
        <v>8</v>
      </c>
      <c r="H129" s="23" t="s">
        <v>8</v>
      </c>
      <c r="I129" s="2" t="s">
        <v>8</v>
      </c>
      <c r="J129" s="2" t="s">
        <v>8</v>
      </c>
      <c r="K129" s="2" t="s">
        <v>8</v>
      </c>
      <c r="L129" s="2" t="s">
        <v>8</v>
      </c>
      <c r="M129" s="2" t="s">
        <v>8</v>
      </c>
      <c r="N129" s="2" t="s">
        <v>8</v>
      </c>
      <c r="O129" s="23" t="s">
        <v>8</v>
      </c>
      <c r="P129" s="2" t="s">
        <v>8</v>
      </c>
      <c r="Q129" s="2" t="s">
        <v>8</v>
      </c>
      <c r="R129" s="2" t="s">
        <v>8</v>
      </c>
      <c r="S129" s="2" t="s">
        <v>8</v>
      </c>
      <c r="T129" s="2" t="s">
        <v>8</v>
      </c>
      <c r="U129" s="2" t="s">
        <v>8</v>
      </c>
      <c r="V129" s="23" t="s">
        <v>8</v>
      </c>
      <c r="W129" s="7" t="s">
        <v>8</v>
      </c>
      <c r="X129" s="7" t="s">
        <v>8</v>
      </c>
    </row>
    <row r="130" spans="1:24" ht="45" customHeight="1" x14ac:dyDescent="0.25">
      <c r="A130" t="str">
        <f t="shared" si="3"/>
        <v xml:space="preserve">   </v>
      </c>
      <c r="B130" s="2" t="s">
        <v>8</v>
      </c>
      <c r="C130" s="2" t="s">
        <v>8</v>
      </c>
      <c r="D130" s="2" t="s">
        <v>8</v>
      </c>
      <c r="E130" s="2" t="s">
        <v>8</v>
      </c>
      <c r="F130" s="2" t="s">
        <v>8</v>
      </c>
      <c r="G130" s="2" t="s">
        <v>8</v>
      </c>
      <c r="H130" s="23" t="s">
        <v>8</v>
      </c>
      <c r="I130" s="2" t="s">
        <v>8</v>
      </c>
      <c r="J130" s="2" t="s">
        <v>8</v>
      </c>
      <c r="K130" s="2" t="s">
        <v>8</v>
      </c>
      <c r="L130" s="2" t="s">
        <v>8</v>
      </c>
      <c r="M130" s="2" t="s">
        <v>8</v>
      </c>
      <c r="N130" s="2" t="s">
        <v>8</v>
      </c>
      <c r="O130" s="23" t="s">
        <v>8</v>
      </c>
      <c r="P130" s="2" t="s">
        <v>8</v>
      </c>
      <c r="Q130" s="2" t="s">
        <v>8</v>
      </c>
      <c r="R130" s="2" t="s">
        <v>8</v>
      </c>
      <c r="S130" s="2" t="s">
        <v>8</v>
      </c>
      <c r="T130" s="2" t="s">
        <v>8</v>
      </c>
      <c r="U130" s="2" t="s">
        <v>8</v>
      </c>
      <c r="V130" s="23" t="s">
        <v>8</v>
      </c>
      <c r="W130" s="7" t="s">
        <v>8</v>
      </c>
      <c r="X130" s="7" t="s">
        <v>8</v>
      </c>
    </row>
    <row r="131" spans="1:24" ht="45" customHeight="1" x14ac:dyDescent="0.25">
      <c r="A131" t="str">
        <f t="shared" si="3"/>
        <v xml:space="preserve">   </v>
      </c>
      <c r="B131" s="2" t="s">
        <v>8</v>
      </c>
      <c r="C131" s="2" t="s">
        <v>8</v>
      </c>
      <c r="D131" s="2" t="s">
        <v>8</v>
      </c>
      <c r="E131" s="2" t="s">
        <v>8</v>
      </c>
      <c r="F131" s="2" t="s">
        <v>8</v>
      </c>
      <c r="G131" s="2" t="s">
        <v>8</v>
      </c>
      <c r="H131" s="23" t="s">
        <v>8</v>
      </c>
      <c r="I131" s="2" t="s">
        <v>8</v>
      </c>
      <c r="J131" s="2" t="s">
        <v>8</v>
      </c>
      <c r="K131" s="2" t="s">
        <v>8</v>
      </c>
      <c r="L131" s="2" t="s">
        <v>8</v>
      </c>
      <c r="M131" s="2" t="s">
        <v>8</v>
      </c>
      <c r="N131" s="2" t="s">
        <v>8</v>
      </c>
      <c r="O131" s="23" t="s">
        <v>8</v>
      </c>
      <c r="P131" s="2" t="s">
        <v>8</v>
      </c>
      <c r="Q131" s="2" t="s">
        <v>8</v>
      </c>
      <c r="R131" s="2" t="s">
        <v>8</v>
      </c>
      <c r="S131" s="2" t="s">
        <v>8</v>
      </c>
      <c r="T131" s="2" t="s">
        <v>8</v>
      </c>
      <c r="U131" s="2" t="s">
        <v>8</v>
      </c>
      <c r="V131" s="23" t="s">
        <v>8</v>
      </c>
      <c r="W131" s="7" t="s">
        <v>8</v>
      </c>
      <c r="X131" s="7" t="s">
        <v>8</v>
      </c>
    </row>
    <row r="132" spans="1:24" ht="45" customHeight="1" x14ac:dyDescent="0.25">
      <c r="A132" t="str">
        <f t="shared" si="3"/>
        <v xml:space="preserve">   </v>
      </c>
      <c r="B132" s="2" t="s">
        <v>8</v>
      </c>
      <c r="C132" s="2" t="s">
        <v>8</v>
      </c>
      <c r="D132" s="2" t="s">
        <v>8</v>
      </c>
      <c r="E132" s="2" t="s">
        <v>8</v>
      </c>
      <c r="F132" s="2" t="s">
        <v>8</v>
      </c>
      <c r="G132" s="2" t="s">
        <v>8</v>
      </c>
      <c r="H132" s="23" t="s">
        <v>8</v>
      </c>
      <c r="I132" s="2" t="s">
        <v>8</v>
      </c>
      <c r="J132" s="2" t="s">
        <v>8</v>
      </c>
      <c r="K132" s="2" t="s">
        <v>8</v>
      </c>
      <c r="L132" s="2" t="s">
        <v>8</v>
      </c>
      <c r="M132" s="2" t="s">
        <v>8</v>
      </c>
      <c r="N132" s="2" t="s">
        <v>8</v>
      </c>
      <c r="O132" s="23" t="s">
        <v>8</v>
      </c>
      <c r="P132" s="2" t="s">
        <v>8</v>
      </c>
      <c r="Q132" s="2" t="s">
        <v>8</v>
      </c>
      <c r="R132" s="2" t="s">
        <v>8</v>
      </c>
      <c r="S132" s="2" t="s">
        <v>8</v>
      </c>
      <c r="T132" s="2" t="s">
        <v>8</v>
      </c>
      <c r="U132" s="2" t="s">
        <v>8</v>
      </c>
      <c r="V132" s="23" t="s">
        <v>8</v>
      </c>
      <c r="W132" s="7" t="s">
        <v>8</v>
      </c>
      <c r="X132" s="7" t="s">
        <v>8</v>
      </c>
    </row>
    <row r="133" spans="1:24" ht="45" customHeight="1" x14ac:dyDescent="0.25">
      <c r="A133" t="str">
        <f t="shared" si="3"/>
        <v xml:space="preserve">   </v>
      </c>
      <c r="B133" s="2" t="s">
        <v>8</v>
      </c>
      <c r="C133" s="2" t="s">
        <v>8</v>
      </c>
      <c r="D133" s="2" t="s">
        <v>8</v>
      </c>
      <c r="E133" s="2" t="s">
        <v>8</v>
      </c>
      <c r="F133" s="2" t="s">
        <v>8</v>
      </c>
      <c r="G133" s="2" t="s">
        <v>8</v>
      </c>
      <c r="H133" s="23" t="s">
        <v>8</v>
      </c>
      <c r="I133" s="2" t="s">
        <v>8</v>
      </c>
      <c r="J133" s="2" t="s">
        <v>8</v>
      </c>
      <c r="K133" s="2" t="s">
        <v>8</v>
      </c>
      <c r="L133" s="2" t="s">
        <v>8</v>
      </c>
      <c r="M133" s="2" t="s">
        <v>8</v>
      </c>
      <c r="N133" s="2" t="s">
        <v>8</v>
      </c>
      <c r="O133" s="23" t="s">
        <v>8</v>
      </c>
      <c r="P133" s="2" t="s">
        <v>8</v>
      </c>
      <c r="Q133" s="2" t="s">
        <v>8</v>
      </c>
      <c r="R133" s="2" t="s">
        <v>8</v>
      </c>
      <c r="S133" s="2" t="s">
        <v>8</v>
      </c>
      <c r="T133" s="2" t="s">
        <v>8</v>
      </c>
      <c r="U133" s="2" t="s">
        <v>8</v>
      </c>
      <c r="V133" s="23" t="s">
        <v>8</v>
      </c>
      <c r="W133" s="7" t="s">
        <v>8</v>
      </c>
      <c r="X133" s="7" t="s">
        <v>8</v>
      </c>
    </row>
    <row r="134" spans="1:24" ht="45" customHeight="1" x14ac:dyDescent="0.25">
      <c r="A134" t="str">
        <f t="shared" ref="A134:A165" si="4">A133</f>
        <v xml:space="preserve">   </v>
      </c>
      <c r="B134" s="2" t="s">
        <v>8</v>
      </c>
      <c r="C134" s="2" t="s">
        <v>8</v>
      </c>
      <c r="D134" s="2" t="s">
        <v>8</v>
      </c>
      <c r="E134" s="2" t="s">
        <v>8</v>
      </c>
      <c r="F134" s="2" t="s">
        <v>8</v>
      </c>
      <c r="G134" s="2" t="s">
        <v>8</v>
      </c>
      <c r="H134" s="23" t="s">
        <v>8</v>
      </c>
      <c r="I134" s="2" t="s">
        <v>8</v>
      </c>
      <c r="J134" s="2" t="s">
        <v>8</v>
      </c>
      <c r="K134" s="2" t="s">
        <v>8</v>
      </c>
      <c r="L134" s="2" t="s">
        <v>8</v>
      </c>
      <c r="M134" s="2" t="s">
        <v>8</v>
      </c>
      <c r="N134" s="2" t="s">
        <v>8</v>
      </c>
      <c r="O134" s="23" t="s">
        <v>8</v>
      </c>
      <c r="P134" s="2" t="s">
        <v>8</v>
      </c>
      <c r="Q134" s="2" t="s">
        <v>8</v>
      </c>
      <c r="R134" s="2" t="s">
        <v>8</v>
      </c>
      <c r="S134" s="2" t="s">
        <v>8</v>
      </c>
      <c r="T134" s="2" t="s">
        <v>8</v>
      </c>
      <c r="U134" s="2" t="s">
        <v>8</v>
      </c>
      <c r="V134" s="23" t="s">
        <v>8</v>
      </c>
      <c r="W134" s="7" t="s">
        <v>8</v>
      </c>
      <c r="X134" s="7" t="s">
        <v>8</v>
      </c>
    </row>
    <row r="135" spans="1:24" ht="45" customHeight="1" x14ac:dyDescent="0.25">
      <c r="A135" t="str">
        <f t="shared" si="4"/>
        <v xml:space="preserve">   </v>
      </c>
      <c r="B135" s="2" t="s">
        <v>8</v>
      </c>
      <c r="C135" s="2" t="s">
        <v>8</v>
      </c>
      <c r="D135" s="2" t="s">
        <v>8</v>
      </c>
      <c r="E135" s="2" t="s">
        <v>8</v>
      </c>
      <c r="F135" s="2" t="s">
        <v>8</v>
      </c>
      <c r="G135" s="2" t="s">
        <v>8</v>
      </c>
      <c r="H135" s="23" t="s">
        <v>8</v>
      </c>
      <c r="I135" s="2" t="s">
        <v>8</v>
      </c>
      <c r="J135" s="2" t="s">
        <v>8</v>
      </c>
      <c r="K135" s="2" t="s">
        <v>8</v>
      </c>
      <c r="L135" s="2" t="s">
        <v>8</v>
      </c>
      <c r="M135" s="2" t="s">
        <v>8</v>
      </c>
      <c r="N135" s="2" t="s">
        <v>8</v>
      </c>
      <c r="O135" s="23" t="s">
        <v>8</v>
      </c>
      <c r="P135" s="2" t="s">
        <v>8</v>
      </c>
      <c r="Q135" s="2" t="s">
        <v>8</v>
      </c>
      <c r="R135" s="2" t="s">
        <v>8</v>
      </c>
      <c r="S135" s="2" t="s">
        <v>8</v>
      </c>
      <c r="T135" s="2" t="s">
        <v>8</v>
      </c>
      <c r="U135" s="2" t="s">
        <v>8</v>
      </c>
      <c r="V135" s="23" t="s">
        <v>8</v>
      </c>
      <c r="W135" s="7" t="s">
        <v>8</v>
      </c>
      <c r="X135" s="7" t="s">
        <v>8</v>
      </c>
    </row>
    <row r="136" spans="1:24" ht="45" customHeight="1" x14ac:dyDescent="0.25">
      <c r="A136" t="str">
        <f t="shared" si="4"/>
        <v xml:space="preserve">   </v>
      </c>
      <c r="B136" s="2" t="s">
        <v>8</v>
      </c>
      <c r="C136" s="2" t="s">
        <v>8</v>
      </c>
      <c r="D136" s="2" t="s">
        <v>8</v>
      </c>
      <c r="E136" s="2" t="s">
        <v>8</v>
      </c>
      <c r="F136" s="2" t="s">
        <v>8</v>
      </c>
      <c r="G136" s="2" t="s">
        <v>8</v>
      </c>
      <c r="H136" s="23" t="s">
        <v>8</v>
      </c>
      <c r="I136" s="2" t="s">
        <v>8</v>
      </c>
      <c r="J136" s="2" t="s">
        <v>8</v>
      </c>
      <c r="K136" s="2" t="s">
        <v>8</v>
      </c>
      <c r="L136" s="2" t="s">
        <v>8</v>
      </c>
      <c r="M136" s="2" t="s">
        <v>8</v>
      </c>
      <c r="N136" s="2" t="s">
        <v>8</v>
      </c>
      <c r="O136" s="23" t="s">
        <v>8</v>
      </c>
      <c r="P136" s="2" t="s">
        <v>8</v>
      </c>
      <c r="Q136" s="2" t="s">
        <v>8</v>
      </c>
      <c r="R136" s="2" t="s">
        <v>8</v>
      </c>
      <c r="S136" s="2" t="s">
        <v>8</v>
      </c>
      <c r="T136" s="2" t="s">
        <v>8</v>
      </c>
      <c r="U136" s="2" t="s">
        <v>8</v>
      </c>
      <c r="V136" s="23" t="s">
        <v>8</v>
      </c>
      <c r="W136" s="7" t="s">
        <v>8</v>
      </c>
      <c r="X136" s="7" t="s">
        <v>8</v>
      </c>
    </row>
    <row r="137" spans="1:24" ht="45" customHeight="1" x14ac:dyDescent="0.25">
      <c r="A137" t="str">
        <f t="shared" si="4"/>
        <v xml:space="preserve">   </v>
      </c>
      <c r="B137" s="2" t="s">
        <v>8</v>
      </c>
      <c r="C137" s="2" t="s">
        <v>8</v>
      </c>
      <c r="D137" s="2" t="s">
        <v>8</v>
      </c>
      <c r="E137" s="2" t="s">
        <v>8</v>
      </c>
      <c r="F137" s="2" t="s">
        <v>8</v>
      </c>
      <c r="G137" s="2" t="s">
        <v>8</v>
      </c>
      <c r="H137" s="23" t="s">
        <v>8</v>
      </c>
      <c r="I137" s="2" t="s">
        <v>8</v>
      </c>
      <c r="J137" s="2" t="s">
        <v>8</v>
      </c>
      <c r="K137" s="2" t="s">
        <v>8</v>
      </c>
      <c r="L137" s="2" t="s">
        <v>8</v>
      </c>
      <c r="M137" s="2" t="s">
        <v>8</v>
      </c>
      <c r="N137" s="2" t="s">
        <v>8</v>
      </c>
      <c r="O137" s="23" t="s">
        <v>8</v>
      </c>
      <c r="P137" s="2" t="s">
        <v>8</v>
      </c>
      <c r="Q137" s="2" t="s">
        <v>8</v>
      </c>
      <c r="R137" s="2" t="s">
        <v>8</v>
      </c>
      <c r="S137" s="2" t="s">
        <v>8</v>
      </c>
      <c r="T137" s="2" t="s">
        <v>8</v>
      </c>
      <c r="U137" s="2" t="s">
        <v>8</v>
      </c>
      <c r="V137" s="23" t="s">
        <v>8</v>
      </c>
      <c r="W137" s="7" t="s">
        <v>8</v>
      </c>
      <c r="X137" s="7" t="s">
        <v>8</v>
      </c>
    </row>
    <row r="138" spans="1:24" ht="45" customHeight="1" x14ac:dyDescent="0.25">
      <c r="A138" t="str">
        <f t="shared" si="4"/>
        <v xml:space="preserve">   </v>
      </c>
      <c r="B138" s="2" t="s">
        <v>8</v>
      </c>
      <c r="C138" s="2" t="s">
        <v>8</v>
      </c>
      <c r="D138" s="2" t="s">
        <v>8</v>
      </c>
      <c r="E138" s="2" t="s">
        <v>8</v>
      </c>
      <c r="F138" s="2" t="s">
        <v>8</v>
      </c>
      <c r="G138" s="2" t="s">
        <v>8</v>
      </c>
      <c r="H138" s="23" t="s">
        <v>8</v>
      </c>
      <c r="I138" s="2" t="s">
        <v>8</v>
      </c>
      <c r="J138" s="2" t="s">
        <v>8</v>
      </c>
      <c r="K138" s="2" t="s">
        <v>8</v>
      </c>
      <c r="L138" s="2" t="s">
        <v>8</v>
      </c>
      <c r="M138" s="2" t="s">
        <v>8</v>
      </c>
      <c r="N138" s="2" t="s">
        <v>8</v>
      </c>
      <c r="O138" s="23" t="s">
        <v>8</v>
      </c>
      <c r="P138" s="2" t="s">
        <v>8</v>
      </c>
      <c r="Q138" s="2" t="s">
        <v>8</v>
      </c>
      <c r="R138" s="2" t="s">
        <v>8</v>
      </c>
      <c r="S138" s="2" t="s">
        <v>8</v>
      </c>
      <c r="T138" s="2" t="s">
        <v>8</v>
      </c>
      <c r="U138" s="2" t="s">
        <v>8</v>
      </c>
      <c r="V138" s="23" t="s">
        <v>8</v>
      </c>
      <c r="W138" s="7" t="s">
        <v>8</v>
      </c>
      <c r="X138" s="7" t="s">
        <v>8</v>
      </c>
    </row>
    <row r="139" spans="1:24" ht="45" customHeight="1" x14ac:dyDescent="0.25">
      <c r="A139" t="str">
        <f t="shared" si="4"/>
        <v xml:space="preserve">   </v>
      </c>
      <c r="B139" s="2" t="s">
        <v>8</v>
      </c>
      <c r="C139" s="2" t="s">
        <v>8</v>
      </c>
      <c r="D139" s="2" t="s">
        <v>8</v>
      </c>
      <c r="E139" s="2" t="s">
        <v>8</v>
      </c>
      <c r="F139" s="2" t="s">
        <v>8</v>
      </c>
      <c r="G139" s="2" t="s">
        <v>8</v>
      </c>
      <c r="H139" s="23" t="s">
        <v>8</v>
      </c>
      <c r="I139" s="2" t="s">
        <v>8</v>
      </c>
      <c r="J139" s="2" t="s">
        <v>8</v>
      </c>
      <c r="K139" s="2" t="s">
        <v>8</v>
      </c>
      <c r="L139" s="2" t="s">
        <v>8</v>
      </c>
      <c r="M139" s="2" t="s">
        <v>8</v>
      </c>
      <c r="N139" s="2" t="s">
        <v>8</v>
      </c>
      <c r="O139" s="23" t="s">
        <v>8</v>
      </c>
      <c r="P139" s="2" t="s">
        <v>8</v>
      </c>
      <c r="Q139" s="2" t="s">
        <v>8</v>
      </c>
      <c r="R139" s="2" t="s">
        <v>8</v>
      </c>
      <c r="S139" s="2" t="s">
        <v>8</v>
      </c>
      <c r="T139" s="2" t="s">
        <v>8</v>
      </c>
      <c r="U139" s="2" t="s">
        <v>8</v>
      </c>
      <c r="V139" s="23" t="s">
        <v>8</v>
      </c>
      <c r="W139" s="7" t="s">
        <v>8</v>
      </c>
      <c r="X139" s="7" t="s">
        <v>8</v>
      </c>
    </row>
    <row r="140" spans="1:24" ht="45" customHeight="1" x14ac:dyDescent="0.25">
      <c r="A140" t="str">
        <f t="shared" si="4"/>
        <v xml:space="preserve">   </v>
      </c>
      <c r="B140" s="2" t="s">
        <v>8</v>
      </c>
      <c r="C140" s="2" t="s">
        <v>8</v>
      </c>
      <c r="D140" s="2" t="s">
        <v>8</v>
      </c>
      <c r="E140" s="2" t="s">
        <v>8</v>
      </c>
      <c r="F140" s="2" t="s">
        <v>8</v>
      </c>
      <c r="G140" s="2" t="s">
        <v>8</v>
      </c>
      <c r="H140" s="23" t="s">
        <v>8</v>
      </c>
      <c r="I140" s="2" t="s">
        <v>8</v>
      </c>
      <c r="J140" s="2" t="s">
        <v>8</v>
      </c>
      <c r="K140" s="2" t="s">
        <v>8</v>
      </c>
      <c r="L140" s="2" t="s">
        <v>8</v>
      </c>
      <c r="M140" s="2" t="s">
        <v>8</v>
      </c>
      <c r="N140" s="2" t="s">
        <v>8</v>
      </c>
      <c r="O140" s="23" t="s">
        <v>8</v>
      </c>
      <c r="P140" s="2" t="s">
        <v>8</v>
      </c>
      <c r="Q140" s="2" t="s">
        <v>8</v>
      </c>
      <c r="R140" s="2" t="s">
        <v>8</v>
      </c>
      <c r="S140" s="2" t="s">
        <v>8</v>
      </c>
      <c r="T140" s="2" t="s">
        <v>8</v>
      </c>
      <c r="U140" s="2" t="s">
        <v>8</v>
      </c>
      <c r="V140" s="23" t="s">
        <v>8</v>
      </c>
      <c r="W140" s="7" t="s">
        <v>8</v>
      </c>
      <c r="X140" s="7" t="s">
        <v>8</v>
      </c>
    </row>
    <row r="141" spans="1:24" ht="45" customHeight="1" x14ac:dyDescent="0.25">
      <c r="A141" t="str">
        <f t="shared" si="4"/>
        <v xml:space="preserve">   </v>
      </c>
      <c r="B141" s="2" t="s">
        <v>8</v>
      </c>
      <c r="C141" s="2" t="s">
        <v>8</v>
      </c>
      <c r="D141" s="2" t="s">
        <v>8</v>
      </c>
      <c r="E141" s="2" t="s">
        <v>8</v>
      </c>
      <c r="F141" s="2" t="s">
        <v>8</v>
      </c>
      <c r="G141" s="2" t="s">
        <v>8</v>
      </c>
      <c r="H141" s="23" t="s">
        <v>8</v>
      </c>
      <c r="I141" s="2" t="s">
        <v>8</v>
      </c>
      <c r="J141" s="2" t="s">
        <v>8</v>
      </c>
      <c r="K141" s="2" t="s">
        <v>8</v>
      </c>
      <c r="L141" s="2" t="s">
        <v>8</v>
      </c>
      <c r="M141" s="2" t="s">
        <v>8</v>
      </c>
      <c r="N141" s="2" t="s">
        <v>8</v>
      </c>
      <c r="O141" s="23" t="s">
        <v>8</v>
      </c>
      <c r="P141" s="2" t="s">
        <v>8</v>
      </c>
      <c r="Q141" s="2" t="s">
        <v>8</v>
      </c>
      <c r="R141" s="2" t="s">
        <v>8</v>
      </c>
      <c r="S141" s="2" t="s">
        <v>8</v>
      </c>
      <c r="T141" s="2" t="s">
        <v>8</v>
      </c>
      <c r="U141" s="2" t="s">
        <v>8</v>
      </c>
      <c r="V141" s="23" t="s">
        <v>8</v>
      </c>
      <c r="W141" s="7" t="s">
        <v>8</v>
      </c>
      <c r="X141" s="7" t="s">
        <v>8</v>
      </c>
    </row>
    <row r="142" spans="1:24" ht="45" customHeight="1" x14ac:dyDescent="0.25">
      <c r="A142" t="str">
        <f t="shared" si="4"/>
        <v xml:space="preserve">   </v>
      </c>
      <c r="B142" s="2" t="s">
        <v>8</v>
      </c>
      <c r="C142" s="2" t="s">
        <v>8</v>
      </c>
      <c r="D142" s="2" t="s">
        <v>8</v>
      </c>
      <c r="E142" s="2" t="s">
        <v>8</v>
      </c>
      <c r="F142" s="2" t="s">
        <v>8</v>
      </c>
      <c r="G142" s="2" t="s">
        <v>8</v>
      </c>
      <c r="H142" s="23" t="s">
        <v>8</v>
      </c>
      <c r="I142" s="2" t="s">
        <v>8</v>
      </c>
      <c r="J142" s="2" t="s">
        <v>8</v>
      </c>
      <c r="K142" s="2" t="s">
        <v>8</v>
      </c>
      <c r="L142" s="2" t="s">
        <v>8</v>
      </c>
      <c r="M142" s="2" t="s">
        <v>8</v>
      </c>
      <c r="N142" s="2" t="s">
        <v>8</v>
      </c>
      <c r="O142" s="23" t="s">
        <v>8</v>
      </c>
      <c r="P142" s="2" t="s">
        <v>8</v>
      </c>
      <c r="Q142" s="2" t="s">
        <v>8</v>
      </c>
      <c r="R142" s="2" t="s">
        <v>8</v>
      </c>
      <c r="S142" s="2" t="s">
        <v>8</v>
      </c>
      <c r="T142" s="2" t="s">
        <v>8</v>
      </c>
      <c r="U142" s="2" t="s">
        <v>8</v>
      </c>
      <c r="V142" s="23" t="s">
        <v>8</v>
      </c>
      <c r="W142" s="7" t="s">
        <v>8</v>
      </c>
      <c r="X142" s="7" t="s">
        <v>8</v>
      </c>
    </row>
    <row r="143" spans="1:24" ht="45" customHeight="1" x14ac:dyDescent="0.25">
      <c r="A143" t="str">
        <f t="shared" si="4"/>
        <v xml:space="preserve">   </v>
      </c>
      <c r="B143" s="2" t="s">
        <v>8</v>
      </c>
      <c r="C143" s="2" t="s">
        <v>8</v>
      </c>
      <c r="D143" s="2" t="s">
        <v>8</v>
      </c>
      <c r="E143" s="2" t="s">
        <v>8</v>
      </c>
      <c r="F143" s="2" t="s">
        <v>8</v>
      </c>
      <c r="G143" s="2" t="s">
        <v>8</v>
      </c>
      <c r="H143" s="23" t="s">
        <v>8</v>
      </c>
      <c r="I143" s="2" t="s">
        <v>8</v>
      </c>
      <c r="J143" s="2" t="s">
        <v>8</v>
      </c>
      <c r="K143" s="2" t="s">
        <v>8</v>
      </c>
      <c r="L143" s="2" t="s">
        <v>8</v>
      </c>
      <c r="M143" s="2" t="s">
        <v>8</v>
      </c>
      <c r="N143" s="2" t="s">
        <v>8</v>
      </c>
      <c r="O143" s="23" t="s">
        <v>8</v>
      </c>
      <c r="P143" s="2" t="s">
        <v>8</v>
      </c>
      <c r="Q143" s="2" t="s">
        <v>8</v>
      </c>
      <c r="R143" s="2" t="s">
        <v>8</v>
      </c>
      <c r="S143" s="2" t="s">
        <v>8</v>
      </c>
      <c r="T143" s="2" t="s">
        <v>8</v>
      </c>
      <c r="U143" s="2" t="s">
        <v>8</v>
      </c>
      <c r="V143" s="23" t="s">
        <v>8</v>
      </c>
      <c r="W143" s="7" t="s">
        <v>8</v>
      </c>
      <c r="X143" s="7" t="s">
        <v>8</v>
      </c>
    </row>
    <row r="144" spans="1:24" ht="45" customHeight="1" x14ac:dyDescent="0.25">
      <c r="A144" t="str">
        <f t="shared" si="4"/>
        <v xml:space="preserve">   </v>
      </c>
      <c r="B144" s="2" t="s">
        <v>8</v>
      </c>
      <c r="C144" s="2" t="s">
        <v>8</v>
      </c>
      <c r="D144" s="2" t="s">
        <v>8</v>
      </c>
      <c r="E144" s="2" t="s">
        <v>8</v>
      </c>
      <c r="F144" s="2" t="s">
        <v>8</v>
      </c>
      <c r="G144" s="2" t="s">
        <v>8</v>
      </c>
      <c r="H144" s="23" t="s">
        <v>8</v>
      </c>
      <c r="I144" s="2" t="s">
        <v>8</v>
      </c>
      <c r="J144" s="2" t="s">
        <v>8</v>
      </c>
      <c r="K144" s="2" t="s">
        <v>8</v>
      </c>
      <c r="L144" s="2" t="s">
        <v>8</v>
      </c>
      <c r="M144" s="2" t="s">
        <v>8</v>
      </c>
      <c r="N144" s="2" t="s">
        <v>8</v>
      </c>
      <c r="O144" s="23" t="s">
        <v>8</v>
      </c>
      <c r="P144" s="2" t="s">
        <v>8</v>
      </c>
      <c r="Q144" s="2" t="s">
        <v>8</v>
      </c>
      <c r="R144" s="2" t="s">
        <v>8</v>
      </c>
      <c r="S144" s="2" t="s">
        <v>8</v>
      </c>
      <c r="T144" s="2" t="s">
        <v>8</v>
      </c>
      <c r="U144" s="2" t="s">
        <v>8</v>
      </c>
      <c r="V144" s="23" t="s">
        <v>8</v>
      </c>
      <c r="W144" s="7" t="s">
        <v>8</v>
      </c>
      <c r="X144" s="7" t="s">
        <v>8</v>
      </c>
    </row>
    <row r="145" spans="1:24" ht="45" customHeight="1" x14ac:dyDescent="0.25">
      <c r="A145" t="str">
        <f t="shared" si="4"/>
        <v xml:space="preserve">   </v>
      </c>
      <c r="B145" s="2" t="s">
        <v>8</v>
      </c>
      <c r="C145" s="2" t="s">
        <v>8</v>
      </c>
      <c r="D145" s="2" t="s">
        <v>8</v>
      </c>
      <c r="E145" s="2" t="s">
        <v>8</v>
      </c>
      <c r="F145" s="2" t="s">
        <v>8</v>
      </c>
      <c r="G145" s="2" t="s">
        <v>8</v>
      </c>
      <c r="H145" s="23" t="s">
        <v>8</v>
      </c>
      <c r="I145" s="2" t="s">
        <v>8</v>
      </c>
      <c r="J145" s="2" t="s">
        <v>8</v>
      </c>
      <c r="K145" s="2" t="s">
        <v>8</v>
      </c>
      <c r="L145" s="2" t="s">
        <v>8</v>
      </c>
      <c r="M145" s="2" t="s">
        <v>8</v>
      </c>
      <c r="N145" s="2" t="s">
        <v>8</v>
      </c>
      <c r="O145" s="23" t="s">
        <v>8</v>
      </c>
      <c r="P145" s="2" t="s">
        <v>8</v>
      </c>
      <c r="Q145" s="2" t="s">
        <v>8</v>
      </c>
      <c r="R145" s="2" t="s">
        <v>8</v>
      </c>
      <c r="S145" s="2" t="s">
        <v>8</v>
      </c>
      <c r="T145" s="2" t="s">
        <v>8</v>
      </c>
      <c r="U145" s="2" t="s">
        <v>8</v>
      </c>
      <c r="V145" s="23" t="s">
        <v>8</v>
      </c>
      <c r="W145" s="7" t="s">
        <v>8</v>
      </c>
      <c r="X145" s="7" t="s">
        <v>8</v>
      </c>
    </row>
    <row r="146" spans="1:24" ht="45" customHeight="1" x14ac:dyDescent="0.25">
      <c r="A146" t="str">
        <f t="shared" si="4"/>
        <v xml:space="preserve">   </v>
      </c>
      <c r="B146" s="2" t="s">
        <v>8</v>
      </c>
      <c r="C146" s="2" t="s">
        <v>8</v>
      </c>
      <c r="D146" s="2" t="s">
        <v>8</v>
      </c>
      <c r="E146" s="2" t="s">
        <v>8</v>
      </c>
      <c r="F146" s="2" t="s">
        <v>8</v>
      </c>
      <c r="G146" s="2" t="s">
        <v>8</v>
      </c>
      <c r="H146" s="23" t="s">
        <v>8</v>
      </c>
      <c r="I146" s="2" t="s">
        <v>8</v>
      </c>
      <c r="J146" s="2" t="s">
        <v>8</v>
      </c>
      <c r="K146" s="2" t="s">
        <v>8</v>
      </c>
      <c r="L146" s="2" t="s">
        <v>8</v>
      </c>
      <c r="M146" s="2" t="s">
        <v>8</v>
      </c>
      <c r="N146" s="2" t="s">
        <v>8</v>
      </c>
      <c r="O146" s="23" t="s">
        <v>8</v>
      </c>
      <c r="P146" s="2" t="s">
        <v>8</v>
      </c>
      <c r="Q146" s="2" t="s">
        <v>8</v>
      </c>
      <c r="R146" s="2" t="s">
        <v>8</v>
      </c>
      <c r="S146" s="2" t="s">
        <v>8</v>
      </c>
      <c r="T146" s="2" t="s">
        <v>8</v>
      </c>
      <c r="U146" s="2" t="s">
        <v>8</v>
      </c>
      <c r="V146" s="23" t="s">
        <v>8</v>
      </c>
      <c r="W146" s="7" t="s">
        <v>8</v>
      </c>
      <c r="X146" s="7" t="s">
        <v>8</v>
      </c>
    </row>
    <row r="147" spans="1:24" ht="45" customHeight="1" x14ac:dyDescent="0.25">
      <c r="A147" t="str">
        <f t="shared" si="4"/>
        <v xml:space="preserve">   </v>
      </c>
      <c r="B147" s="2" t="s">
        <v>8</v>
      </c>
      <c r="C147" s="2" t="s">
        <v>8</v>
      </c>
      <c r="D147" s="2" t="s">
        <v>8</v>
      </c>
      <c r="E147" s="2" t="s">
        <v>8</v>
      </c>
      <c r="F147" s="2" t="s">
        <v>8</v>
      </c>
      <c r="G147" s="2" t="s">
        <v>8</v>
      </c>
      <c r="H147" s="23" t="s">
        <v>8</v>
      </c>
      <c r="I147" s="2" t="s">
        <v>8</v>
      </c>
      <c r="J147" s="2" t="s">
        <v>8</v>
      </c>
      <c r="K147" s="2" t="s">
        <v>8</v>
      </c>
      <c r="L147" s="2" t="s">
        <v>8</v>
      </c>
      <c r="M147" s="2" t="s">
        <v>8</v>
      </c>
      <c r="N147" s="2" t="s">
        <v>8</v>
      </c>
      <c r="O147" s="23" t="s">
        <v>8</v>
      </c>
      <c r="P147" s="2" t="s">
        <v>8</v>
      </c>
      <c r="Q147" s="2" t="s">
        <v>8</v>
      </c>
      <c r="R147" s="2" t="s">
        <v>8</v>
      </c>
      <c r="S147" s="2" t="s">
        <v>8</v>
      </c>
      <c r="T147" s="2" t="s">
        <v>8</v>
      </c>
      <c r="U147" s="2" t="s">
        <v>8</v>
      </c>
      <c r="V147" s="23" t="s">
        <v>8</v>
      </c>
      <c r="W147" s="7" t="s">
        <v>8</v>
      </c>
      <c r="X147" s="7" t="s">
        <v>8</v>
      </c>
    </row>
    <row r="148" spans="1:24" ht="45" customHeight="1" x14ac:dyDescent="0.25">
      <c r="A148" t="str">
        <f t="shared" si="4"/>
        <v xml:space="preserve">   </v>
      </c>
      <c r="B148" s="2" t="s">
        <v>8</v>
      </c>
      <c r="C148" s="2" t="s">
        <v>8</v>
      </c>
      <c r="D148" s="2" t="s">
        <v>8</v>
      </c>
      <c r="E148" s="2" t="s">
        <v>8</v>
      </c>
      <c r="F148" s="2" t="s">
        <v>8</v>
      </c>
      <c r="G148" s="2" t="s">
        <v>8</v>
      </c>
      <c r="H148" s="23" t="s">
        <v>8</v>
      </c>
      <c r="I148" s="2" t="s">
        <v>8</v>
      </c>
      <c r="J148" s="2" t="s">
        <v>8</v>
      </c>
      <c r="K148" s="2" t="s">
        <v>8</v>
      </c>
      <c r="L148" s="2" t="s">
        <v>8</v>
      </c>
      <c r="M148" s="2" t="s">
        <v>8</v>
      </c>
      <c r="N148" s="2" t="s">
        <v>8</v>
      </c>
      <c r="O148" s="23" t="s">
        <v>8</v>
      </c>
      <c r="P148" s="2" t="s">
        <v>8</v>
      </c>
      <c r="Q148" s="2" t="s">
        <v>8</v>
      </c>
      <c r="R148" s="2" t="s">
        <v>8</v>
      </c>
      <c r="S148" s="2" t="s">
        <v>8</v>
      </c>
      <c r="T148" s="2" t="s">
        <v>8</v>
      </c>
      <c r="U148" s="2" t="s">
        <v>8</v>
      </c>
      <c r="V148" s="23" t="s">
        <v>8</v>
      </c>
      <c r="W148" s="7" t="s">
        <v>8</v>
      </c>
      <c r="X148" s="7" t="s">
        <v>8</v>
      </c>
    </row>
    <row r="149" spans="1:24" ht="45" customHeight="1" x14ac:dyDescent="0.25">
      <c r="A149" t="str">
        <f t="shared" si="4"/>
        <v xml:space="preserve">   </v>
      </c>
      <c r="B149" s="2" t="s">
        <v>8</v>
      </c>
      <c r="C149" s="2" t="s">
        <v>8</v>
      </c>
      <c r="D149" s="2" t="s">
        <v>8</v>
      </c>
      <c r="E149" s="2" t="s">
        <v>8</v>
      </c>
      <c r="F149" s="2" t="s">
        <v>8</v>
      </c>
      <c r="G149" s="2" t="s">
        <v>8</v>
      </c>
      <c r="H149" s="23" t="s">
        <v>8</v>
      </c>
      <c r="I149" s="2" t="s">
        <v>8</v>
      </c>
      <c r="J149" s="2" t="s">
        <v>8</v>
      </c>
      <c r="K149" s="2" t="s">
        <v>8</v>
      </c>
      <c r="L149" s="2" t="s">
        <v>8</v>
      </c>
      <c r="M149" s="2" t="s">
        <v>8</v>
      </c>
      <c r="N149" s="2" t="s">
        <v>8</v>
      </c>
      <c r="O149" s="23" t="s">
        <v>8</v>
      </c>
      <c r="P149" s="2" t="s">
        <v>8</v>
      </c>
      <c r="Q149" s="2" t="s">
        <v>8</v>
      </c>
      <c r="R149" s="2" t="s">
        <v>8</v>
      </c>
      <c r="S149" s="2" t="s">
        <v>8</v>
      </c>
      <c r="T149" s="2" t="s">
        <v>8</v>
      </c>
      <c r="U149" s="2" t="s">
        <v>8</v>
      </c>
      <c r="V149" s="23" t="s">
        <v>8</v>
      </c>
      <c r="W149" s="7" t="s">
        <v>8</v>
      </c>
      <c r="X149" s="7" t="s">
        <v>8</v>
      </c>
    </row>
    <row r="150" spans="1:24" ht="45" customHeight="1" x14ac:dyDescent="0.25">
      <c r="A150" t="str">
        <f t="shared" si="4"/>
        <v xml:space="preserve">   </v>
      </c>
      <c r="B150" s="2" t="s">
        <v>8</v>
      </c>
      <c r="C150" s="2" t="s">
        <v>8</v>
      </c>
      <c r="D150" s="2" t="s">
        <v>8</v>
      </c>
      <c r="E150" s="2" t="s">
        <v>8</v>
      </c>
      <c r="F150" s="2" t="s">
        <v>8</v>
      </c>
      <c r="G150" s="2" t="s">
        <v>8</v>
      </c>
      <c r="H150" s="23" t="s">
        <v>8</v>
      </c>
      <c r="I150" s="2" t="s">
        <v>8</v>
      </c>
      <c r="J150" s="2" t="s">
        <v>8</v>
      </c>
      <c r="K150" s="2" t="s">
        <v>8</v>
      </c>
      <c r="L150" s="2" t="s">
        <v>8</v>
      </c>
      <c r="M150" s="2" t="s">
        <v>8</v>
      </c>
      <c r="N150" s="2" t="s">
        <v>8</v>
      </c>
      <c r="O150" s="23" t="s">
        <v>8</v>
      </c>
      <c r="P150" s="2" t="s">
        <v>8</v>
      </c>
      <c r="Q150" s="2" t="s">
        <v>8</v>
      </c>
      <c r="R150" s="2" t="s">
        <v>8</v>
      </c>
      <c r="S150" s="2" t="s">
        <v>8</v>
      </c>
      <c r="T150" s="2" t="s">
        <v>8</v>
      </c>
      <c r="U150" s="2" t="s">
        <v>8</v>
      </c>
      <c r="V150" s="23" t="s">
        <v>8</v>
      </c>
      <c r="W150" s="7" t="s">
        <v>8</v>
      </c>
      <c r="X150" s="7" t="s">
        <v>8</v>
      </c>
    </row>
    <row r="151" spans="1:24" ht="45" customHeight="1" x14ac:dyDescent="0.25">
      <c r="A151" t="str">
        <f t="shared" si="4"/>
        <v xml:space="preserve">   </v>
      </c>
      <c r="B151" s="2" t="s">
        <v>8</v>
      </c>
      <c r="C151" s="2" t="s">
        <v>8</v>
      </c>
      <c r="D151" s="2" t="s">
        <v>8</v>
      </c>
      <c r="E151" s="2" t="s">
        <v>8</v>
      </c>
      <c r="F151" s="2" t="s">
        <v>8</v>
      </c>
      <c r="G151" s="2" t="s">
        <v>8</v>
      </c>
      <c r="H151" s="23" t="s">
        <v>8</v>
      </c>
      <c r="I151" s="2" t="s">
        <v>8</v>
      </c>
      <c r="J151" s="2" t="s">
        <v>8</v>
      </c>
      <c r="K151" s="2" t="s">
        <v>8</v>
      </c>
      <c r="L151" s="2" t="s">
        <v>8</v>
      </c>
      <c r="M151" s="2" t="s">
        <v>8</v>
      </c>
      <c r="N151" s="2" t="s">
        <v>8</v>
      </c>
      <c r="O151" s="23" t="s">
        <v>8</v>
      </c>
      <c r="P151" s="2" t="s">
        <v>8</v>
      </c>
      <c r="Q151" s="2" t="s">
        <v>8</v>
      </c>
      <c r="R151" s="2" t="s">
        <v>8</v>
      </c>
      <c r="S151" s="2" t="s">
        <v>8</v>
      </c>
      <c r="T151" s="2" t="s">
        <v>8</v>
      </c>
      <c r="U151" s="2" t="s">
        <v>8</v>
      </c>
      <c r="V151" s="23" t="s">
        <v>8</v>
      </c>
      <c r="W151" s="7" t="s">
        <v>8</v>
      </c>
      <c r="X151" s="7" t="s">
        <v>8</v>
      </c>
    </row>
    <row r="152" spans="1:24" ht="45" customHeight="1" x14ac:dyDescent="0.25">
      <c r="A152" t="str">
        <f t="shared" si="4"/>
        <v xml:space="preserve">   </v>
      </c>
      <c r="B152" s="2" t="s">
        <v>8</v>
      </c>
      <c r="C152" s="2" t="s">
        <v>8</v>
      </c>
      <c r="D152" s="2" t="s">
        <v>8</v>
      </c>
      <c r="E152" s="2" t="s">
        <v>8</v>
      </c>
      <c r="F152" s="2" t="s">
        <v>8</v>
      </c>
      <c r="G152" s="2" t="s">
        <v>8</v>
      </c>
      <c r="H152" s="23" t="s">
        <v>8</v>
      </c>
      <c r="I152" s="2" t="s">
        <v>8</v>
      </c>
      <c r="J152" s="2" t="s">
        <v>8</v>
      </c>
      <c r="K152" s="2" t="s">
        <v>8</v>
      </c>
      <c r="L152" s="2" t="s">
        <v>8</v>
      </c>
      <c r="M152" s="2" t="s">
        <v>8</v>
      </c>
      <c r="N152" s="2" t="s">
        <v>8</v>
      </c>
      <c r="O152" s="23" t="s">
        <v>8</v>
      </c>
      <c r="P152" s="2" t="s">
        <v>8</v>
      </c>
      <c r="Q152" s="2" t="s">
        <v>8</v>
      </c>
      <c r="R152" s="2" t="s">
        <v>8</v>
      </c>
      <c r="S152" s="2" t="s">
        <v>8</v>
      </c>
      <c r="T152" s="2" t="s">
        <v>8</v>
      </c>
      <c r="U152" s="2" t="s">
        <v>8</v>
      </c>
      <c r="V152" s="23" t="s">
        <v>8</v>
      </c>
      <c r="W152" s="7" t="s">
        <v>8</v>
      </c>
      <c r="X152" s="7" t="s">
        <v>8</v>
      </c>
    </row>
    <row r="153" spans="1:24" ht="45" customHeight="1" x14ac:dyDescent="0.25">
      <c r="A153" t="str">
        <f t="shared" si="4"/>
        <v xml:space="preserve">   </v>
      </c>
      <c r="B153" s="2" t="s">
        <v>8</v>
      </c>
      <c r="C153" s="2" t="s">
        <v>8</v>
      </c>
      <c r="D153" s="2" t="s">
        <v>8</v>
      </c>
      <c r="E153" s="2" t="s">
        <v>8</v>
      </c>
      <c r="F153" s="2" t="s">
        <v>8</v>
      </c>
      <c r="G153" s="2" t="s">
        <v>8</v>
      </c>
      <c r="H153" s="23" t="s">
        <v>8</v>
      </c>
      <c r="I153" s="2" t="s">
        <v>8</v>
      </c>
      <c r="J153" s="2" t="s">
        <v>8</v>
      </c>
      <c r="K153" s="2" t="s">
        <v>8</v>
      </c>
      <c r="L153" s="2" t="s">
        <v>8</v>
      </c>
      <c r="M153" s="2" t="s">
        <v>8</v>
      </c>
      <c r="N153" s="2" t="s">
        <v>8</v>
      </c>
      <c r="O153" s="23" t="s">
        <v>8</v>
      </c>
      <c r="P153" s="2" t="s">
        <v>8</v>
      </c>
      <c r="Q153" s="2" t="s">
        <v>8</v>
      </c>
      <c r="R153" s="2" t="s">
        <v>8</v>
      </c>
      <c r="S153" s="2" t="s">
        <v>8</v>
      </c>
      <c r="T153" s="2" t="s">
        <v>8</v>
      </c>
      <c r="U153" s="2" t="s">
        <v>8</v>
      </c>
      <c r="V153" s="23" t="s">
        <v>8</v>
      </c>
      <c r="W153" s="7" t="s">
        <v>8</v>
      </c>
      <c r="X153" s="7" t="s">
        <v>8</v>
      </c>
    </row>
    <row r="154" spans="1:24" ht="45" customHeight="1" x14ac:dyDescent="0.25">
      <c r="A154" t="str">
        <f t="shared" si="4"/>
        <v xml:space="preserve">   </v>
      </c>
      <c r="B154" s="2" t="s">
        <v>8</v>
      </c>
      <c r="C154" s="2" t="s">
        <v>8</v>
      </c>
      <c r="D154" s="2" t="s">
        <v>8</v>
      </c>
      <c r="E154" s="2" t="s">
        <v>8</v>
      </c>
      <c r="F154" s="2" t="s">
        <v>8</v>
      </c>
      <c r="G154" s="2" t="s">
        <v>8</v>
      </c>
      <c r="H154" s="23" t="s">
        <v>8</v>
      </c>
      <c r="I154" s="2" t="s">
        <v>8</v>
      </c>
      <c r="J154" s="2" t="s">
        <v>8</v>
      </c>
      <c r="K154" s="2" t="s">
        <v>8</v>
      </c>
      <c r="L154" s="2" t="s">
        <v>8</v>
      </c>
      <c r="M154" s="2" t="s">
        <v>8</v>
      </c>
      <c r="N154" s="2" t="s">
        <v>8</v>
      </c>
      <c r="O154" s="23" t="s">
        <v>8</v>
      </c>
      <c r="P154" s="2" t="s">
        <v>8</v>
      </c>
      <c r="Q154" s="2" t="s">
        <v>8</v>
      </c>
      <c r="R154" s="2" t="s">
        <v>8</v>
      </c>
      <c r="S154" s="2" t="s">
        <v>8</v>
      </c>
      <c r="T154" s="2" t="s">
        <v>8</v>
      </c>
      <c r="U154" s="2" t="s">
        <v>8</v>
      </c>
      <c r="V154" s="23" t="s">
        <v>8</v>
      </c>
      <c r="W154" s="7" t="s">
        <v>8</v>
      </c>
      <c r="X154" s="7" t="s">
        <v>8</v>
      </c>
    </row>
    <row r="155" spans="1:24" ht="45" customHeight="1" x14ac:dyDescent="0.25">
      <c r="A155" t="str">
        <f t="shared" si="4"/>
        <v xml:space="preserve">   </v>
      </c>
      <c r="B155" s="2" t="s">
        <v>8</v>
      </c>
      <c r="C155" s="2" t="s">
        <v>8</v>
      </c>
      <c r="D155" s="2" t="s">
        <v>8</v>
      </c>
      <c r="E155" s="2" t="s">
        <v>8</v>
      </c>
      <c r="F155" s="2" t="s">
        <v>8</v>
      </c>
      <c r="G155" s="2" t="s">
        <v>8</v>
      </c>
      <c r="H155" s="23" t="s">
        <v>8</v>
      </c>
      <c r="I155" s="2" t="s">
        <v>8</v>
      </c>
      <c r="J155" s="2" t="s">
        <v>8</v>
      </c>
      <c r="K155" s="2" t="s">
        <v>8</v>
      </c>
      <c r="L155" s="2" t="s">
        <v>8</v>
      </c>
      <c r="M155" s="2" t="s">
        <v>8</v>
      </c>
      <c r="N155" s="2" t="s">
        <v>8</v>
      </c>
      <c r="O155" s="23" t="s">
        <v>8</v>
      </c>
      <c r="P155" s="2" t="s">
        <v>8</v>
      </c>
      <c r="Q155" s="2" t="s">
        <v>8</v>
      </c>
      <c r="R155" s="2" t="s">
        <v>8</v>
      </c>
      <c r="S155" s="2" t="s">
        <v>8</v>
      </c>
      <c r="T155" s="2" t="s">
        <v>8</v>
      </c>
      <c r="U155" s="2" t="s">
        <v>8</v>
      </c>
      <c r="V155" s="23" t="s">
        <v>8</v>
      </c>
      <c r="W155" s="7" t="s">
        <v>8</v>
      </c>
      <c r="X155" s="7" t="s">
        <v>8</v>
      </c>
    </row>
    <row r="156" spans="1:24" ht="45" customHeight="1" x14ac:dyDescent="0.25">
      <c r="A156" t="str">
        <f t="shared" si="4"/>
        <v xml:space="preserve">   </v>
      </c>
      <c r="B156" s="2" t="s">
        <v>8</v>
      </c>
      <c r="C156" s="2" t="s">
        <v>8</v>
      </c>
      <c r="D156" s="2" t="s">
        <v>8</v>
      </c>
      <c r="E156" s="2" t="s">
        <v>8</v>
      </c>
      <c r="F156" s="2" t="s">
        <v>8</v>
      </c>
      <c r="G156" s="2" t="s">
        <v>8</v>
      </c>
      <c r="H156" s="23" t="s">
        <v>8</v>
      </c>
      <c r="I156" s="2" t="s">
        <v>8</v>
      </c>
      <c r="J156" s="2" t="s">
        <v>8</v>
      </c>
      <c r="K156" s="2" t="s">
        <v>8</v>
      </c>
      <c r="L156" s="2" t="s">
        <v>8</v>
      </c>
      <c r="M156" s="2" t="s">
        <v>8</v>
      </c>
      <c r="N156" s="2" t="s">
        <v>8</v>
      </c>
      <c r="O156" s="23" t="s">
        <v>8</v>
      </c>
      <c r="P156" s="2" t="s">
        <v>8</v>
      </c>
      <c r="Q156" s="2" t="s">
        <v>8</v>
      </c>
      <c r="R156" s="2" t="s">
        <v>8</v>
      </c>
      <c r="S156" s="2" t="s">
        <v>8</v>
      </c>
      <c r="T156" s="2" t="s">
        <v>8</v>
      </c>
      <c r="U156" s="2" t="s">
        <v>8</v>
      </c>
      <c r="V156" s="23" t="s">
        <v>8</v>
      </c>
      <c r="W156" s="7" t="s">
        <v>8</v>
      </c>
      <c r="X156" s="7" t="s">
        <v>8</v>
      </c>
    </row>
    <row r="157" spans="1:24" ht="45" customHeight="1" x14ac:dyDescent="0.25">
      <c r="A157" t="str">
        <f t="shared" si="4"/>
        <v xml:space="preserve">   </v>
      </c>
      <c r="B157" s="2" t="s">
        <v>8</v>
      </c>
      <c r="C157" s="2" t="s">
        <v>8</v>
      </c>
      <c r="D157" s="2" t="s">
        <v>8</v>
      </c>
      <c r="E157" s="2" t="s">
        <v>8</v>
      </c>
      <c r="F157" s="2" t="s">
        <v>8</v>
      </c>
      <c r="G157" s="2" t="s">
        <v>8</v>
      </c>
      <c r="H157" s="23" t="s">
        <v>8</v>
      </c>
      <c r="I157" s="2" t="s">
        <v>8</v>
      </c>
      <c r="J157" s="2" t="s">
        <v>8</v>
      </c>
      <c r="K157" s="2" t="s">
        <v>8</v>
      </c>
      <c r="L157" s="2" t="s">
        <v>8</v>
      </c>
      <c r="M157" s="2" t="s">
        <v>8</v>
      </c>
      <c r="N157" s="2" t="s">
        <v>8</v>
      </c>
      <c r="O157" s="23" t="s">
        <v>8</v>
      </c>
      <c r="P157" s="2" t="s">
        <v>8</v>
      </c>
      <c r="Q157" s="2" t="s">
        <v>8</v>
      </c>
      <c r="R157" s="2" t="s">
        <v>8</v>
      </c>
      <c r="S157" s="2" t="s">
        <v>8</v>
      </c>
      <c r="T157" s="2" t="s">
        <v>8</v>
      </c>
      <c r="U157" s="2" t="s">
        <v>8</v>
      </c>
      <c r="V157" s="23" t="s">
        <v>8</v>
      </c>
      <c r="W157" s="7" t="s">
        <v>8</v>
      </c>
      <c r="X157" s="7" t="s">
        <v>8</v>
      </c>
    </row>
    <row r="158" spans="1:24" ht="45" customHeight="1" x14ac:dyDescent="0.25">
      <c r="A158" t="str">
        <f t="shared" si="4"/>
        <v xml:space="preserve">   </v>
      </c>
      <c r="B158" s="2" t="s">
        <v>8</v>
      </c>
      <c r="C158" s="2" t="s">
        <v>8</v>
      </c>
      <c r="D158" s="2" t="s">
        <v>8</v>
      </c>
      <c r="E158" s="2" t="s">
        <v>8</v>
      </c>
      <c r="F158" s="2" t="s">
        <v>8</v>
      </c>
      <c r="G158" s="2" t="s">
        <v>8</v>
      </c>
      <c r="H158" s="23" t="s">
        <v>8</v>
      </c>
      <c r="I158" s="2" t="s">
        <v>8</v>
      </c>
      <c r="J158" s="2" t="s">
        <v>8</v>
      </c>
      <c r="K158" s="2" t="s">
        <v>8</v>
      </c>
      <c r="L158" s="2" t="s">
        <v>8</v>
      </c>
      <c r="M158" s="2" t="s">
        <v>8</v>
      </c>
      <c r="N158" s="2" t="s">
        <v>8</v>
      </c>
      <c r="O158" s="23" t="s">
        <v>8</v>
      </c>
      <c r="P158" s="2" t="s">
        <v>8</v>
      </c>
      <c r="Q158" s="2" t="s">
        <v>8</v>
      </c>
      <c r="R158" s="2" t="s">
        <v>8</v>
      </c>
      <c r="S158" s="2" t="s">
        <v>8</v>
      </c>
      <c r="T158" s="2" t="s">
        <v>8</v>
      </c>
      <c r="U158" s="2" t="s">
        <v>8</v>
      </c>
      <c r="V158" s="23" t="s">
        <v>8</v>
      </c>
      <c r="W158" s="7" t="s">
        <v>8</v>
      </c>
      <c r="X158" s="7" t="s">
        <v>8</v>
      </c>
    </row>
    <row r="159" spans="1:24" ht="45" customHeight="1" x14ac:dyDescent="0.25">
      <c r="A159" t="str">
        <f t="shared" si="4"/>
        <v xml:space="preserve">   </v>
      </c>
      <c r="B159" s="2" t="s">
        <v>8</v>
      </c>
      <c r="C159" s="2" t="s">
        <v>8</v>
      </c>
      <c r="D159" s="2" t="s">
        <v>8</v>
      </c>
      <c r="E159" s="2" t="s">
        <v>8</v>
      </c>
      <c r="F159" s="2" t="s">
        <v>8</v>
      </c>
      <c r="G159" s="2" t="s">
        <v>8</v>
      </c>
      <c r="H159" s="23" t="s">
        <v>8</v>
      </c>
      <c r="I159" s="2" t="s">
        <v>8</v>
      </c>
      <c r="J159" s="2" t="s">
        <v>8</v>
      </c>
      <c r="K159" s="2" t="s">
        <v>8</v>
      </c>
      <c r="L159" s="2" t="s">
        <v>8</v>
      </c>
      <c r="M159" s="2" t="s">
        <v>8</v>
      </c>
      <c r="N159" s="2" t="s">
        <v>8</v>
      </c>
      <c r="O159" s="23" t="s">
        <v>8</v>
      </c>
      <c r="P159" s="2" t="s">
        <v>8</v>
      </c>
      <c r="Q159" s="2" t="s">
        <v>8</v>
      </c>
      <c r="R159" s="2" t="s">
        <v>8</v>
      </c>
      <c r="S159" s="2" t="s">
        <v>8</v>
      </c>
      <c r="T159" s="2" t="s">
        <v>8</v>
      </c>
      <c r="U159" s="2" t="s">
        <v>8</v>
      </c>
      <c r="V159" s="23" t="s">
        <v>8</v>
      </c>
      <c r="W159" s="7" t="s">
        <v>8</v>
      </c>
      <c r="X159" s="7" t="s">
        <v>8</v>
      </c>
    </row>
    <row r="160" spans="1:24" ht="45" customHeight="1" x14ac:dyDescent="0.25">
      <c r="A160" t="str">
        <f t="shared" si="4"/>
        <v xml:space="preserve">   </v>
      </c>
      <c r="B160" s="2" t="s">
        <v>8</v>
      </c>
      <c r="C160" s="2" t="s">
        <v>8</v>
      </c>
      <c r="D160" s="2" t="s">
        <v>8</v>
      </c>
      <c r="E160" s="2" t="s">
        <v>8</v>
      </c>
      <c r="F160" s="2" t="s">
        <v>8</v>
      </c>
      <c r="G160" s="2" t="s">
        <v>8</v>
      </c>
      <c r="H160" s="23" t="s">
        <v>8</v>
      </c>
      <c r="I160" s="2" t="s">
        <v>8</v>
      </c>
      <c r="J160" s="2" t="s">
        <v>8</v>
      </c>
      <c r="K160" s="2" t="s">
        <v>8</v>
      </c>
      <c r="L160" s="2" t="s">
        <v>8</v>
      </c>
      <c r="M160" s="2" t="s">
        <v>8</v>
      </c>
      <c r="N160" s="2" t="s">
        <v>8</v>
      </c>
      <c r="O160" s="23" t="s">
        <v>8</v>
      </c>
      <c r="P160" s="2" t="s">
        <v>8</v>
      </c>
      <c r="Q160" s="2" t="s">
        <v>8</v>
      </c>
      <c r="R160" s="2" t="s">
        <v>8</v>
      </c>
      <c r="S160" s="2" t="s">
        <v>8</v>
      </c>
      <c r="T160" s="2" t="s">
        <v>8</v>
      </c>
      <c r="U160" s="2" t="s">
        <v>8</v>
      </c>
      <c r="V160" s="23" t="s">
        <v>8</v>
      </c>
      <c r="W160" s="7" t="s">
        <v>8</v>
      </c>
      <c r="X160" s="7" t="s">
        <v>8</v>
      </c>
    </row>
    <row r="161" spans="1:24" ht="45" customHeight="1" x14ac:dyDescent="0.25">
      <c r="A161" t="str">
        <f t="shared" si="4"/>
        <v xml:space="preserve">   </v>
      </c>
      <c r="B161" s="2" t="s">
        <v>8</v>
      </c>
      <c r="C161" s="2" t="s">
        <v>8</v>
      </c>
      <c r="D161" s="2" t="s">
        <v>8</v>
      </c>
      <c r="E161" s="2" t="s">
        <v>8</v>
      </c>
      <c r="F161" s="2" t="s">
        <v>8</v>
      </c>
      <c r="G161" s="2" t="s">
        <v>8</v>
      </c>
      <c r="H161" s="23" t="s">
        <v>8</v>
      </c>
      <c r="I161" s="2" t="s">
        <v>8</v>
      </c>
      <c r="J161" s="2" t="s">
        <v>8</v>
      </c>
      <c r="K161" s="2" t="s">
        <v>8</v>
      </c>
      <c r="L161" s="2" t="s">
        <v>8</v>
      </c>
      <c r="M161" s="2" t="s">
        <v>8</v>
      </c>
      <c r="N161" s="2" t="s">
        <v>8</v>
      </c>
      <c r="O161" s="23" t="s">
        <v>8</v>
      </c>
      <c r="P161" s="2" t="s">
        <v>8</v>
      </c>
      <c r="Q161" s="2" t="s">
        <v>8</v>
      </c>
      <c r="R161" s="2" t="s">
        <v>8</v>
      </c>
      <c r="S161" s="2" t="s">
        <v>8</v>
      </c>
      <c r="T161" s="2" t="s">
        <v>8</v>
      </c>
      <c r="U161" s="2" t="s">
        <v>8</v>
      </c>
      <c r="V161" s="23" t="s">
        <v>8</v>
      </c>
      <c r="W161" s="7" t="s">
        <v>8</v>
      </c>
      <c r="X161" s="7" t="s">
        <v>8</v>
      </c>
    </row>
    <row r="162" spans="1:24" ht="45" customHeight="1" x14ac:dyDescent="0.25">
      <c r="A162" t="str">
        <f t="shared" si="4"/>
        <v xml:space="preserve">   </v>
      </c>
      <c r="B162" s="2" t="s">
        <v>8</v>
      </c>
      <c r="C162" s="2" t="s">
        <v>8</v>
      </c>
      <c r="D162" s="2" t="s">
        <v>8</v>
      </c>
      <c r="E162" s="2" t="s">
        <v>8</v>
      </c>
      <c r="F162" s="2" t="s">
        <v>8</v>
      </c>
      <c r="G162" s="2" t="s">
        <v>8</v>
      </c>
      <c r="H162" s="23" t="s">
        <v>8</v>
      </c>
      <c r="I162" s="2" t="s">
        <v>8</v>
      </c>
      <c r="J162" s="2" t="s">
        <v>8</v>
      </c>
      <c r="K162" s="2" t="s">
        <v>8</v>
      </c>
      <c r="L162" s="2" t="s">
        <v>8</v>
      </c>
      <c r="M162" s="2" t="s">
        <v>8</v>
      </c>
      <c r="N162" s="2" t="s">
        <v>8</v>
      </c>
      <c r="O162" s="23" t="s">
        <v>8</v>
      </c>
      <c r="P162" s="2" t="s">
        <v>8</v>
      </c>
      <c r="Q162" s="2" t="s">
        <v>8</v>
      </c>
      <c r="R162" s="2" t="s">
        <v>8</v>
      </c>
      <c r="S162" s="2" t="s">
        <v>8</v>
      </c>
      <c r="T162" s="2" t="s">
        <v>8</v>
      </c>
      <c r="U162" s="2" t="s">
        <v>8</v>
      </c>
      <c r="V162" s="23" t="s">
        <v>8</v>
      </c>
      <c r="W162" s="7" t="s">
        <v>8</v>
      </c>
      <c r="X162" s="7" t="s">
        <v>8</v>
      </c>
    </row>
    <row r="163" spans="1:24" ht="45" customHeight="1" x14ac:dyDescent="0.25">
      <c r="A163" t="str">
        <f t="shared" si="4"/>
        <v xml:space="preserve">   </v>
      </c>
      <c r="B163" s="2" t="s">
        <v>8</v>
      </c>
      <c r="C163" s="2" t="s">
        <v>8</v>
      </c>
      <c r="D163" s="2" t="s">
        <v>8</v>
      </c>
      <c r="E163" s="2" t="s">
        <v>8</v>
      </c>
      <c r="F163" s="2" t="s">
        <v>8</v>
      </c>
      <c r="G163" s="2" t="s">
        <v>8</v>
      </c>
      <c r="H163" s="23" t="s">
        <v>8</v>
      </c>
      <c r="I163" s="2" t="s">
        <v>8</v>
      </c>
      <c r="J163" s="2" t="s">
        <v>8</v>
      </c>
      <c r="K163" s="2" t="s">
        <v>8</v>
      </c>
      <c r="L163" s="2" t="s">
        <v>8</v>
      </c>
      <c r="M163" s="2" t="s">
        <v>8</v>
      </c>
      <c r="N163" s="2" t="s">
        <v>8</v>
      </c>
      <c r="O163" s="23" t="s">
        <v>8</v>
      </c>
      <c r="P163" s="2" t="s">
        <v>8</v>
      </c>
      <c r="Q163" s="2" t="s">
        <v>8</v>
      </c>
      <c r="R163" s="2" t="s">
        <v>8</v>
      </c>
      <c r="S163" s="2" t="s">
        <v>8</v>
      </c>
      <c r="T163" s="2" t="s">
        <v>8</v>
      </c>
      <c r="U163" s="2" t="s">
        <v>8</v>
      </c>
      <c r="V163" s="23" t="s">
        <v>8</v>
      </c>
      <c r="W163" s="7" t="s">
        <v>8</v>
      </c>
      <c r="X163" s="7" t="s">
        <v>8</v>
      </c>
    </row>
    <row r="164" spans="1:24" ht="45" customHeight="1" x14ac:dyDescent="0.25">
      <c r="A164" t="str">
        <f t="shared" si="4"/>
        <v xml:space="preserve">   </v>
      </c>
      <c r="B164" s="2" t="s">
        <v>8</v>
      </c>
      <c r="C164" s="2" t="s">
        <v>8</v>
      </c>
      <c r="D164" s="2" t="s">
        <v>8</v>
      </c>
      <c r="E164" s="2" t="s">
        <v>8</v>
      </c>
      <c r="F164" s="2" t="s">
        <v>8</v>
      </c>
      <c r="G164" s="2" t="s">
        <v>8</v>
      </c>
      <c r="H164" s="23" t="s">
        <v>8</v>
      </c>
      <c r="I164" s="2" t="s">
        <v>8</v>
      </c>
      <c r="J164" s="2" t="s">
        <v>8</v>
      </c>
      <c r="K164" s="2" t="s">
        <v>8</v>
      </c>
      <c r="L164" s="2" t="s">
        <v>8</v>
      </c>
      <c r="M164" s="2" t="s">
        <v>8</v>
      </c>
      <c r="N164" s="2" t="s">
        <v>8</v>
      </c>
      <c r="O164" s="23" t="s">
        <v>8</v>
      </c>
      <c r="P164" s="2" t="s">
        <v>8</v>
      </c>
      <c r="Q164" s="2" t="s">
        <v>8</v>
      </c>
      <c r="R164" s="2" t="s">
        <v>8</v>
      </c>
      <c r="S164" s="2" t="s">
        <v>8</v>
      </c>
      <c r="T164" s="2" t="s">
        <v>8</v>
      </c>
      <c r="U164" s="2" t="s">
        <v>8</v>
      </c>
      <c r="V164" s="23" t="s">
        <v>8</v>
      </c>
      <c r="W164" s="7" t="s">
        <v>8</v>
      </c>
      <c r="X164" s="7" t="s">
        <v>8</v>
      </c>
    </row>
    <row r="165" spans="1:24" ht="45" customHeight="1" x14ac:dyDescent="0.25">
      <c r="A165" t="str">
        <f t="shared" si="4"/>
        <v xml:space="preserve">   </v>
      </c>
      <c r="B165" s="2" t="s">
        <v>8</v>
      </c>
      <c r="C165" s="2" t="s">
        <v>8</v>
      </c>
      <c r="D165" s="2" t="s">
        <v>8</v>
      </c>
      <c r="E165" s="2" t="s">
        <v>8</v>
      </c>
      <c r="F165" s="2" t="s">
        <v>8</v>
      </c>
      <c r="G165" s="2" t="s">
        <v>8</v>
      </c>
      <c r="H165" s="23" t="s">
        <v>8</v>
      </c>
      <c r="I165" s="2" t="s">
        <v>8</v>
      </c>
      <c r="J165" s="2" t="s">
        <v>8</v>
      </c>
      <c r="K165" s="2" t="s">
        <v>8</v>
      </c>
      <c r="L165" s="2" t="s">
        <v>8</v>
      </c>
      <c r="M165" s="2" t="s">
        <v>8</v>
      </c>
      <c r="N165" s="2" t="s">
        <v>8</v>
      </c>
      <c r="O165" s="23" t="s">
        <v>8</v>
      </c>
      <c r="P165" s="2" t="s">
        <v>8</v>
      </c>
      <c r="Q165" s="2" t="s">
        <v>8</v>
      </c>
      <c r="R165" s="2" t="s">
        <v>8</v>
      </c>
      <c r="S165" s="2" t="s">
        <v>8</v>
      </c>
      <c r="T165" s="2" t="s">
        <v>8</v>
      </c>
      <c r="U165" s="2" t="s">
        <v>8</v>
      </c>
      <c r="V165" s="23" t="s">
        <v>8</v>
      </c>
      <c r="W165" s="7" t="s">
        <v>8</v>
      </c>
      <c r="X165" s="7" t="s">
        <v>8</v>
      </c>
    </row>
    <row r="166" spans="1:24" ht="45" customHeight="1" x14ac:dyDescent="0.25">
      <c r="A166" t="str">
        <f t="shared" ref="A166:A200" si="5">A165</f>
        <v xml:space="preserve">   </v>
      </c>
      <c r="B166" s="2" t="s">
        <v>8</v>
      </c>
      <c r="C166" s="2" t="s">
        <v>8</v>
      </c>
      <c r="D166" s="2" t="s">
        <v>8</v>
      </c>
      <c r="E166" s="2" t="s">
        <v>8</v>
      </c>
      <c r="F166" s="2" t="s">
        <v>8</v>
      </c>
      <c r="G166" s="2" t="s">
        <v>8</v>
      </c>
      <c r="H166" s="23" t="s">
        <v>8</v>
      </c>
      <c r="I166" s="2" t="s">
        <v>8</v>
      </c>
      <c r="J166" s="2" t="s">
        <v>8</v>
      </c>
      <c r="K166" s="2" t="s">
        <v>8</v>
      </c>
      <c r="L166" s="2" t="s">
        <v>8</v>
      </c>
      <c r="M166" s="2" t="s">
        <v>8</v>
      </c>
      <c r="N166" s="2" t="s">
        <v>8</v>
      </c>
      <c r="O166" s="23" t="s">
        <v>8</v>
      </c>
      <c r="P166" s="2" t="s">
        <v>8</v>
      </c>
      <c r="Q166" s="2" t="s">
        <v>8</v>
      </c>
      <c r="R166" s="2" t="s">
        <v>8</v>
      </c>
      <c r="S166" s="2" t="s">
        <v>8</v>
      </c>
      <c r="T166" s="2" t="s">
        <v>8</v>
      </c>
      <c r="U166" s="2" t="s">
        <v>8</v>
      </c>
      <c r="V166" s="23" t="s">
        <v>8</v>
      </c>
      <c r="W166" s="7" t="s">
        <v>8</v>
      </c>
      <c r="X166" s="7" t="s">
        <v>8</v>
      </c>
    </row>
    <row r="167" spans="1:24" ht="45" customHeight="1" x14ac:dyDescent="0.25">
      <c r="A167" t="str">
        <f t="shared" si="5"/>
        <v xml:space="preserve">   </v>
      </c>
      <c r="B167" s="2" t="s">
        <v>8</v>
      </c>
      <c r="C167" s="2" t="s">
        <v>8</v>
      </c>
      <c r="D167" s="2" t="s">
        <v>8</v>
      </c>
      <c r="E167" s="2" t="s">
        <v>8</v>
      </c>
      <c r="F167" s="2" t="s">
        <v>8</v>
      </c>
      <c r="G167" s="2" t="s">
        <v>8</v>
      </c>
      <c r="H167" s="23" t="s">
        <v>8</v>
      </c>
      <c r="I167" s="2" t="s">
        <v>8</v>
      </c>
      <c r="J167" s="2" t="s">
        <v>8</v>
      </c>
      <c r="K167" s="2" t="s">
        <v>8</v>
      </c>
      <c r="L167" s="2" t="s">
        <v>8</v>
      </c>
      <c r="M167" s="2" t="s">
        <v>8</v>
      </c>
      <c r="N167" s="2" t="s">
        <v>8</v>
      </c>
      <c r="O167" s="23" t="s">
        <v>8</v>
      </c>
      <c r="P167" s="2" t="s">
        <v>8</v>
      </c>
      <c r="Q167" s="2" t="s">
        <v>8</v>
      </c>
      <c r="R167" s="2" t="s">
        <v>8</v>
      </c>
      <c r="S167" s="2" t="s">
        <v>8</v>
      </c>
      <c r="T167" s="2" t="s">
        <v>8</v>
      </c>
      <c r="U167" s="2" t="s">
        <v>8</v>
      </c>
      <c r="V167" s="23" t="s">
        <v>8</v>
      </c>
      <c r="W167" s="7" t="s">
        <v>8</v>
      </c>
      <c r="X167" s="7" t="s">
        <v>8</v>
      </c>
    </row>
    <row r="168" spans="1:24" ht="45" customHeight="1" x14ac:dyDescent="0.25">
      <c r="A168" t="str">
        <f t="shared" si="5"/>
        <v xml:space="preserve">   </v>
      </c>
      <c r="B168" s="2" t="s">
        <v>8</v>
      </c>
      <c r="C168" s="2" t="s">
        <v>8</v>
      </c>
      <c r="D168" s="2" t="s">
        <v>8</v>
      </c>
      <c r="E168" s="2" t="s">
        <v>8</v>
      </c>
      <c r="F168" s="2" t="s">
        <v>8</v>
      </c>
      <c r="G168" s="2" t="s">
        <v>8</v>
      </c>
      <c r="H168" s="23" t="s">
        <v>8</v>
      </c>
      <c r="I168" s="2" t="s">
        <v>8</v>
      </c>
      <c r="J168" s="2" t="s">
        <v>8</v>
      </c>
      <c r="K168" s="2" t="s">
        <v>8</v>
      </c>
      <c r="L168" s="2" t="s">
        <v>8</v>
      </c>
      <c r="M168" s="2" t="s">
        <v>8</v>
      </c>
      <c r="N168" s="2" t="s">
        <v>8</v>
      </c>
      <c r="O168" s="23" t="s">
        <v>8</v>
      </c>
      <c r="P168" s="2" t="s">
        <v>8</v>
      </c>
      <c r="Q168" s="2" t="s">
        <v>8</v>
      </c>
      <c r="R168" s="2" t="s">
        <v>8</v>
      </c>
      <c r="S168" s="2" t="s">
        <v>8</v>
      </c>
      <c r="T168" s="2" t="s">
        <v>8</v>
      </c>
      <c r="U168" s="2" t="s">
        <v>8</v>
      </c>
      <c r="V168" s="23" t="s">
        <v>8</v>
      </c>
      <c r="W168" s="7" t="s">
        <v>8</v>
      </c>
      <c r="X168" s="7" t="s">
        <v>8</v>
      </c>
    </row>
    <row r="169" spans="1:24" ht="45" customHeight="1" x14ac:dyDescent="0.25">
      <c r="A169" t="str">
        <f t="shared" si="5"/>
        <v xml:space="preserve">   </v>
      </c>
      <c r="B169" s="2" t="s">
        <v>8</v>
      </c>
      <c r="C169" s="2" t="s">
        <v>8</v>
      </c>
      <c r="D169" s="2" t="s">
        <v>8</v>
      </c>
      <c r="E169" s="2" t="s">
        <v>8</v>
      </c>
      <c r="F169" s="2" t="s">
        <v>8</v>
      </c>
      <c r="G169" s="2" t="s">
        <v>8</v>
      </c>
      <c r="H169" s="23" t="s">
        <v>8</v>
      </c>
      <c r="I169" s="2" t="s">
        <v>8</v>
      </c>
      <c r="J169" s="2" t="s">
        <v>8</v>
      </c>
      <c r="K169" s="2" t="s">
        <v>8</v>
      </c>
      <c r="L169" s="2" t="s">
        <v>8</v>
      </c>
      <c r="M169" s="2" t="s">
        <v>8</v>
      </c>
      <c r="N169" s="2" t="s">
        <v>8</v>
      </c>
      <c r="O169" s="23" t="s">
        <v>8</v>
      </c>
      <c r="P169" s="2" t="s">
        <v>8</v>
      </c>
      <c r="Q169" s="2" t="s">
        <v>8</v>
      </c>
      <c r="R169" s="2" t="s">
        <v>8</v>
      </c>
      <c r="S169" s="2" t="s">
        <v>8</v>
      </c>
      <c r="T169" s="2" t="s">
        <v>8</v>
      </c>
      <c r="U169" s="2" t="s">
        <v>8</v>
      </c>
      <c r="V169" s="23" t="s">
        <v>8</v>
      </c>
      <c r="W169" s="7" t="s">
        <v>8</v>
      </c>
      <c r="X169" s="7" t="s">
        <v>8</v>
      </c>
    </row>
    <row r="170" spans="1:24" ht="45" customHeight="1" x14ac:dyDescent="0.25">
      <c r="A170" t="str">
        <f t="shared" si="5"/>
        <v xml:space="preserve">   </v>
      </c>
      <c r="B170" s="2" t="s">
        <v>8</v>
      </c>
      <c r="C170" s="2" t="s">
        <v>8</v>
      </c>
      <c r="D170" s="2" t="s">
        <v>8</v>
      </c>
      <c r="E170" s="2" t="s">
        <v>8</v>
      </c>
      <c r="F170" s="2" t="s">
        <v>8</v>
      </c>
      <c r="G170" s="2" t="s">
        <v>8</v>
      </c>
      <c r="H170" s="23" t="s">
        <v>8</v>
      </c>
      <c r="I170" s="2" t="s">
        <v>8</v>
      </c>
      <c r="J170" s="2" t="s">
        <v>8</v>
      </c>
      <c r="K170" s="2" t="s">
        <v>8</v>
      </c>
      <c r="L170" s="2" t="s">
        <v>8</v>
      </c>
      <c r="M170" s="2" t="s">
        <v>8</v>
      </c>
      <c r="N170" s="2" t="s">
        <v>8</v>
      </c>
      <c r="O170" s="23" t="s">
        <v>8</v>
      </c>
      <c r="P170" s="2" t="s">
        <v>8</v>
      </c>
      <c r="Q170" s="2" t="s">
        <v>8</v>
      </c>
      <c r="R170" s="2" t="s">
        <v>8</v>
      </c>
      <c r="S170" s="2" t="s">
        <v>8</v>
      </c>
      <c r="T170" s="2" t="s">
        <v>8</v>
      </c>
      <c r="U170" s="2" t="s">
        <v>8</v>
      </c>
      <c r="V170" s="23" t="s">
        <v>8</v>
      </c>
      <c r="W170" s="7" t="s">
        <v>8</v>
      </c>
      <c r="X170" s="7" t="s">
        <v>8</v>
      </c>
    </row>
    <row r="171" spans="1:24" ht="45" customHeight="1" x14ac:dyDescent="0.25">
      <c r="A171" t="str">
        <f t="shared" si="5"/>
        <v xml:space="preserve">   </v>
      </c>
      <c r="B171" s="2" t="s">
        <v>8</v>
      </c>
      <c r="C171" s="2" t="s">
        <v>8</v>
      </c>
      <c r="D171" s="2" t="s">
        <v>8</v>
      </c>
      <c r="E171" s="2" t="s">
        <v>8</v>
      </c>
      <c r="F171" s="2" t="s">
        <v>8</v>
      </c>
      <c r="G171" s="2" t="s">
        <v>8</v>
      </c>
      <c r="H171" s="23" t="s">
        <v>8</v>
      </c>
      <c r="I171" s="2" t="s">
        <v>8</v>
      </c>
      <c r="J171" s="2" t="s">
        <v>8</v>
      </c>
      <c r="K171" s="2" t="s">
        <v>8</v>
      </c>
      <c r="L171" s="2" t="s">
        <v>8</v>
      </c>
      <c r="M171" s="2" t="s">
        <v>8</v>
      </c>
      <c r="N171" s="2" t="s">
        <v>8</v>
      </c>
      <c r="O171" s="23" t="s">
        <v>8</v>
      </c>
      <c r="P171" s="2" t="s">
        <v>8</v>
      </c>
      <c r="Q171" s="2" t="s">
        <v>8</v>
      </c>
      <c r="R171" s="2" t="s">
        <v>8</v>
      </c>
      <c r="S171" s="2" t="s">
        <v>8</v>
      </c>
      <c r="T171" s="2" t="s">
        <v>8</v>
      </c>
      <c r="U171" s="2" t="s">
        <v>8</v>
      </c>
      <c r="V171" s="23" t="s">
        <v>8</v>
      </c>
      <c r="W171" s="7" t="s">
        <v>8</v>
      </c>
      <c r="X171" s="7" t="s">
        <v>8</v>
      </c>
    </row>
    <row r="172" spans="1:24" ht="45" customHeight="1" x14ac:dyDescent="0.25">
      <c r="A172" t="str">
        <f t="shared" si="5"/>
        <v xml:space="preserve">   </v>
      </c>
      <c r="B172" s="2" t="s">
        <v>8</v>
      </c>
      <c r="C172" s="2" t="s">
        <v>8</v>
      </c>
      <c r="D172" s="2" t="s">
        <v>8</v>
      </c>
      <c r="E172" s="2" t="s">
        <v>8</v>
      </c>
      <c r="F172" s="2" t="s">
        <v>8</v>
      </c>
      <c r="G172" s="2" t="s">
        <v>8</v>
      </c>
      <c r="H172" s="23" t="s">
        <v>8</v>
      </c>
      <c r="I172" s="2" t="s">
        <v>8</v>
      </c>
      <c r="J172" s="2" t="s">
        <v>8</v>
      </c>
      <c r="K172" s="2" t="s">
        <v>8</v>
      </c>
      <c r="L172" s="2" t="s">
        <v>8</v>
      </c>
      <c r="M172" s="2" t="s">
        <v>8</v>
      </c>
      <c r="N172" s="2" t="s">
        <v>8</v>
      </c>
      <c r="O172" s="23" t="s">
        <v>8</v>
      </c>
      <c r="P172" s="2" t="s">
        <v>8</v>
      </c>
      <c r="Q172" s="2" t="s">
        <v>8</v>
      </c>
      <c r="R172" s="2" t="s">
        <v>8</v>
      </c>
      <c r="S172" s="2" t="s">
        <v>8</v>
      </c>
      <c r="T172" s="2" t="s">
        <v>8</v>
      </c>
      <c r="U172" s="2" t="s">
        <v>8</v>
      </c>
      <c r="V172" s="23" t="s">
        <v>8</v>
      </c>
      <c r="W172" s="7" t="s">
        <v>8</v>
      </c>
      <c r="X172" s="7" t="s">
        <v>8</v>
      </c>
    </row>
    <row r="173" spans="1:24" ht="45" customHeight="1" x14ac:dyDescent="0.25">
      <c r="A173" t="str">
        <f t="shared" si="5"/>
        <v xml:space="preserve">   </v>
      </c>
      <c r="B173" s="2" t="s">
        <v>8</v>
      </c>
      <c r="C173" s="2" t="s">
        <v>8</v>
      </c>
      <c r="D173" s="2" t="s">
        <v>8</v>
      </c>
      <c r="E173" s="2" t="s">
        <v>8</v>
      </c>
      <c r="F173" s="2" t="s">
        <v>8</v>
      </c>
      <c r="G173" s="2" t="s">
        <v>8</v>
      </c>
      <c r="H173" s="23" t="s">
        <v>8</v>
      </c>
      <c r="I173" s="2" t="s">
        <v>8</v>
      </c>
      <c r="J173" s="2" t="s">
        <v>8</v>
      </c>
      <c r="K173" s="2" t="s">
        <v>8</v>
      </c>
      <c r="L173" s="2" t="s">
        <v>8</v>
      </c>
      <c r="M173" s="2" t="s">
        <v>8</v>
      </c>
      <c r="N173" s="2" t="s">
        <v>8</v>
      </c>
      <c r="O173" s="23" t="s">
        <v>8</v>
      </c>
      <c r="P173" s="2" t="s">
        <v>8</v>
      </c>
      <c r="Q173" s="2" t="s">
        <v>8</v>
      </c>
      <c r="R173" s="2" t="s">
        <v>8</v>
      </c>
      <c r="S173" s="2" t="s">
        <v>8</v>
      </c>
      <c r="T173" s="2" t="s">
        <v>8</v>
      </c>
      <c r="U173" s="2" t="s">
        <v>8</v>
      </c>
      <c r="V173" s="23" t="s">
        <v>8</v>
      </c>
      <c r="W173" s="7" t="s">
        <v>8</v>
      </c>
      <c r="X173" s="7" t="s">
        <v>8</v>
      </c>
    </row>
    <row r="174" spans="1:24" ht="45" customHeight="1" x14ac:dyDescent="0.25">
      <c r="A174" t="str">
        <f t="shared" si="5"/>
        <v xml:space="preserve">   </v>
      </c>
      <c r="B174" s="2" t="s">
        <v>8</v>
      </c>
      <c r="C174" s="2" t="s">
        <v>8</v>
      </c>
      <c r="D174" s="2" t="s">
        <v>8</v>
      </c>
      <c r="E174" s="2" t="s">
        <v>8</v>
      </c>
      <c r="F174" s="2" t="s">
        <v>8</v>
      </c>
      <c r="G174" s="2" t="s">
        <v>8</v>
      </c>
      <c r="H174" s="23" t="s">
        <v>8</v>
      </c>
      <c r="I174" s="2" t="s">
        <v>8</v>
      </c>
      <c r="J174" s="2" t="s">
        <v>8</v>
      </c>
      <c r="K174" s="2" t="s">
        <v>8</v>
      </c>
      <c r="L174" s="2" t="s">
        <v>8</v>
      </c>
      <c r="M174" s="2" t="s">
        <v>8</v>
      </c>
      <c r="N174" s="2" t="s">
        <v>8</v>
      </c>
      <c r="O174" s="23" t="s">
        <v>8</v>
      </c>
      <c r="P174" s="2" t="s">
        <v>8</v>
      </c>
      <c r="Q174" s="2" t="s">
        <v>8</v>
      </c>
      <c r="R174" s="2" t="s">
        <v>8</v>
      </c>
      <c r="S174" s="2" t="s">
        <v>8</v>
      </c>
      <c r="T174" s="2" t="s">
        <v>8</v>
      </c>
      <c r="U174" s="2" t="s">
        <v>8</v>
      </c>
      <c r="V174" s="23" t="s">
        <v>8</v>
      </c>
      <c r="W174" s="7" t="s">
        <v>8</v>
      </c>
      <c r="X174" s="7" t="s">
        <v>8</v>
      </c>
    </row>
    <row r="175" spans="1:24" ht="45" customHeight="1" x14ac:dyDescent="0.25">
      <c r="A175" t="str">
        <f t="shared" si="5"/>
        <v xml:space="preserve">   </v>
      </c>
      <c r="B175" s="2" t="s">
        <v>8</v>
      </c>
      <c r="C175" s="2" t="s">
        <v>8</v>
      </c>
      <c r="D175" s="2" t="s">
        <v>8</v>
      </c>
      <c r="E175" s="2" t="s">
        <v>8</v>
      </c>
      <c r="F175" s="2" t="s">
        <v>8</v>
      </c>
      <c r="G175" s="2" t="s">
        <v>8</v>
      </c>
      <c r="H175" s="23" t="s">
        <v>8</v>
      </c>
      <c r="I175" s="2" t="s">
        <v>8</v>
      </c>
      <c r="J175" s="2" t="s">
        <v>8</v>
      </c>
      <c r="K175" s="2" t="s">
        <v>8</v>
      </c>
      <c r="L175" s="2" t="s">
        <v>8</v>
      </c>
      <c r="M175" s="2" t="s">
        <v>8</v>
      </c>
      <c r="N175" s="2" t="s">
        <v>8</v>
      </c>
      <c r="O175" s="23" t="s">
        <v>8</v>
      </c>
      <c r="P175" s="2" t="s">
        <v>8</v>
      </c>
      <c r="Q175" s="2" t="s">
        <v>8</v>
      </c>
      <c r="R175" s="2" t="s">
        <v>8</v>
      </c>
      <c r="S175" s="2" t="s">
        <v>8</v>
      </c>
      <c r="T175" s="2" t="s">
        <v>8</v>
      </c>
      <c r="U175" s="2" t="s">
        <v>8</v>
      </c>
      <c r="V175" s="23" t="s">
        <v>8</v>
      </c>
      <c r="W175" s="7" t="s">
        <v>8</v>
      </c>
      <c r="X175" s="7" t="s">
        <v>8</v>
      </c>
    </row>
    <row r="176" spans="1:24" ht="45" customHeight="1" x14ac:dyDescent="0.25">
      <c r="A176" t="str">
        <f t="shared" si="5"/>
        <v xml:space="preserve">   </v>
      </c>
      <c r="B176" s="2" t="s">
        <v>8</v>
      </c>
      <c r="C176" s="2" t="s">
        <v>8</v>
      </c>
      <c r="D176" s="2" t="s">
        <v>8</v>
      </c>
      <c r="E176" s="2" t="s">
        <v>8</v>
      </c>
      <c r="F176" s="2" t="s">
        <v>8</v>
      </c>
      <c r="G176" s="2" t="s">
        <v>8</v>
      </c>
      <c r="H176" s="23" t="s">
        <v>8</v>
      </c>
      <c r="I176" s="2" t="s">
        <v>8</v>
      </c>
      <c r="J176" s="2" t="s">
        <v>8</v>
      </c>
      <c r="K176" s="2" t="s">
        <v>8</v>
      </c>
      <c r="L176" s="2" t="s">
        <v>8</v>
      </c>
      <c r="M176" s="2" t="s">
        <v>8</v>
      </c>
      <c r="N176" s="2" t="s">
        <v>8</v>
      </c>
      <c r="O176" s="23" t="s">
        <v>8</v>
      </c>
      <c r="P176" s="2" t="s">
        <v>8</v>
      </c>
      <c r="Q176" s="2" t="s">
        <v>8</v>
      </c>
      <c r="R176" s="2" t="s">
        <v>8</v>
      </c>
      <c r="S176" s="2" t="s">
        <v>8</v>
      </c>
      <c r="T176" s="2" t="s">
        <v>8</v>
      </c>
      <c r="U176" s="2" t="s">
        <v>8</v>
      </c>
      <c r="V176" s="23" t="s">
        <v>8</v>
      </c>
      <c r="W176" s="7" t="s">
        <v>8</v>
      </c>
      <c r="X176" s="7" t="s">
        <v>8</v>
      </c>
    </row>
    <row r="177" spans="1:24" x14ac:dyDescent="0.25">
      <c r="A177" t="str">
        <f t="shared" si="5"/>
        <v xml:space="preserve">   </v>
      </c>
      <c r="B177" s="2" t="s">
        <v>8</v>
      </c>
      <c r="C177" s="2" t="s">
        <v>8</v>
      </c>
      <c r="D177" s="2" t="s">
        <v>8</v>
      </c>
      <c r="E177" s="2" t="s">
        <v>8</v>
      </c>
      <c r="F177" s="2" t="s">
        <v>8</v>
      </c>
      <c r="G177" s="2" t="s">
        <v>8</v>
      </c>
      <c r="H177" s="2" t="s">
        <v>8</v>
      </c>
      <c r="I177" s="2" t="s">
        <v>8</v>
      </c>
      <c r="J177" s="2" t="s">
        <v>8</v>
      </c>
      <c r="K177" s="2" t="s">
        <v>8</v>
      </c>
      <c r="L177" s="2" t="s">
        <v>8</v>
      </c>
      <c r="M177" s="2" t="s">
        <v>8</v>
      </c>
      <c r="N177" s="2" t="s">
        <v>8</v>
      </c>
      <c r="O177" s="2" t="s">
        <v>8</v>
      </c>
      <c r="P177" s="2" t="s">
        <v>8</v>
      </c>
      <c r="Q177" s="2" t="s">
        <v>8</v>
      </c>
      <c r="R177" s="2" t="s">
        <v>8</v>
      </c>
      <c r="S177" s="2" t="s">
        <v>8</v>
      </c>
      <c r="T177" s="2" t="s">
        <v>8</v>
      </c>
      <c r="U177" s="2" t="s">
        <v>8</v>
      </c>
      <c r="V177" s="2" t="s">
        <v>8</v>
      </c>
      <c r="W177" s="7" t="s">
        <v>8</v>
      </c>
      <c r="X177" s="7" t="s">
        <v>8</v>
      </c>
    </row>
    <row r="178" spans="1:24" x14ac:dyDescent="0.25">
      <c r="A178" t="str">
        <f t="shared" si="5"/>
        <v xml:space="preserve">   </v>
      </c>
      <c r="B178" s="2" t="s">
        <v>8</v>
      </c>
      <c r="C178" s="2" t="s">
        <v>8</v>
      </c>
      <c r="D178" s="2" t="s">
        <v>8</v>
      </c>
      <c r="E178" s="2" t="s">
        <v>8</v>
      </c>
      <c r="F178" s="2" t="s">
        <v>8</v>
      </c>
      <c r="G178" s="2" t="s">
        <v>8</v>
      </c>
      <c r="H178" s="2" t="s">
        <v>8</v>
      </c>
      <c r="I178" s="2" t="s">
        <v>8</v>
      </c>
      <c r="J178" s="2" t="s">
        <v>8</v>
      </c>
      <c r="K178" s="2" t="s">
        <v>8</v>
      </c>
      <c r="L178" s="2" t="s">
        <v>8</v>
      </c>
      <c r="M178" s="2" t="s">
        <v>8</v>
      </c>
      <c r="N178" s="2" t="s">
        <v>8</v>
      </c>
      <c r="O178" s="2" t="s">
        <v>8</v>
      </c>
      <c r="P178" s="2" t="s">
        <v>8</v>
      </c>
      <c r="Q178" s="2" t="s">
        <v>8</v>
      </c>
      <c r="R178" s="2" t="s">
        <v>8</v>
      </c>
      <c r="S178" s="2" t="s">
        <v>8</v>
      </c>
      <c r="T178" s="2" t="s">
        <v>8</v>
      </c>
      <c r="U178" s="2" t="s">
        <v>8</v>
      </c>
      <c r="V178" s="2" t="s">
        <v>8</v>
      </c>
      <c r="W178" s="7" t="s">
        <v>8</v>
      </c>
      <c r="X178" s="7" t="s">
        <v>8</v>
      </c>
    </row>
    <row r="179" spans="1:24" x14ac:dyDescent="0.25">
      <c r="A179" t="str">
        <f t="shared" si="5"/>
        <v xml:space="preserve">   </v>
      </c>
      <c r="B179" s="2" t="s">
        <v>8</v>
      </c>
      <c r="C179" s="2" t="s">
        <v>8</v>
      </c>
      <c r="D179" s="2" t="s">
        <v>8</v>
      </c>
      <c r="E179" s="2" t="s">
        <v>8</v>
      </c>
      <c r="F179" s="2" t="s">
        <v>8</v>
      </c>
      <c r="G179" s="2" t="s">
        <v>8</v>
      </c>
      <c r="H179" s="2" t="s">
        <v>8</v>
      </c>
      <c r="I179" s="2" t="s">
        <v>8</v>
      </c>
      <c r="J179" s="2" t="s">
        <v>8</v>
      </c>
      <c r="K179" s="2" t="s">
        <v>8</v>
      </c>
      <c r="L179" s="2" t="s">
        <v>8</v>
      </c>
      <c r="M179" s="2" t="s">
        <v>8</v>
      </c>
      <c r="N179" s="2" t="s">
        <v>8</v>
      </c>
      <c r="O179" s="2" t="s">
        <v>8</v>
      </c>
      <c r="P179" s="2" t="s">
        <v>8</v>
      </c>
      <c r="Q179" s="2" t="s">
        <v>8</v>
      </c>
      <c r="R179" s="2" t="s">
        <v>8</v>
      </c>
      <c r="S179" s="2" t="s">
        <v>8</v>
      </c>
      <c r="T179" s="2" t="s">
        <v>8</v>
      </c>
      <c r="U179" s="2" t="s">
        <v>8</v>
      </c>
      <c r="V179" s="2" t="s">
        <v>8</v>
      </c>
      <c r="W179" s="7" t="s">
        <v>8</v>
      </c>
      <c r="X179" s="7" t="s">
        <v>8</v>
      </c>
    </row>
    <row r="180" spans="1:24" x14ac:dyDescent="0.25">
      <c r="A180" t="str">
        <f t="shared" si="5"/>
        <v xml:space="preserve">   </v>
      </c>
      <c r="B180" s="2" t="s">
        <v>8</v>
      </c>
      <c r="C180" s="2" t="s">
        <v>8</v>
      </c>
      <c r="D180" s="2" t="s">
        <v>8</v>
      </c>
      <c r="E180" s="2" t="s">
        <v>8</v>
      </c>
      <c r="F180" s="2" t="s">
        <v>8</v>
      </c>
      <c r="G180" s="2" t="s">
        <v>8</v>
      </c>
      <c r="H180" s="2" t="s">
        <v>8</v>
      </c>
      <c r="I180" s="2" t="s">
        <v>8</v>
      </c>
      <c r="J180" s="2" t="s">
        <v>8</v>
      </c>
      <c r="K180" s="2" t="s">
        <v>8</v>
      </c>
      <c r="L180" s="2" t="s">
        <v>8</v>
      </c>
      <c r="M180" s="2" t="s">
        <v>8</v>
      </c>
      <c r="N180" s="2" t="s">
        <v>8</v>
      </c>
      <c r="O180" s="2" t="s">
        <v>8</v>
      </c>
      <c r="P180" s="2" t="s">
        <v>8</v>
      </c>
      <c r="Q180" s="2" t="s">
        <v>8</v>
      </c>
      <c r="R180" s="2" t="s">
        <v>8</v>
      </c>
      <c r="S180" s="2" t="s">
        <v>8</v>
      </c>
      <c r="T180" s="2" t="s">
        <v>8</v>
      </c>
      <c r="U180" s="2" t="s">
        <v>8</v>
      </c>
      <c r="V180" s="2" t="s">
        <v>8</v>
      </c>
      <c r="W180" s="7" t="s">
        <v>8</v>
      </c>
      <c r="X180" s="7" t="s">
        <v>8</v>
      </c>
    </row>
    <row r="181" spans="1:24" x14ac:dyDescent="0.25">
      <c r="A181" t="str">
        <f t="shared" si="5"/>
        <v xml:space="preserve">   </v>
      </c>
      <c r="B181" s="2" t="s">
        <v>8</v>
      </c>
      <c r="C181" s="2" t="s">
        <v>8</v>
      </c>
      <c r="D181" s="2" t="s">
        <v>8</v>
      </c>
      <c r="E181" s="2" t="s">
        <v>8</v>
      </c>
      <c r="F181" s="2" t="s">
        <v>8</v>
      </c>
      <c r="G181" s="2" t="s">
        <v>8</v>
      </c>
      <c r="H181" s="2" t="s">
        <v>8</v>
      </c>
      <c r="I181" s="2" t="s">
        <v>8</v>
      </c>
      <c r="J181" s="2" t="s">
        <v>8</v>
      </c>
      <c r="K181" s="2" t="s">
        <v>8</v>
      </c>
      <c r="L181" s="2" t="s">
        <v>8</v>
      </c>
      <c r="M181" s="2" t="s">
        <v>8</v>
      </c>
      <c r="N181" s="2" t="s">
        <v>8</v>
      </c>
      <c r="O181" s="2" t="s">
        <v>8</v>
      </c>
      <c r="P181" s="2" t="s">
        <v>8</v>
      </c>
      <c r="Q181" s="2" t="s">
        <v>8</v>
      </c>
      <c r="R181" s="2" t="s">
        <v>8</v>
      </c>
      <c r="S181" s="2" t="s">
        <v>8</v>
      </c>
      <c r="T181" s="2" t="s">
        <v>8</v>
      </c>
      <c r="U181" s="2" t="s">
        <v>8</v>
      </c>
      <c r="V181" s="2" t="s">
        <v>8</v>
      </c>
      <c r="W181" s="7" t="s">
        <v>8</v>
      </c>
      <c r="X181" s="7" t="s">
        <v>8</v>
      </c>
    </row>
    <row r="182" spans="1:24" x14ac:dyDescent="0.25">
      <c r="A182" t="str">
        <f t="shared" si="5"/>
        <v xml:space="preserve">   </v>
      </c>
      <c r="B182" s="2" t="s">
        <v>8</v>
      </c>
      <c r="C182" s="2" t="s">
        <v>8</v>
      </c>
      <c r="D182" s="2" t="s">
        <v>8</v>
      </c>
      <c r="E182" s="2" t="s">
        <v>8</v>
      </c>
      <c r="F182" s="2" t="s">
        <v>8</v>
      </c>
      <c r="G182" s="2" t="s">
        <v>8</v>
      </c>
      <c r="H182" s="2" t="s">
        <v>8</v>
      </c>
      <c r="I182" s="2" t="s">
        <v>8</v>
      </c>
      <c r="J182" s="2" t="s">
        <v>8</v>
      </c>
      <c r="K182" s="2" t="s">
        <v>8</v>
      </c>
      <c r="L182" s="2" t="s">
        <v>8</v>
      </c>
      <c r="M182" s="2" t="s">
        <v>8</v>
      </c>
      <c r="N182" s="2" t="s">
        <v>8</v>
      </c>
      <c r="O182" s="2" t="s">
        <v>8</v>
      </c>
      <c r="P182" s="2" t="s">
        <v>8</v>
      </c>
      <c r="Q182" s="2" t="s">
        <v>8</v>
      </c>
      <c r="R182" s="2" t="s">
        <v>8</v>
      </c>
      <c r="S182" s="2" t="s">
        <v>8</v>
      </c>
      <c r="T182" s="2" t="s">
        <v>8</v>
      </c>
      <c r="U182" s="2" t="s">
        <v>8</v>
      </c>
      <c r="V182" s="2" t="s">
        <v>8</v>
      </c>
      <c r="W182" s="7" t="s">
        <v>8</v>
      </c>
      <c r="X182" s="7" t="s">
        <v>8</v>
      </c>
    </row>
    <row r="183" spans="1:24" x14ac:dyDescent="0.25">
      <c r="A183" t="str">
        <f t="shared" si="5"/>
        <v xml:space="preserve">   </v>
      </c>
      <c r="B183" s="2" t="s">
        <v>8</v>
      </c>
      <c r="C183" s="2" t="s">
        <v>8</v>
      </c>
      <c r="D183" s="2" t="s">
        <v>8</v>
      </c>
      <c r="E183" s="2" t="s">
        <v>8</v>
      </c>
      <c r="F183" s="2" t="s">
        <v>8</v>
      </c>
      <c r="G183" s="2" t="s">
        <v>8</v>
      </c>
      <c r="H183" s="2" t="s">
        <v>8</v>
      </c>
      <c r="I183" s="2" t="s">
        <v>8</v>
      </c>
      <c r="J183" s="2" t="s">
        <v>8</v>
      </c>
      <c r="K183" s="2" t="s">
        <v>8</v>
      </c>
      <c r="L183" s="2" t="s">
        <v>8</v>
      </c>
      <c r="M183" s="2" t="s">
        <v>8</v>
      </c>
      <c r="N183" s="2" t="s">
        <v>8</v>
      </c>
      <c r="O183" s="2" t="s">
        <v>8</v>
      </c>
      <c r="P183" s="2" t="s">
        <v>8</v>
      </c>
      <c r="Q183" s="2" t="s">
        <v>8</v>
      </c>
      <c r="R183" s="2" t="s">
        <v>8</v>
      </c>
      <c r="S183" s="2" t="s">
        <v>8</v>
      </c>
      <c r="T183" s="2" t="s">
        <v>8</v>
      </c>
      <c r="U183" s="2" t="s">
        <v>8</v>
      </c>
      <c r="V183" s="2" t="s">
        <v>8</v>
      </c>
      <c r="W183" s="7" t="s">
        <v>8</v>
      </c>
      <c r="X183" s="7" t="s">
        <v>8</v>
      </c>
    </row>
    <row r="184" spans="1:24" x14ac:dyDescent="0.25">
      <c r="A184" t="str">
        <f t="shared" si="5"/>
        <v xml:space="preserve">   </v>
      </c>
      <c r="B184" s="2" t="s">
        <v>8</v>
      </c>
      <c r="C184" s="2" t="s">
        <v>8</v>
      </c>
      <c r="D184" s="2" t="s">
        <v>8</v>
      </c>
      <c r="E184" s="2" t="s">
        <v>8</v>
      </c>
      <c r="F184" s="2" t="s">
        <v>8</v>
      </c>
      <c r="G184" s="2" t="s">
        <v>8</v>
      </c>
      <c r="H184" s="2" t="s">
        <v>8</v>
      </c>
      <c r="I184" s="2" t="s">
        <v>8</v>
      </c>
      <c r="J184" s="2" t="s">
        <v>8</v>
      </c>
      <c r="K184" s="2" t="s">
        <v>8</v>
      </c>
      <c r="L184" s="2" t="s">
        <v>8</v>
      </c>
      <c r="M184" s="2" t="s">
        <v>8</v>
      </c>
      <c r="N184" s="2" t="s">
        <v>8</v>
      </c>
      <c r="O184" s="2" t="s">
        <v>8</v>
      </c>
      <c r="P184" s="2" t="s">
        <v>8</v>
      </c>
      <c r="Q184" s="2" t="s">
        <v>8</v>
      </c>
      <c r="R184" s="2" t="s">
        <v>8</v>
      </c>
      <c r="S184" s="2" t="s">
        <v>8</v>
      </c>
      <c r="T184" s="2" t="s">
        <v>8</v>
      </c>
      <c r="U184" s="2" t="s">
        <v>8</v>
      </c>
      <c r="V184" s="2" t="s">
        <v>8</v>
      </c>
      <c r="W184" s="7" t="s">
        <v>8</v>
      </c>
      <c r="X184" s="7" t="s">
        <v>8</v>
      </c>
    </row>
    <row r="185" spans="1:24" x14ac:dyDescent="0.25">
      <c r="A185" t="str">
        <f t="shared" si="5"/>
        <v xml:space="preserve">   </v>
      </c>
      <c r="B185" s="2" t="s">
        <v>8</v>
      </c>
      <c r="C185" s="2" t="s">
        <v>8</v>
      </c>
      <c r="D185" s="2" t="s">
        <v>8</v>
      </c>
      <c r="E185" s="2" t="s">
        <v>8</v>
      </c>
      <c r="F185" s="2" t="s">
        <v>8</v>
      </c>
      <c r="G185" s="2" t="s">
        <v>8</v>
      </c>
      <c r="H185" s="2" t="s">
        <v>8</v>
      </c>
      <c r="I185" s="2" t="s">
        <v>8</v>
      </c>
      <c r="J185" s="2" t="s">
        <v>8</v>
      </c>
      <c r="K185" s="2" t="s">
        <v>8</v>
      </c>
      <c r="L185" s="2" t="s">
        <v>8</v>
      </c>
      <c r="M185" s="2" t="s">
        <v>8</v>
      </c>
      <c r="N185" s="2" t="s">
        <v>8</v>
      </c>
      <c r="O185" s="2" t="s">
        <v>8</v>
      </c>
      <c r="P185" s="2" t="s">
        <v>8</v>
      </c>
      <c r="Q185" s="2" t="s">
        <v>8</v>
      </c>
      <c r="R185" s="2" t="s">
        <v>8</v>
      </c>
      <c r="S185" s="2" t="s">
        <v>8</v>
      </c>
      <c r="T185" s="2" t="s">
        <v>8</v>
      </c>
      <c r="U185" s="2" t="s">
        <v>8</v>
      </c>
      <c r="V185" s="2" t="s">
        <v>8</v>
      </c>
      <c r="W185" s="7" t="s">
        <v>8</v>
      </c>
      <c r="X185" s="7" t="s">
        <v>8</v>
      </c>
    </row>
    <row r="186" spans="1:24" x14ac:dyDescent="0.25">
      <c r="A186" t="str">
        <f t="shared" si="5"/>
        <v xml:space="preserve">   </v>
      </c>
      <c r="B186" s="2" t="s">
        <v>8</v>
      </c>
      <c r="C186" s="2" t="s">
        <v>8</v>
      </c>
      <c r="D186" s="2" t="s">
        <v>8</v>
      </c>
      <c r="E186" s="2" t="s">
        <v>8</v>
      </c>
      <c r="F186" s="2" t="s">
        <v>8</v>
      </c>
      <c r="G186" s="2" t="s">
        <v>8</v>
      </c>
      <c r="H186" s="2" t="s">
        <v>8</v>
      </c>
      <c r="I186" s="2" t="s">
        <v>8</v>
      </c>
      <c r="J186" s="2" t="s">
        <v>8</v>
      </c>
      <c r="K186" s="2" t="s">
        <v>8</v>
      </c>
      <c r="L186" s="2" t="s">
        <v>8</v>
      </c>
      <c r="M186" s="2" t="s">
        <v>8</v>
      </c>
      <c r="N186" s="2" t="s">
        <v>8</v>
      </c>
      <c r="O186" s="2" t="s">
        <v>8</v>
      </c>
      <c r="P186" s="2" t="s">
        <v>8</v>
      </c>
      <c r="Q186" s="2" t="s">
        <v>8</v>
      </c>
      <c r="R186" s="2" t="s">
        <v>8</v>
      </c>
      <c r="S186" s="2" t="s">
        <v>8</v>
      </c>
      <c r="T186" s="2" t="s">
        <v>8</v>
      </c>
      <c r="U186" s="2" t="s">
        <v>8</v>
      </c>
      <c r="V186" s="2" t="s">
        <v>8</v>
      </c>
      <c r="W186" s="7" t="s">
        <v>8</v>
      </c>
      <c r="X186" s="7" t="s">
        <v>8</v>
      </c>
    </row>
    <row r="187" spans="1:24" x14ac:dyDescent="0.25">
      <c r="A187" t="str">
        <f t="shared" si="5"/>
        <v xml:space="preserve">   </v>
      </c>
      <c r="B187" s="2" t="s">
        <v>8</v>
      </c>
      <c r="C187" s="2" t="s">
        <v>8</v>
      </c>
      <c r="D187" s="2" t="s">
        <v>8</v>
      </c>
      <c r="E187" s="2" t="s">
        <v>8</v>
      </c>
      <c r="F187" s="2" t="s">
        <v>8</v>
      </c>
      <c r="G187" s="2" t="s">
        <v>8</v>
      </c>
      <c r="H187" s="2" t="s">
        <v>8</v>
      </c>
      <c r="I187" s="2" t="s">
        <v>8</v>
      </c>
      <c r="J187" s="2" t="s">
        <v>8</v>
      </c>
      <c r="K187" s="2" t="s">
        <v>8</v>
      </c>
      <c r="L187" s="2" t="s">
        <v>8</v>
      </c>
      <c r="M187" s="2" t="s">
        <v>8</v>
      </c>
      <c r="N187" s="2" t="s">
        <v>8</v>
      </c>
      <c r="O187" s="2" t="s">
        <v>8</v>
      </c>
      <c r="P187" s="2" t="s">
        <v>8</v>
      </c>
      <c r="Q187" s="2" t="s">
        <v>8</v>
      </c>
      <c r="R187" s="2" t="s">
        <v>8</v>
      </c>
      <c r="S187" s="2" t="s">
        <v>8</v>
      </c>
      <c r="T187" s="2" t="s">
        <v>8</v>
      </c>
      <c r="U187" s="2" t="s">
        <v>8</v>
      </c>
      <c r="V187" s="2" t="s">
        <v>8</v>
      </c>
      <c r="W187" s="7" t="s">
        <v>8</v>
      </c>
      <c r="X187" s="7" t="s">
        <v>8</v>
      </c>
    </row>
    <row r="188" spans="1:24" x14ac:dyDescent="0.25">
      <c r="A188" t="str">
        <f t="shared" si="5"/>
        <v xml:space="preserve">   </v>
      </c>
      <c r="B188" s="2" t="s">
        <v>8</v>
      </c>
      <c r="C188" s="2" t="s">
        <v>8</v>
      </c>
      <c r="D188" s="2" t="s">
        <v>8</v>
      </c>
      <c r="E188" s="2" t="s">
        <v>8</v>
      </c>
      <c r="F188" s="2" t="s">
        <v>8</v>
      </c>
      <c r="G188" s="2" t="s">
        <v>8</v>
      </c>
      <c r="H188" s="2" t="s">
        <v>8</v>
      </c>
      <c r="I188" s="2" t="s">
        <v>8</v>
      </c>
      <c r="J188" s="2" t="s">
        <v>8</v>
      </c>
      <c r="K188" s="2" t="s">
        <v>8</v>
      </c>
      <c r="L188" s="2" t="s">
        <v>8</v>
      </c>
      <c r="M188" s="2" t="s">
        <v>8</v>
      </c>
      <c r="N188" s="2" t="s">
        <v>8</v>
      </c>
      <c r="O188" s="2" t="s">
        <v>8</v>
      </c>
      <c r="P188" s="2" t="s">
        <v>8</v>
      </c>
      <c r="Q188" s="2" t="s">
        <v>8</v>
      </c>
      <c r="R188" s="2" t="s">
        <v>8</v>
      </c>
      <c r="S188" s="2" t="s">
        <v>8</v>
      </c>
      <c r="T188" s="2" t="s">
        <v>8</v>
      </c>
      <c r="U188" s="2" t="s">
        <v>8</v>
      </c>
      <c r="V188" s="2" t="s">
        <v>8</v>
      </c>
      <c r="W188" s="7" t="s">
        <v>8</v>
      </c>
      <c r="X188" s="7" t="s">
        <v>8</v>
      </c>
    </row>
    <row r="189" spans="1:24" x14ac:dyDescent="0.25">
      <c r="A189" t="str">
        <f t="shared" si="5"/>
        <v xml:space="preserve">   </v>
      </c>
      <c r="B189" s="2" t="s">
        <v>8</v>
      </c>
      <c r="C189" s="2" t="s">
        <v>8</v>
      </c>
      <c r="D189" s="2" t="s">
        <v>8</v>
      </c>
      <c r="E189" s="2" t="s">
        <v>8</v>
      </c>
      <c r="F189" s="2" t="s">
        <v>8</v>
      </c>
      <c r="G189" s="2" t="s">
        <v>8</v>
      </c>
      <c r="H189" s="2" t="s">
        <v>8</v>
      </c>
      <c r="I189" s="2" t="s">
        <v>8</v>
      </c>
      <c r="J189" s="2" t="s">
        <v>8</v>
      </c>
      <c r="K189" s="2" t="s">
        <v>8</v>
      </c>
      <c r="L189" s="2" t="s">
        <v>8</v>
      </c>
      <c r="M189" s="2" t="s">
        <v>8</v>
      </c>
      <c r="N189" s="2" t="s">
        <v>8</v>
      </c>
      <c r="O189" s="2" t="s">
        <v>8</v>
      </c>
      <c r="P189" s="2" t="s">
        <v>8</v>
      </c>
      <c r="Q189" s="2" t="s">
        <v>8</v>
      </c>
      <c r="R189" s="2" t="s">
        <v>8</v>
      </c>
      <c r="S189" s="2" t="s">
        <v>8</v>
      </c>
      <c r="T189" s="2" t="s">
        <v>8</v>
      </c>
      <c r="U189" s="2" t="s">
        <v>8</v>
      </c>
      <c r="V189" s="2" t="s">
        <v>8</v>
      </c>
      <c r="W189" s="7" t="s">
        <v>8</v>
      </c>
      <c r="X189" s="7" t="s">
        <v>8</v>
      </c>
    </row>
    <row r="190" spans="1:24" x14ac:dyDescent="0.25">
      <c r="A190" t="str">
        <f t="shared" si="5"/>
        <v xml:space="preserve">   </v>
      </c>
      <c r="B190" s="2" t="s">
        <v>8</v>
      </c>
      <c r="C190" s="2" t="s">
        <v>8</v>
      </c>
      <c r="D190" s="2" t="s">
        <v>8</v>
      </c>
      <c r="E190" s="2" t="s">
        <v>8</v>
      </c>
      <c r="F190" s="2" t="s">
        <v>8</v>
      </c>
      <c r="G190" s="2" t="s">
        <v>8</v>
      </c>
      <c r="H190" s="2" t="s">
        <v>8</v>
      </c>
      <c r="I190" s="2" t="s">
        <v>8</v>
      </c>
      <c r="J190" s="2" t="s">
        <v>8</v>
      </c>
      <c r="K190" s="2" t="s">
        <v>8</v>
      </c>
      <c r="L190" s="2" t="s">
        <v>8</v>
      </c>
      <c r="M190" s="2" t="s">
        <v>8</v>
      </c>
      <c r="N190" s="2" t="s">
        <v>8</v>
      </c>
      <c r="O190" s="2" t="s">
        <v>8</v>
      </c>
      <c r="P190" s="2" t="s">
        <v>8</v>
      </c>
      <c r="Q190" s="2" t="s">
        <v>8</v>
      </c>
      <c r="R190" s="2" t="s">
        <v>8</v>
      </c>
      <c r="S190" s="2" t="s">
        <v>8</v>
      </c>
      <c r="T190" s="2" t="s">
        <v>8</v>
      </c>
      <c r="U190" s="2" t="s">
        <v>8</v>
      </c>
      <c r="V190" s="2" t="s">
        <v>8</v>
      </c>
      <c r="W190" s="7" t="s">
        <v>8</v>
      </c>
      <c r="X190" s="7" t="s">
        <v>8</v>
      </c>
    </row>
    <row r="191" spans="1:24" x14ac:dyDescent="0.25">
      <c r="A191" t="str">
        <f t="shared" si="5"/>
        <v xml:space="preserve">   </v>
      </c>
      <c r="B191" s="2" t="s">
        <v>8</v>
      </c>
      <c r="C191" s="2" t="s">
        <v>8</v>
      </c>
      <c r="D191" s="2" t="s">
        <v>8</v>
      </c>
      <c r="E191" s="2" t="s">
        <v>8</v>
      </c>
      <c r="F191" s="2" t="s">
        <v>8</v>
      </c>
      <c r="G191" s="2" t="s">
        <v>8</v>
      </c>
      <c r="H191" s="2" t="s">
        <v>8</v>
      </c>
      <c r="I191" s="2" t="s">
        <v>8</v>
      </c>
      <c r="J191" s="2" t="s">
        <v>8</v>
      </c>
      <c r="K191" s="2" t="s">
        <v>8</v>
      </c>
      <c r="L191" s="2" t="s">
        <v>8</v>
      </c>
      <c r="M191" s="2" t="s">
        <v>8</v>
      </c>
      <c r="N191" s="2" t="s">
        <v>8</v>
      </c>
      <c r="O191" s="2" t="s">
        <v>8</v>
      </c>
      <c r="P191" s="2" t="s">
        <v>8</v>
      </c>
      <c r="Q191" s="2" t="s">
        <v>8</v>
      </c>
      <c r="R191" s="2" t="s">
        <v>8</v>
      </c>
      <c r="S191" s="2" t="s">
        <v>8</v>
      </c>
      <c r="T191" s="2" t="s">
        <v>8</v>
      </c>
      <c r="U191" s="2" t="s">
        <v>8</v>
      </c>
      <c r="V191" s="2" t="s">
        <v>8</v>
      </c>
      <c r="W191" s="7" t="s">
        <v>8</v>
      </c>
      <c r="X191" s="7" t="s">
        <v>8</v>
      </c>
    </row>
    <row r="192" spans="1:24" x14ac:dyDescent="0.25">
      <c r="A192" t="str">
        <f t="shared" si="5"/>
        <v xml:space="preserve">   </v>
      </c>
      <c r="B192" s="2" t="s">
        <v>8</v>
      </c>
      <c r="C192" s="2" t="s">
        <v>8</v>
      </c>
      <c r="D192" s="2" t="s">
        <v>8</v>
      </c>
      <c r="E192" s="2" t="s">
        <v>8</v>
      </c>
      <c r="F192" s="2" t="s">
        <v>8</v>
      </c>
      <c r="G192" s="2" t="s">
        <v>8</v>
      </c>
      <c r="H192" s="2" t="s">
        <v>8</v>
      </c>
      <c r="I192" s="2" t="s">
        <v>8</v>
      </c>
      <c r="J192" s="2" t="s">
        <v>8</v>
      </c>
      <c r="K192" s="2" t="s">
        <v>8</v>
      </c>
      <c r="L192" s="2" t="s">
        <v>8</v>
      </c>
      <c r="M192" s="2" t="s">
        <v>8</v>
      </c>
      <c r="N192" s="2" t="s">
        <v>8</v>
      </c>
      <c r="O192" s="2" t="s">
        <v>8</v>
      </c>
      <c r="P192" s="2" t="s">
        <v>8</v>
      </c>
      <c r="Q192" s="2" t="s">
        <v>8</v>
      </c>
      <c r="R192" s="2" t="s">
        <v>8</v>
      </c>
      <c r="S192" s="2" t="s">
        <v>8</v>
      </c>
      <c r="T192" s="2" t="s">
        <v>8</v>
      </c>
      <c r="U192" s="2" t="s">
        <v>8</v>
      </c>
      <c r="V192" s="2" t="s">
        <v>8</v>
      </c>
      <c r="W192" s="7" t="s">
        <v>8</v>
      </c>
      <c r="X192" s="7" t="s">
        <v>8</v>
      </c>
    </row>
    <row r="193" spans="1:24" x14ac:dyDescent="0.25">
      <c r="A193" t="str">
        <f t="shared" si="5"/>
        <v xml:space="preserve">   </v>
      </c>
      <c r="B193" s="2" t="s">
        <v>8</v>
      </c>
      <c r="C193" s="2" t="s">
        <v>8</v>
      </c>
      <c r="D193" s="2" t="s">
        <v>8</v>
      </c>
      <c r="E193" s="2" t="s">
        <v>8</v>
      </c>
      <c r="F193" s="2" t="s">
        <v>8</v>
      </c>
      <c r="G193" s="2" t="s">
        <v>8</v>
      </c>
      <c r="H193" s="2" t="s">
        <v>8</v>
      </c>
      <c r="I193" s="2" t="s">
        <v>8</v>
      </c>
      <c r="J193" s="2" t="s">
        <v>8</v>
      </c>
      <c r="K193" s="2" t="s">
        <v>8</v>
      </c>
      <c r="L193" s="2" t="s">
        <v>8</v>
      </c>
      <c r="M193" s="2" t="s">
        <v>8</v>
      </c>
      <c r="N193" s="2" t="s">
        <v>8</v>
      </c>
      <c r="O193" s="2" t="s">
        <v>8</v>
      </c>
      <c r="P193" s="2" t="s">
        <v>8</v>
      </c>
      <c r="Q193" s="2" t="s">
        <v>8</v>
      </c>
      <c r="R193" s="2" t="s">
        <v>8</v>
      </c>
      <c r="S193" s="2" t="s">
        <v>8</v>
      </c>
      <c r="T193" s="2" t="s">
        <v>8</v>
      </c>
      <c r="U193" s="2" t="s">
        <v>8</v>
      </c>
      <c r="V193" s="2" t="s">
        <v>8</v>
      </c>
      <c r="W193" s="7" t="s">
        <v>8</v>
      </c>
      <c r="X193" s="7" t="s">
        <v>8</v>
      </c>
    </row>
    <row r="194" spans="1:24" x14ac:dyDescent="0.25">
      <c r="A194" t="str">
        <f t="shared" si="5"/>
        <v xml:space="preserve">   </v>
      </c>
      <c r="B194" s="2" t="s">
        <v>8</v>
      </c>
      <c r="C194" s="2" t="s">
        <v>8</v>
      </c>
      <c r="D194" s="2" t="s">
        <v>8</v>
      </c>
      <c r="E194" s="2" t="s">
        <v>8</v>
      </c>
      <c r="F194" s="2" t="s">
        <v>8</v>
      </c>
      <c r="G194" s="2" t="s">
        <v>8</v>
      </c>
      <c r="H194" s="2" t="s">
        <v>8</v>
      </c>
      <c r="I194" s="2" t="s">
        <v>8</v>
      </c>
      <c r="J194" s="2" t="s">
        <v>8</v>
      </c>
      <c r="K194" s="2" t="s">
        <v>8</v>
      </c>
      <c r="L194" s="2" t="s">
        <v>8</v>
      </c>
      <c r="M194" s="2" t="s">
        <v>8</v>
      </c>
      <c r="N194" s="2" t="s">
        <v>8</v>
      </c>
      <c r="O194" s="2" t="s">
        <v>8</v>
      </c>
      <c r="P194" s="2" t="s">
        <v>8</v>
      </c>
      <c r="Q194" s="2" t="s">
        <v>8</v>
      </c>
      <c r="R194" s="2" t="s">
        <v>8</v>
      </c>
      <c r="S194" s="2" t="s">
        <v>8</v>
      </c>
      <c r="T194" s="2" t="s">
        <v>8</v>
      </c>
      <c r="U194" s="2" t="s">
        <v>8</v>
      </c>
      <c r="V194" s="2" t="s">
        <v>8</v>
      </c>
      <c r="W194" s="7" t="s">
        <v>8</v>
      </c>
      <c r="X194" s="7" t="s">
        <v>8</v>
      </c>
    </row>
    <row r="195" spans="1:24" x14ac:dyDescent="0.25">
      <c r="A195" t="str">
        <f t="shared" si="5"/>
        <v xml:space="preserve">   </v>
      </c>
      <c r="B195" s="2" t="s">
        <v>8</v>
      </c>
      <c r="C195" s="2" t="s">
        <v>8</v>
      </c>
      <c r="D195" s="2" t="s">
        <v>8</v>
      </c>
      <c r="E195" s="2" t="s">
        <v>8</v>
      </c>
      <c r="F195" s="2" t="s">
        <v>8</v>
      </c>
      <c r="G195" s="2" t="s">
        <v>8</v>
      </c>
      <c r="H195" s="2" t="s">
        <v>8</v>
      </c>
      <c r="I195" s="2" t="s">
        <v>8</v>
      </c>
      <c r="J195" s="2" t="s">
        <v>8</v>
      </c>
      <c r="K195" s="2" t="s">
        <v>8</v>
      </c>
      <c r="L195" s="2" t="s">
        <v>8</v>
      </c>
      <c r="M195" s="2" t="s">
        <v>8</v>
      </c>
      <c r="N195" s="2" t="s">
        <v>8</v>
      </c>
      <c r="O195" s="2" t="s">
        <v>8</v>
      </c>
      <c r="P195" s="2" t="s">
        <v>8</v>
      </c>
      <c r="Q195" s="2" t="s">
        <v>8</v>
      </c>
      <c r="R195" s="2" t="s">
        <v>8</v>
      </c>
      <c r="S195" s="2" t="s">
        <v>8</v>
      </c>
      <c r="T195" s="2" t="s">
        <v>8</v>
      </c>
      <c r="U195" s="2" t="s">
        <v>8</v>
      </c>
      <c r="V195" s="2" t="s">
        <v>8</v>
      </c>
      <c r="W195" s="7" t="s">
        <v>8</v>
      </c>
      <c r="X195" s="7" t="s">
        <v>8</v>
      </c>
    </row>
    <row r="196" spans="1:24" x14ac:dyDescent="0.25">
      <c r="A196" t="str">
        <f t="shared" si="5"/>
        <v xml:space="preserve">   </v>
      </c>
      <c r="B196" s="2" t="s">
        <v>8</v>
      </c>
      <c r="C196" s="2" t="s">
        <v>8</v>
      </c>
      <c r="D196" s="2" t="s">
        <v>8</v>
      </c>
      <c r="E196" s="2" t="s">
        <v>8</v>
      </c>
      <c r="F196" s="2" t="s">
        <v>8</v>
      </c>
      <c r="G196" s="2" t="s">
        <v>8</v>
      </c>
      <c r="H196" s="2" t="s">
        <v>8</v>
      </c>
      <c r="I196" s="2" t="s">
        <v>8</v>
      </c>
      <c r="J196" s="2" t="s">
        <v>8</v>
      </c>
      <c r="K196" s="2" t="s">
        <v>8</v>
      </c>
      <c r="L196" s="2" t="s">
        <v>8</v>
      </c>
      <c r="M196" s="2" t="s">
        <v>8</v>
      </c>
      <c r="N196" s="2" t="s">
        <v>8</v>
      </c>
      <c r="O196" s="2" t="s">
        <v>8</v>
      </c>
      <c r="P196" s="2" t="s">
        <v>8</v>
      </c>
      <c r="Q196" s="2" t="s">
        <v>8</v>
      </c>
      <c r="R196" s="2" t="s">
        <v>8</v>
      </c>
      <c r="S196" s="2" t="s">
        <v>8</v>
      </c>
      <c r="T196" s="2" t="s">
        <v>8</v>
      </c>
      <c r="U196" s="2" t="s">
        <v>8</v>
      </c>
      <c r="V196" s="2" t="s">
        <v>8</v>
      </c>
      <c r="W196" s="7" t="s">
        <v>8</v>
      </c>
      <c r="X196" s="7" t="s">
        <v>8</v>
      </c>
    </row>
    <row r="197" spans="1:24" x14ac:dyDescent="0.25">
      <c r="A197" t="str">
        <f t="shared" si="5"/>
        <v xml:space="preserve">   </v>
      </c>
      <c r="B197" s="2" t="s">
        <v>8</v>
      </c>
      <c r="C197" s="2" t="s">
        <v>8</v>
      </c>
      <c r="D197" s="2" t="s">
        <v>8</v>
      </c>
      <c r="E197" s="2" t="s">
        <v>8</v>
      </c>
      <c r="F197" s="2" t="s">
        <v>8</v>
      </c>
      <c r="G197" s="2" t="s">
        <v>8</v>
      </c>
      <c r="H197" s="2" t="s">
        <v>8</v>
      </c>
      <c r="I197" s="2" t="s">
        <v>8</v>
      </c>
      <c r="J197" s="2" t="s">
        <v>8</v>
      </c>
      <c r="K197" s="2" t="s">
        <v>8</v>
      </c>
      <c r="L197" s="2" t="s">
        <v>8</v>
      </c>
      <c r="M197" s="2" t="s">
        <v>8</v>
      </c>
      <c r="N197" s="2" t="s">
        <v>8</v>
      </c>
      <c r="O197" s="2" t="s">
        <v>8</v>
      </c>
      <c r="P197" s="2" t="s">
        <v>8</v>
      </c>
      <c r="Q197" s="2" t="s">
        <v>8</v>
      </c>
      <c r="R197" s="2" t="s">
        <v>8</v>
      </c>
      <c r="S197" s="2" t="s">
        <v>8</v>
      </c>
      <c r="T197" s="2" t="s">
        <v>8</v>
      </c>
      <c r="U197" s="2" t="s">
        <v>8</v>
      </c>
      <c r="V197" s="2" t="s">
        <v>8</v>
      </c>
      <c r="W197" s="7" t="s">
        <v>8</v>
      </c>
      <c r="X197" s="7" t="s">
        <v>8</v>
      </c>
    </row>
    <row r="198" spans="1:24" x14ac:dyDescent="0.25">
      <c r="A198" t="str">
        <f t="shared" si="5"/>
        <v xml:space="preserve">   </v>
      </c>
      <c r="B198" s="2" t="s">
        <v>8</v>
      </c>
      <c r="C198" s="2" t="s">
        <v>8</v>
      </c>
      <c r="D198" s="2" t="s">
        <v>8</v>
      </c>
      <c r="E198" s="2" t="s">
        <v>8</v>
      </c>
      <c r="F198" s="2" t="s">
        <v>8</v>
      </c>
      <c r="G198" s="2" t="s">
        <v>8</v>
      </c>
      <c r="H198" s="2" t="s">
        <v>8</v>
      </c>
      <c r="I198" s="2" t="s">
        <v>8</v>
      </c>
      <c r="J198" s="2" t="s">
        <v>8</v>
      </c>
      <c r="K198" s="2" t="s">
        <v>8</v>
      </c>
      <c r="L198" s="2" t="s">
        <v>8</v>
      </c>
      <c r="M198" s="2" t="s">
        <v>8</v>
      </c>
      <c r="N198" s="2" t="s">
        <v>8</v>
      </c>
      <c r="O198" s="2" t="s">
        <v>8</v>
      </c>
      <c r="P198" s="2" t="s">
        <v>8</v>
      </c>
      <c r="Q198" s="2" t="s">
        <v>8</v>
      </c>
      <c r="R198" s="2" t="s">
        <v>8</v>
      </c>
      <c r="S198" s="2" t="s">
        <v>8</v>
      </c>
      <c r="T198" s="2" t="s">
        <v>8</v>
      </c>
      <c r="U198" s="2" t="s">
        <v>8</v>
      </c>
      <c r="V198" s="2" t="s">
        <v>8</v>
      </c>
      <c r="W198" s="7" t="s">
        <v>8</v>
      </c>
      <c r="X198" s="7" t="s">
        <v>8</v>
      </c>
    </row>
    <row r="199" spans="1:24" x14ac:dyDescent="0.25">
      <c r="A199" t="str">
        <f t="shared" si="5"/>
        <v xml:space="preserve">   </v>
      </c>
      <c r="B199" s="2" t="s">
        <v>8</v>
      </c>
      <c r="C199" s="2" t="s">
        <v>8</v>
      </c>
      <c r="D199" s="2" t="s">
        <v>8</v>
      </c>
      <c r="E199" s="2" t="s">
        <v>8</v>
      </c>
      <c r="F199" s="2" t="s">
        <v>8</v>
      </c>
      <c r="G199" s="2" t="s">
        <v>8</v>
      </c>
      <c r="H199" s="2" t="s">
        <v>8</v>
      </c>
      <c r="I199" s="2" t="s">
        <v>8</v>
      </c>
      <c r="J199" s="2" t="s">
        <v>8</v>
      </c>
      <c r="K199" s="2" t="s">
        <v>8</v>
      </c>
      <c r="L199" s="2" t="s">
        <v>8</v>
      </c>
      <c r="M199" s="2" t="s">
        <v>8</v>
      </c>
      <c r="N199" s="2" t="s">
        <v>8</v>
      </c>
      <c r="O199" s="2" t="s">
        <v>8</v>
      </c>
      <c r="P199" s="2" t="s">
        <v>8</v>
      </c>
      <c r="Q199" s="2" t="s">
        <v>8</v>
      </c>
      <c r="R199" s="2" t="s">
        <v>8</v>
      </c>
      <c r="S199" s="2" t="s">
        <v>8</v>
      </c>
      <c r="T199" s="2" t="s">
        <v>8</v>
      </c>
      <c r="U199" s="2" t="s">
        <v>8</v>
      </c>
      <c r="V199" s="2" t="s">
        <v>8</v>
      </c>
      <c r="W199" s="7" t="s">
        <v>8</v>
      </c>
      <c r="X199" s="7" t="s">
        <v>8</v>
      </c>
    </row>
    <row r="200" spans="1:24" x14ac:dyDescent="0.25">
      <c r="A200" t="str">
        <f t="shared" si="5"/>
        <v xml:space="preserve">   </v>
      </c>
      <c r="B200" s="2" t="s">
        <v>8</v>
      </c>
      <c r="C200" s="2" t="s">
        <v>8</v>
      </c>
      <c r="D200" s="2" t="s">
        <v>8</v>
      </c>
      <c r="E200" s="2" t="s">
        <v>8</v>
      </c>
      <c r="F200" s="2" t="s">
        <v>8</v>
      </c>
      <c r="G200" s="2" t="s">
        <v>8</v>
      </c>
      <c r="H200" s="2" t="s">
        <v>8</v>
      </c>
      <c r="I200" s="2" t="s">
        <v>8</v>
      </c>
      <c r="J200" s="2" t="s">
        <v>8</v>
      </c>
      <c r="K200" s="2" t="s">
        <v>8</v>
      </c>
      <c r="L200" s="2" t="s">
        <v>8</v>
      </c>
      <c r="M200" s="2" t="s">
        <v>8</v>
      </c>
      <c r="N200" s="2" t="s">
        <v>8</v>
      </c>
      <c r="O200" s="2" t="s">
        <v>8</v>
      </c>
      <c r="P200" s="2" t="s">
        <v>8</v>
      </c>
      <c r="Q200" s="2" t="s">
        <v>8</v>
      </c>
      <c r="R200" s="2" t="s">
        <v>8</v>
      </c>
      <c r="S200" s="2" t="s">
        <v>8</v>
      </c>
      <c r="T200" s="2" t="s">
        <v>8</v>
      </c>
      <c r="U200" s="2" t="s">
        <v>8</v>
      </c>
      <c r="V200" s="2" t="s">
        <v>8</v>
      </c>
      <c r="W200" s="7" t="s">
        <v>8</v>
      </c>
      <c r="X200" s="7" t="s">
        <v>8</v>
      </c>
    </row>
    <row r="201" spans="1:24" x14ac:dyDescent="0.25">
      <c r="A201" t="s">
        <v>68</v>
      </c>
      <c r="B201" s="2" t="s">
        <v>8</v>
      </c>
      <c r="C201" s="2" t="s">
        <v>8</v>
      </c>
      <c r="D201" s="2" t="s">
        <v>8</v>
      </c>
      <c r="E201" s="2" t="s">
        <v>8</v>
      </c>
      <c r="F201" s="2" t="s">
        <v>8</v>
      </c>
      <c r="G201" s="2" t="s">
        <v>8</v>
      </c>
      <c r="H201" s="2" t="s">
        <v>8</v>
      </c>
      <c r="I201" s="2" t="s">
        <v>8</v>
      </c>
      <c r="J201" s="2" t="s">
        <v>8</v>
      </c>
      <c r="K201" s="2" t="s">
        <v>8</v>
      </c>
      <c r="L201" s="2" t="s">
        <v>8</v>
      </c>
      <c r="M201" s="2" t="s">
        <v>8</v>
      </c>
      <c r="N201" s="2" t="s">
        <v>8</v>
      </c>
      <c r="O201" s="2" t="s">
        <v>8</v>
      </c>
      <c r="P201" s="2" t="s">
        <v>8</v>
      </c>
      <c r="Q201" s="2" t="s">
        <v>8</v>
      </c>
      <c r="R201" s="2" t="s">
        <v>8</v>
      </c>
      <c r="S201" s="2" t="s">
        <v>8</v>
      </c>
      <c r="T201" s="2" t="s">
        <v>8</v>
      </c>
      <c r="U201" s="2" t="s">
        <v>8</v>
      </c>
      <c r="V201" s="2" t="s">
        <v>8</v>
      </c>
      <c r="W201" s="7" t="s">
        <v>8</v>
      </c>
      <c r="X201" s="7" t="s">
        <v>8</v>
      </c>
    </row>
    <row r="202" spans="1:24" x14ac:dyDescent="0.25">
      <c r="A202" t="s">
        <v>68</v>
      </c>
      <c r="B202" s="2" t="s">
        <v>8</v>
      </c>
      <c r="C202" s="2" t="s">
        <v>8</v>
      </c>
      <c r="D202" s="2" t="s">
        <v>8</v>
      </c>
      <c r="E202" s="2" t="s">
        <v>8</v>
      </c>
      <c r="F202" s="2" t="s">
        <v>8</v>
      </c>
      <c r="G202" s="2" t="s">
        <v>8</v>
      </c>
      <c r="H202" s="2" t="s">
        <v>8</v>
      </c>
      <c r="I202" s="2" t="s">
        <v>8</v>
      </c>
      <c r="J202" s="2" t="s">
        <v>8</v>
      </c>
      <c r="K202" s="2" t="s">
        <v>8</v>
      </c>
      <c r="L202" s="2" t="s">
        <v>8</v>
      </c>
      <c r="M202" s="2" t="s">
        <v>8</v>
      </c>
      <c r="N202" s="2" t="s">
        <v>8</v>
      </c>
      <c r="O202" s="2" t="s">
        <v>8</v>
      </c>
      <c r="P202" s="2" t="s">
        <v>8</v>
      </c>
      <c r="Q202" s="2" t="s">
        <v>8</v>
      </c>
      <c r="R202" s="2" t="s">
        <v>8</v>
      </c>
      <c r="S202" s="2" t="s">
        <v>8</v>
      </c>
      <c r="T202" s="2" t="s">
        <v>8</v>
      </c>
      <c r="U202" s="2" t="s">
        <v>8</v>
      </c>
      <c r="V202" s="2" t="s">
        <v>8</v>
      </c>
      <c r="W202" s="7" t="s">
        <v>8</v>
      </c>
      <c r="X202" s="7" t="s">
        <v>8</v>
      </c>
    </row>
    <row r="203" spans="1:24" x14ac:dyDescent="0.25">
      <c r="A203" t="s">
        <v>68</v>
      </c>
      <c r="B203" s="2" t="s">
        <v>8</v>
      </c>
      <c r="C203" s="2" t="s">
        <v>8</v>
      </c>
      <c r="D203" s="2" t="s">
        <v>8</v>
      </c>
      <c r="E203" s="2" t="s">
        <v>8</v>
      </c>
      <c r="F203" s="2" t="s">
        <v>8</v>
      </c>
      <c r="G203" s="2" t="s">
        <v>8</v>
      </c>
      <c r="H203" s="2" t="s">
        <v>8</v>
      </c>
      <c r="I203" s="2" t="s">
        <v>8</v>
      </c>
      <c r="J203" s="2" t="s">
        <v>8</v>
      </c>
      <c r="K203" s="2" t="s">
        <v>8</v>
      </c>
      <c r="L203" s="2" t="s">
        <v>8</v>
      </c>
      <c r="M203" s="2" t="s">
        <v>8</v>
      </c>
      <c r="N203" s="2" t="s">
        <v>8</v>
      </c>
      <c r="O203" s="2" t="s">
        <v>8</v>
      </c>
      <c r="P203" s="2" t="s">
        <v>8</v>
      </c>
      <c r="Q203" s="2" t="s">
        <v>8</v>
      </c>
      <c r="R203" s="2" t="s">
        <v>8</v>
      </c>
      <c r="S203" s="2" t="s">
        <v>8</v>
      </c>
      <c r="T203" s="2" t="s">
        <v>8</v>
      </c>
      <c r="U203" s="2" t="s">
        <v>8</v>
      </c>
      <c r="V203" s="2" t="s">
        <v>8</v>
      </c>
      <c r="W203" s="7" t="s">
        <v>8</v>
      </c>
      <c r="X203" s="7" t="s">
        <v>8</v>
      </c>
    </row>
    <row r="204" spans="1:24" x14ac:dyDescent="0.25">
      <c r="A204" t="s">
        <v>68</v>
      </c>
      <c r="B204" s="2" t="s">
        <v>8</v>
      </c>
      <c r="C204" s="2" t="s">
        <v>8</v>
      </c>
      <c r="D204" s="2" t="s">
        <v>8</v>
      </c>
      <c r="E204" s="2" t="s">
        <v>8</v>
      </c>
      <c r="F204" s="2" t="s">
        <v>8</v>
      </c>
      <c r="G204" s="2" t="s">
        <v>8</v>
      </c>
      <c r="H204" s="2" t="s">
        <v>8</v>
      </c>
      <c r="I204" s="2" t="s">
        <v>8</v>
      </c>
      <c r="J204" s="2" t="s">
        <v>8</v>
      </c>
      <c r="K204" s="2" t="s">
        <v>8</v>
      </c>
      <c r="L204" s="2" t="s">
        <v>8</v>
      </c>
      <c r="M204" s="2" t="s">
        <v>8</v>
      </c>
      <c r="N204" s="2" t="s">
        <v>8</v>
      </c>
      <c r="O204" s="2" t="s">
        <v>8</v>
      </c>
      <c r="P204" s="2" t="s">
        <v>8</v>
      </c>
      <c r="Q204" s="2" t="s">
        <v>8</v>
      </c>
      <c r="R204" s="2" t="s">
        <v>8</v>
      </c>
      <c r="S204" s="2" t="s">
        <v>8</v>
      </c>
      <c r="T204" s="2" t="s">
        <v>8</v>
      </c>
      <c r="U204" s="2" t="s">
        <v>8</v>
      </c>
      <c r="V204" s="2" t="s">
        <v>8</v>
      </c>
      <c r="W204" s="7" t="s">
        <v>8</v>
      </c>
      <c r="X204" s="7" t="s">
        <v>8</v>
      </c>
    </row>
    <row r="205" spans="1:24" x14ac:dyDescent="0.25">
      <c r="A205" t="s">
        <v>68</v>
      </c>
      <c r="B205" s="2" t="s">
        <v>8</v>
      </c>
      <c r="C205" s="2" t="s">
        <v>8</v>
      </c>
      <c r="D205" s="2" t="s">
        <v>8</v>
      </c>
      <c r="E205" s="2" t="s">
        <v>8</v>
      </c>
      <c r="F205" s="2" t="s">
        <v>8</v>
      </c>
      <c r="G205" s="2" t="s">
        <v>8</v>
      </c>
      <c r="H205" s="2" t="s">
        <v>8</v>
      </c>
      <c r="I205" s="2" t="s">
        <v>8</v>
      </c>
      <c r="J205" s="2" t="s">
        <v>8</v>
      </c>
      <c r="K205" s="2" t="s">
        <v>8</v>
      </c>
      <c r="L205" s="2" t="s">
        <v>8</v>
      </c>
      <c r="M205" s="2" t="s">
        <v>8</v>
      </c>
      <c r="N205" s="2" t="s">
        <v>8</v>
      </c>
      <c r="O205" s="2" t="s">
        <v>8</v>
      </c>
      <c r="P205" s="2" t="s">
        <v>8</v>
      </c>
      <c r="Q205" s="2" t="s">
        <v>8</v>
      </c>
      <c r="R205" s="2" t="s">
        <v>8</v>
      </c>
      <c r="S205" s="2" t="s">
        <v>8</v>
      </c>
      <c r="T205" s="2" t="s">
        <v>8</v>
      </c>
      <c r="U205" s="2" t="s">
        <v>8</v>
      </c>
      <c r="V205" s="2" t="s">
        <v>8</v>
      </c>
      <c r="W205" s="7" t="s">
        <v>8</v>
      </c>
      <c r="X205" s="7" t="s">
        <v>8</v>
      </c>
    </row>
    <row r="206" spans="1:24" x14ac:dyDescent="0.25">
      <c r="A206" t="s">
        <v>68</v>
      </c>
      <c r="B206" s="2" t="s">
        <v>8</v>
      </c>
      <c r="C206" s="2" t="s">
        <v>8</v>
      </c>
      <c r="D206" s="2" t="s">
        <v>8</v>
      </c>
      <c r="E206" s="2" t="s">
        <v>8</v>
      </c>
      <c r="F206" s="2" t="s">
        <v>8</v>
      </c>
      <c r="G206" s="2" t="s">
        <v>8</v>
      </c>
      <c r="H206" s="2" t="s">
        <v>8</v>
      </c>
      <c r="I206" s="2" t="s">
        <v>8</v>
      </c>
      <c r="J206" s="2" t="s">
        <v>8</v>
      </c>
      <c r="K206" s="2" t="s">
        <v>8</v>
      </c>
      <c r="L206" s="2" t="s">
        <v>8</v>
      </c>
      <c r="M206" s="2" t="s">
        <v>8</v>
      </c>
      <c r="N206" s="2" t="s">
        <v>8</v>
      </c>
      <c r="O206" s="2" t="s">
        <v>8</v>
      </c>
      <c r="P206" s="2" t="s">
        <v>8</v>
      </c>
      <c r="Q206" s="2" t="s">
        <v>8</v>
      </c>
      <c r="R206" s="2" t="s">
        <v>8</v>
      </c>
      <c r="S206" s="2" t="s">
        <v>8</v>
      </c>
      <c r="T206" s="2" t="s">
        <v>8</v>
      </c>
      <c r="U206" s="2" t="s">
        <v>8</v>
      </c>
      <c r="V206" s="2" t="s">
        <v>8</v>
      </c>
      <c r="W206" s="7" t="s">
        <v>8</v>
      </c>
      <c r="X206" s="7" t="s">
        <v>8</v>
      </c>
    </row>
    <row r="207" spans="1:24" x14ac:dyDescent="0.25">
      <c r="A207" t="s">
        <v>68</v>
      </c>
      <c r="B207" s="2" t="s">
        <v>8</v>
      </c>
      <c r="C207" s="2" t="s">
        <v>8</v>
      </c>
      <c r="D207" s="2" t="s">
        <v>8</v>
      </c>
      <c r="E207" s="2" t="s">
        <v>8</v>
      </c>
      <c r="F207" s="2" t="s">
        <v>8</v>
      </c>
      <c r="G207" s="2" t="s">
        <v>8</v>
      </c>
      <c r="H207" s="2" t="s">
        <v>8</v>
      </c>
      <c r="I207" s="2" t="s">
        <v>8</v>
      </c>
      <c r="J207" s="2" t="s">
        <v>8</v>
      </c>
      <c r="K207" s="2" t="s">
        <v>8</v>
      </c>
      <c r="L207" s="2" t="s">
        <v>8</v>
      </c>
      <c r="M207" s="2" t="s">
        <v>8</v>
      </c>
      <c r="N207" s="2" t="s">
        <v>8</v>
      </c>
      <c r="O207" s="2" t="s">
        <v>8</v>
      </c>
      <c r="P207" s="2" t="s">
        <v>8</v>
      </c>
      <c r="Q207" s="2" t="s">
        <v>8</v>
      </c>
      <c r="R207" s="2" t="s">
        <v>8</v>
      </c>
      <c r="S207" s="2" t="s">
        <v>8</v>
      </c>
      <c r="T207" s="2" t="s">
        <v>8</v>
      </c>
      <c r="U207" s="2" t="s">
        <v>8</v>
      </c>
      <c r="V207" s="2" t="s">
        <v>8</v>
      </c>
      <c r="W207" s="7" t="s">
        <v>8</v>
      </c>
      <c r="X207" s="7" t="s">
        <v>8</v>
      </c>
    </row>
    <row r="208" spans="1:24" x14ac:dyDescent="0.25">
      <c r="A208" t="s">
        <v>68</v>
      </c>
      <c r="B208" s="2" t="s">
        <v>8</v>
      </c>
      <c r="C208" s="2" t="s">
        <v>8</v>
      </c>
      <c r="D208" s="2" t="s">
        <v>8</v>
      </c>
      <c r="E208" s="2" t="s">
        <v>8</v>
      </c>
      <c r="F208" s="2" t="s">
        <v>8</v>
      </c>
      <c r="G208" s="2" t="s">
        <v>8</v>
      </c>
      <c r="H208" s="2" t="s">
        <v>8</v>
      </c>
      <c r="I208" s="2" t="s">
        <v>8</v>
      </c>
      <c r="J208" s="2" t="s">
        <v>8</v>
      </c>
      <c r="K208" s="2" t="s">
        <v>8</v>
      </c>
      <c r="L208" s="2" t="s">
        <v>8</v>
      </c>
      <c r="M208" s="2" t="s">
        <v>8</v>
      </c>
      <c r="N208" s="2" t="s">
        <v>8</v>
      </c>
      <c r="O208" s="2" t="s">
        <v>8</v>
      </c>
      <c r="P208" s="2" t="s">
        <v>8</v>
      </c>
      <c r="Q208" s="2" t="s">
        <v>8</v>
      </c>
      <c r="R208" s="2" t="s">
        <v>8</v>
      </c>
      <c r="S208" s="2" t="s">
        <v>8</v>
      </c>
      <c r="T208" s="2" t="s">
        <v>8</v>
      </c>
      <c r="U208" s="2" t="s">
        <v>8</v>
      </c>
      <c r="V208" s="2" t="s">
        <v>8</v>
      </c>
      <c r="W208" s="7" t="s">
        <v>8</v>
      </c>
      <c r="X208" s="7" t="s">
        <v>8</v>
      </c>
    </row>
    <row r="209" spans="1:24" x14ac:dyDescent="0.25">
      <c r="A209" t="s">
        <v>68</v>
      </c>
      <c r="B209" s="2" t="s">
        <v>8</v>
      </c>
      <c r="C209" s="2" t="s">
        <v>8</v>
      </c>
      <c r="D209" s="2" t="s">
        <v>8</v>
      </c>
      <c r="E209" s="2" t="s">
        <v>8</v>
      </c>
      <c r="F209" s="2" t="s">
        <v>8</v>
      </c>
      <c r="G209" s="2" t="s">
        <v>8</v>
      </c>
      <c r="H209" s="2" t="s">
        <v>8</v>
      </c>
      <c r="I209" s="2" t="s">
        <v>8</v>
      </c>
      <c r="J209" s="2" t="s">
        <v>8</v>
      </c>
      <c r="K209" s="2" t="s">
        <v>8</v>
      </c>
      <c r="L209" s="2" t="s">
        <v>8</v>
      </c>
      <c r="M209" s="2" t="s">
        <v>8</v>
      </c>
      <c r="N209" s="2" t="s">
        <v>8</v>
      </c>
      <c r="O209" s="2" t="s">
        <v>8</v>
      </c>
      <c r="P209" s="2" t="s">
        <v>8</v>
      </c>
      <c r="Q209" s="2" t="s">
        <v>8</v>
      </c>
      <c r="R209" s="2" t="s">
        <v>8</v>
      </c>
      <c r="S209" s="2" t="s">
        <v>8</v>
      </c>
      <c r="T209" s="2" t="s">
        <v>8</v>
      </c>
      <c r="U209" s="2" t="s">
        <v>8</v>
      </c>
      <c r="V209" s="2" t="s">
        <v>8</v>
      </c>
      <c r="W209" s="7" t="s">
        <v>8</v>
      </c>
      <c r="X209" s="7" t="s">
        <v>8</v>
      </c>
    </row>
    <row r="210" spans="1:24" x14ac:dyDescent="0.25">
      <c r="A210" t="s">
        <v>68</v>
      </c>
      <c r="B210" s="2" t="s">
        <v>8</v>
      </c>
      <c r="C210" s="2" t="s">
        <v>8</v>
      </c>
      <c r="D210" s="2" t="s">
        <v>8</v>
      </c>
      <c r="E210" s="2" t="s">
        <v>8</v>
      </c>
      <c r="F210" s="2" t="s">
        <v>8</v>
      </c>
      <c r="G210" s="2" t="s">
        <v>8</v>
      </c>
      <c r="H210" s="2" t="s">
        <v>8</v>
      </c>
      <c r="I210" s="2" t="s">
        <v>8</v>
      </c>
      <c r="J210" s="2" t="s">
        <v>8</v>
      </c>
      <c r="K210" s="2" t="s">
        <v>8</v>
      </c>
      <c r="L210" s="2" t="s">
        <v>8</v>
      </c>
      <c r="M210" s="2" t="s">
        <v>8</v>
      </c>
      <c r="N210" s="2" t="s">
        <v>8</v>
      </c>
      <c r="O210" s="2" t="s">
        <v>8</v>
      </c>
      <c r="P210" s="2" t="s">
        <v>8</v>
      </c>
      <c r="Q210" s="2" t="s">
        <v>8</v>
      </c>
      <c r="R210" s="2" t="s">
        <v>8</v>
      </c>
      <c r="S210" s="2" t="s">
        <v>8</v>
      </c>
      <c r="T210" s="2" t="s">
        <v>8</v>
      </c>
      <c r="U210" s="2" t="s">
        <v>8</v>
      </c>
      <c r="V210" s="2" t="s">
        <v>8</v>
      </c>
      <c r="W210" s="7" t="s">
        <v>8</v>
      </c>
      <c r="X210" s="7" t="s">
        <v>8</v>
      </c>
    </row>
    <row r="211" spans="1:24" x14ac:dyDescent="0.25">
      <c r="A211" t="s">
        <v>68</v>
      </c>
      <c r="B211" s="2" t="s">
        <v>8</v>
      </c>
      <c r="C211" s="2" t="s">
        <v>8</v>
      </c>
      <c r="D211" s="2" t="s">
        <v>8</v>
      </c>
      <c r="E211" s="2" t="s">
        <v>8</v>
      </c>
      <c r="F211" s="2" t="s">
        <v>8</v>
      </c>
      <c r="G211" s="2" t="s">
        <v>8</v>
      </c>
      <c r="H211" s="2" t="s">
        <v>8</v>
      </c>
      <c r="I211" s="2" t="s">
        <v>8</v>
      </c>
      <c r="J211" s="2" t="s">
        <v>8</v>
      </c>
      <c r="K211" s="2" t="s">
        <v>8</v>
      </c>
      <c r="L211" s="2" t="s">
        <v>8</v>
      </c>
      <c r="M211" s="2" t="s">
        <v>8</v>
      </c>
      <c r="N211" s="2" t="s">
        <v>8</v>
      </c>
      <c r="O211" s="2" t="s">
        <v>8</v>
      </c>
      <c r="P211" s="2" t="s">
        <v>8</v>
      </c>
      <c r="Q211" s="2" t="s">
        <v>8</v>
      </c>
      <c r="R211" s="2" t="s">
        <v>8</v>
      </c>
      <c r="S211" s="2" t="s">
        <v>8</v>
      </c>
      <c r="T211" s="2" t="s">
        <v>8</v>
      </c>
      <c r="U211" s="2" t="s">
        <v>8</v>
      </c>
      <c r="V211" s="2" t="s">
        <v>8</v>
      </c>
      <c r="W211" s="7" t="s">
        <v>8</v>
      </c>
      <c r="X211" s="7" t="s">
        <v>8</v>
      </c>
    </row>
    <row r="212" spans="1:24" x14ac:dyDescent="0.25">
      <c r="A212" t="s">
        <v>68</v>
      </c>
      <c r="B212" s="2" t="s">
        <v>8</v>
      </c>
      <c r="C212" s="2" t="s">
        <v>8</v>
      </c>
      <c r="D212" s="2" t="s">
        <v>8</v>
      </c>
      <c r="E212" s="2" t="s">
        <v>8</v>
      </c>
      <c r="F212" s="2" t="s">
        <v>8</v>
      </c>
      <c r="G212" s="2" t="s">
        <v>8</v>
      </c>
      <c r="H212" s="2" t="s">
        <v>8</v>
      </c>
      <c r="I212" s="2" t="s">
        <v>8</v>
      </c>
      <c r="J212" s="2" t="s">
        <v>8</v>
      </c>
      <c r="K212" s="2" t="s">
        <v>8</v>
      </c>
      <c r="L212" s="2" t="s">
        <v>8</v>
      </c>
      <c r="M212" s="2" t="s">
        <v>8</v>
      </c>
      <c r="N212" s="2" t="s">
        <v>8</v>
      </c>
      <c r="O212" s="2" t="s">
        <v>8</v>
      </c>
      <c r="P212" s="2" t="s">
        <v>8</v>
      </c>
      <c r="Q212" s="2" t="s">
        <v>8</v>
      </c>
      <c r="R212" s="2" t="s">
        <v>8</v>
      </c>
      <c r="S212" s="2" t="s">
        <v>8</v>
      </c>
      <c r="T212" s="2" t="s">
        <v>8</v>
      </c>
      <c r="U212" s="2" t="s">
        <v>8</v>
      </c>
      <c r="V212" s="2" t="s">
        <v>8</v>
      </c>
      <c r="W212" s="7" t="s">
        <v>8</v>
      </c>
      <c r="X212" s="7" t="s">
        <v>8</v>
      </c>
    </row>
    <row r="213" spans="1:24" x14ac:dyDescent="0.25">
      <c r="A213" t="s">
        <v>68</v>
      </c>
    </row>
    <row r="214" spans="1:24" x14ac:dyDescent="0.25">
      <c r="A214" t="s">
        <v>68</v>
      </c>
    </row>
    <row r="215" spans="1:24" x14ac:dyDescent="0.25">
      <c r="A215" t="s">
        <v>68</v>
      </c>
    </row>
    <row r="216" spans="1:24" x14ac:dyDescent="0.25">
      <c r="A216" t="s">
        <v>68</v>
      </c>
    </row>
    <row r="217" spans="1:24" x14ac:dyDescent="0.25">
      <c r="A217" t="s">
        <v>68</v>
      </c>
    </row>
    <row r="218" spans="1:24" x14ac:dyDescent="0.25">
      <c r="A218" t="s">
        <v>68</v>
      </c>
    </row>
    <row r="219" spans="1:24" x14ac:dyDescent="0.25">
      <c r="A219" t="s">
        <v>68</v>
      </c>
    </row>
    <row r="220" spans="1:24" x14ac:dyDescent="0.25">
      <c r="A220" t="s">
        <v>68</v>
      </c>
    </row>
    <row r="221" spans="1:24" x14ac:dyDescent="0.25">
      <c r="A221" t="s">
        <v>68</v>
      </c>
    </row>
    <row r="222" spans="1:24" x14ac:dyDescent="0.25">
      <c r="A222" t="s">
        <v>68</v>
      </c>
    </row>
    <row r="223" spans="1:24" x14ac:dyDescent="0.25">
      <c r="A223" t="s">
        <v>68</v>
      </c>
    </row>
    <row r="224" spans="1:24" x14ac:dyDescent="0.25">
      <c r="A224" t="s">
        <v>68</v>
      </c>
    </row>
    <row r="225" spans="1:1" x14ac:dyDescent="0.25">
      <c r="A225" t="s">
        <v>68</v>
      </c>
    </row>
    <row r="226" spans="1:1" x14ac:dyDescent="0.25">
      <c r="A226" t="s">
        <v>68</v>
      </c>
    </row>
    <row r="227" spans="1:1" x14ac:dyDescent="0.25">
      <c r="A227" t="s">
        <v>68</v>
      </c>
    </row>
    <row r="228" spans="1:1" x14ac:dyDescent="0.25">
      <c r="A228" t="s">
        <v>68</v>
      </c>
    </row>
    <row r="229" spans="1:1" x14ac:dyDescent="0.25">
      <c r="A229" t="s">
        <v>68</v>
      </c>
    </row>
    <row r="230" spans="1:1" x14ac:dyDescent="0.25">
      <c r="A230" t="s">
        <v>68</v>
      </c>
    </row>
    <row r="231" spans="1:1" x14ac:dyDescent="0.25">
      <c r="A231" t="s">
        <v>68</v>
      </c>
    </row>
    <row r="232" spans="1:1" x14ac:dyDescent="0.25">
      <c r="A232" t="s">
        <v>68</v>
      </c>
    </row>
    <row r="233" spans="1:1" x14ac:dyDescent="0.25">
      <c r="A233" t="s">
        <v>68</v>
      </c>
    </row>
    <row r="234" spans="1:1" x14ac:dyDescent="0.25">
      <c r="A234" t="s">
        <v>68</v>
      </c>
    </row>
    <row r="235" spans="1:1" x14ac:dyDescent="0.25">
      <c r="A235" t="s">
        <v>68</v>
      </c>
    </row>
    <row r="236" spans="1:1" x14ac:dyDescent="0.25">
      <c r="A236" t="s">
        <v>68</v>
      </c>
    </row>
    <row r="237" spans="1:1" x14ac:dyDescent="0.25">
      <c r="A237" t="s">
        <v>68</v>
      </c>
    </row>
    <row r="238" spans="1:1" x14ac:dyDescent="0.25">
      <c r="A238" t="s">
        <v>68</v>
      </c>
    </row>
    <row r="239" spans="1:1" x14ac:dyDescent="0.25">
      <c r="A239" t="s">
        <v>68</v>
      </c>
    </row>
    <row r="240" spans="1:1" x14ac:dyDescent="0.25">
      <c r="A240" t="s">
        <v>68</v>
      </c>
    </row>
    <row r="241" spans="1:1" x14ac:dyDescent="0.25">
      <c r="A241" t="s">
        <v>68</v>
      </c>
    </row>
    <row r="242" spans="1:1" x14ac:dyDescent="0.25">
      <c r="A242" t="s">
        <v>68</v>
      </c>
    </row>
    <row r="243" spans="1:1" x14ac:dyDescent="0.25">
      <c r="A243" t="s">
        <v>68</v>
      </c>
    </row>
    <row r="244" spans="1:1" x14ac:dyDescent="0.25">
      <c r="A244" t="s">
        <v>68</v>
      </c>
    </row>
    <row r="245" spans="1:1" x14ac:dyDescent="0.25">
      <c r="A245" t="s">
        <v>68</v>
      </c>
    </row>
    <row r="246" spans="1:1" x14ac:dyDescent="0.25">
      <c r="A246" t="s">
        <v>68</v>
      </c>
    </row>
    <row r="247" spans="1:1" x14ac:dyDescent="0.25">
      <c r="A247" t="s">
        <v>68</v>
      </c>
    </row>
    <row r="248" spans="1:1" x14ac:dyDescent="0.25">
      <c r="A248" t="s">
        <v>68</v>
      </c>
    </row>
    <row r="249" spans="1:1" x14ac:dyDescent="0.25">
      <c r="A249" t="s">
        <v>68</v>
      </c>
    </row>
    <row r="250" spans="1:1" x14ac:dyDescent="0.25">
      <c r="A250" t="s">
        <v>68</v>
      </c>
    </row>
    <row r="251" spans="1:1" x14ac:dyDescent="0.25">
      <c r="A251" t="s">
        <v>68</v>
      </c>
    </row>
    <row r="252" spans="1:1" x14ac:dyDescent="0.25">
      <c r="A252" t="s">
        <v>68</v>
      </c>
    </row>
    <row r="253" spans="1:1" x14ac:dyDescent="0.25">
      <c r="A253" t="s">
        <v>68</v>
      </c>
    </row>
    <row r="254" spans="1:1" x14ac:dyDescent="0.25">
      <c r="A254" t="s">
        <v>68</v>
      </c>
    </row>
    <row r="255" spans="1:1" x14ac:dyDescent="0.25">
      <c r="A255" t="s">
        <v>68</v>
      </c>
    </row>
    <row r="256" spans="1:1" x14ac:dyDescent="0.25">
      <c r="A256" t="s">
        <v>68</v>
      </c>
    </row>
    <row r="257" spans="1:1" x14ac:dyDescent="0.25">
      <c r="A257" t="s">
        <v>68</v>
      </c>
    </row>
    <row r="258" spans="1:1" x14ac:dyDescent="0.25">
      <c r="A258" t="s">
        <v>68</v>
      </c>
    </row>
    <row r="259" spans="1:1" x14ac:dyDescent="0.25">
      <c r="A259" t="s">
        <v>68</v>
      </c>
    </row>
    <row r="260" spans="1:1" x14ac:dyDescent="0.25">
      <c r="A260" t="s">
        <v>68</v>
      </c>
    </row>
    <row r="261" spans="1:1" x14ac:dyDescent="0.25">
      <c r="A261" t="s">
        <v>68</v>
      </c>
    </row>
    <row r="262" spans="1:1" x14ac:dyDescent="0.25">
      <c r="A262" t="s">
        <v>68</v>
      </c>
    </row>
    <row r="263" spans="1:1" x14ac:dyDescent="0.25">
      <c r="A263" t="s">
        <v>68</v>
      </c>
    </row>
    <row r="264" spans="1:1" x14ac:dyDescent="0.25">
      <c r="A264" t="s">
        <v>68</v>
      </c>
    </row>
    <row r="265" spans="1:1" x14ac:dyDescent="0.25">
      <c r="A265" t="s">
        <v>68</v>
      </c>
    </row>
    <row r="266" spans="1:1" x14ac:dyDescent="0.25">
      <c r="A266" t="s">
        <v>68</v>
      </c>
    </row>
    <row r="267" spans="1:1" x14ac:dyDescent="0.25">
      <c r="A267" t="s">
        <v>68</v>
      </c>
    </row>
    <row r="268" spans="1:1" x14ac:dyDescent="0.25">
      <c r="A268" t="s">
        <v>68</v>
      </c>
    </row>
    <row r="269" spans="1:1" x14ac:dyDescent="0.25">
      <c r="A269" t="s">
        <v>68</v>
      </c>
    </row>
    <row r="270" spans="1:1" x14ac:dyDescent="0.25">
      <c r="A270" t="s">
        <v>68</v>
      </c>
    </row>
    <row r="271" spans="1:1" x14ac:dyDescent="0.25">
      <c r="A271" t="s">
        <v>68</v>
      </c>
    </row>
    <row r="272" spans="1:1" x14ac:dyDescent="0.25">
      <c r="A272" t="s">
        <v>68</v>
      </c>
    </row>
    <row r="273" spans="1:1" x14ac:dyDescent="0.25">
      <c r="A273" t="s">
        <v>68</v>
      </c>
    </row>
    <row r="274" spans="1:1" x14ac:dyDescent="0.25">
      <c r="A274" t="s">
        <v>68</v>
      </c>
    </row>
    <row r="275" spans="1:1" x14ac:dyDescent="0.25">
      <c r="A275" t="s">
        <v>68</v>
      </c>
    </row>
    <row r="276" spans="1:1" x14ac:dyDescent="0.25">
      <c r="A276" t="s">
        <v>68</v>
      </c>
    </row>
    <row r="277" spans="1:1" x14ac:dyDescent="0.25">
      <c r="A277" t="s">
        <v>68</v>
      </c>
    </row>
    <row r="278" spans="1:1" x14ac:dyDescent="0.25">
      <c r="A278" t="s">
        <v>68</v>
      </c>
    </row>
    <row r="279" spans="1:1" x14ac:dyDescent="0.25">
      <c r="A279" t="s">
        <v>68</v>
      </c>
    </row>
    <row r="280" spans="1:1" x14ac:dyDescent="0.25">
      <c r="A280" t="s">
        <v>68</v>
      </c>
    </row>
    <row r="281" spans="1:1" x14ac:dyDescent="0.25">
      <c r="A281" t="s">
        <v>68</v>
      </c>
    </row>
    <row r="282" spans="1:1" x14ac:dyDescent="0.25">
      <c r="A282" t="s">
        <v>68</v>
      </c>
    </row>
    <row r="283" spans="1:1" x14ac:dyDescent="0.25">
      <c r="A283" t="s">
        <v>68</v>
      </c>
    </row>
    <row r="284" spans="1:1" x14ac:dyDescent="0.25">
      <c r="A284" t="s">
        <v>68</v>
      </c>
    </row>
    <row r="285" spans="1:1" x14ac:dyDescent="0.25">
      <c r="A285" t="s">
        <v>68</v>
      </c>
    </row>
    <row r="286" spans="1:1" x14ac:dyDescent="0.25">
      <c r="A286" t="s">
        <v>68</v>
      </c>
    </row>
    <row r="287" spans="1:1" x14ac:dyDescent="0.25">
      <c r="A287" t="s">
        <v>68</v>
      </c>
    </row>
    <row r="288" spans="1:1" x14ac:dyDescent="0.25">
      <c r="A288" t="s">
        <v>68</v>
      </c>
    </row>
    <row r="289" spans="1:1" x14ac:dyDescent="0.25">
      <c r="A289" t="s">
        <v>68</v>
      </c>
    </row>
    <row r="290" spans="1:1" x14ac:dyDescent="0.25">
      <c r="A290" t="s">
        <v>68</v>
      </c>
    </row>
    <row r="291" spans="1:1" x14ac:dyDescent="0.25">
      <c r="A291" t="s">
        <v>68</v>
      </c>
    </row>
    <row r="292" spans="1:1" x14ac:dyDescent="0.25">
      <c r="A292" t="s">
        <v>68</v>
      </c>
    </row>
    <row r="293" spans="1:1" x14ac:dyDescent="0.25">
      <c r="A293" t="s">
        <v>68</v>
      </c>
    </row>
    <row r="294" spans="1:1" x14ac:dyDescent="0.25">
      <c r="A294" t="s">
        <v>68</v>
      </c>
    </row>
    <row r="295" spans="1:1" x14ac:dyDescent="0.25">
      <c r="A295" t="s">
        <v>68</v>
      </c>
    </row>
    <row r="296" spans="1:1" x14ac:dyDescent="0.25">
      <c r="A296" t="s">
        <v>68</v>
      </c>
    </row>
    <row r="297" spans="1:1" x14ac:dyDescent="0.25">
      <c r="A297" t="s">
        <v>68</v>
      </c>
    </row>
    <row r="298" spans="1:1" x14ac:dyDescent="0.25">
      <c r="A298" t="s">
        <v>68</v>
      </c>
    </row>
    <row r="299" spans="1:1" x14ac:dyDescent="0.25">
      <c r="A299" t="s">
        <v>68</v>
      </c>
    </row>
    <row r="300" spans="1:1" x14ac:dyDescent="0.25">
      <c r="A300" t="s">
        <v>68</v>
      </c>
    </row>
    <row r="301" spans="1:1" x14ac:dyDescent="0.25">
      <c r="A301" t="s">
        <v>68</v>
      </c>
    </row>
    <row r="302" spans="1:1" x14ac:dyDescent="0.25">
      <c r="A302" t="s">
        <v>68</v>
      </c>
    </row>
    <row r="303" spans="1:1" x14ac:dyDescent="0.25">
      <c r="A303" t="s">
        <v>68</v>
      </c>
    </row>
    <row r="304" spans="1:1" x14ac:dyDescent="0.25">
      <c r="A304" t="s">
        <v>68</v>
      </c>
    </row>
    <row r="305" spans="1:1" x14ac:dyDescent="0.25">
      <c r="A305" t="s">
        <v>68</v>
      </c>
    </row>
    <row r="306" spans="1:1" x14ac:dyDescent="0.25">
      <c r="A306" t="s">
        <v>68</v>
      </c>
    </row>
    <row r="307" spans="1:1" x14ac:dyDescent="0.25">
      <c r="A307" t="s">
        <v>68</v>
      </c>
    </row>
    <row r="308" spans="1:1" x14ac:dyDescent="0.25">
      <c r="A308" t="s">
        <v>68</v>
      </c>
    </row>
    <row r="309" spans="1:1" x14ac:dyDescent="0.25">
      <c r="A309" t="s">
        <v>68</v>
      </c>
    </row>
    <row r="310" spans="1:1" x14ac:dyDescent="0.25">
      <c r="A310" t="s">
        <v>68</v>
      </c>
    </row>
    <row r="311" spans="1:1" x14ac:dyDescent="0.25">
      <c r="A311" t="s">
        <v>68</v>
      </c>
    </row>
    <row r="312" spans="1:1" x14ac:dyDescent="0.25">
      <c r="A312" t="s">
        <v>68</v>
      </c>
    </row>
    <row r="313" spans="1:1" x14ac:dyDescent="0.25">
      <c r="A313" t="s">
        <v>68</v>
      </c>
    </row>
    <row r="314" spans="1:1" x14ac:dyDescent="0.25">
      <c r="A314" t="s">
        <v>68</v>
      </c>
    </row>
    <row r="315" spans="1:1" x14ac:dyDescent="0.25">
      <c r="A315" t="s">
        <v>68</v>
      </c>
    </row>
    <row r="316" spans="1:1" x14ac:dyDescent="0.25">
      <c r="A316" t="s">
        <v>68</v>
      </c>
    </row>
    <row r="317" spans="1:1" x14ac:dyDescent="0.25">
      <c r="A317" t="s">
        <v>68</v>
      </c>
    </row>
    <row r="318" spans="1:1" x14ac:dyDescent="0.25">
      <c r="A318" t="s">
        <v>68</v>
      </c>
    </row>
    <row r="319" spans="1:1" x14ac:dyDescent="0.25">
      <c r="A319" t="s">
        <v>68</v>
      </c>
    </row>
    <row r="320" spans="1:1" x14ac:dyDescent="0.25">
      <c r="A320" t="s">
        <v>68</v>
      </c>
    </row>
    <row r="321" spans="1:1" x14ac:dyDescent="0.25">
      <c r="A321" t="s">
        <v>68</v>
      </c>
    </row>
    <row r="322" spans="1:1" x14ac:dyDescent="0.25">
      <c r="A322" t="s">
        <v>68</v>
      </c>
    </row>
    <row r="323" spans="1:1" x14ac:dyDescent="0.25">
      <c r="A323" t="s">
        <v>68</v>
      </c>
    </row>
    <row r="324" spans="1:1" x14ac:dyDescent="0.25">
      <c r="A324" t="s">
        <v>68</v>
      </c>
    </row>
    <row r="325" spans="1:1" x14ac:dyDescent="0.25">
      <c r="A325" t="s">
        <v>68</v>
      </c>
    </row>
    <row r="326" spans="1:1" x14ac:dyDescent="0.25">
      <c r="A326" t="s">
        <v>68</v>
      </c>
    </row>
    <row r="327" spans="1:1" x14ac:dyDescent="0.25">
      <c r="A327" t="s">
        <v>68</v>
      </c>
    </row>
    <row r="328" spans="1:1" x14ac:dyDescent="0.25">
      <c r="A328" t="s">
        <v>68</v>
      </c>
    </row>
    <row r="329" spans="1:1" x14ac:dyDescent="0.25">
      <c r="A329" t="s">
        <v>68</v>
      </c>
    </row>
    <row r="330" spans="1:1" x14ac:dyDescent="0.25">
      <c r="A330" t="s">
        <v>68</v>
      </c>
    </row>
    <row r="331" spans="1:1" x14ac:dyDescent="0.25">
      <c r="A331" t="s">
        <v>68</v>
      </c>
    </row>
    <row r="332" spans="1:1" x14ac:dyDescent="0.25">
      <c r="A332" t="s">
        <v>68</v>
      </c>
    </row>
    <row r="333" spans="1:1" x14ac:dyDescent="0.25">
      <c r="A333" t="s">
        <v>68</v>
      </c>
    </row>
    <row r="334" spans="1:1" x14ac:dyDescent="0.25">
      <c r="A334" t="s">
        <v>68</v>
      </c>
    </row>
    <row r="335" spans="1:1" x14ac:dyDescent="0.25">
      <c r="A335" t="s">
        <v>68</v>
      </c>
    </row>
    <row r="336" spans="1:1" x14ac:dyDescent="0.25">
      <c r="A336" t="s">
        <v>68</v>
      </c>
    </row>
    <row r="337" spans="1:1" x14ac:dyDescent="0.25">
      <c r="A337" t="s">
        <v>68</v>
      </c>
    </row>
    <row r="338" spans="1:1" x14ac:dyDescent="0.25">
      <c r="A338" t="s">
        <v>68</v>
      </c>
    </row>
    <row r="339" spans="1:1" x14ac:dyDescent="0.25">
      <c r="A339" t="s">
        <v>68</v>
      </c>
    </row>
    <row r="340" spans="1:1" x14ac:dyDescent="0.25">
      <c r="A340" t="s">
        <v>68</v>
      </c>
    </row>
    <row r="341" spans="1:1" x14ac:dyDescent="0.25">
      <c r="A341" t="s">
        <v>68</v>
      </c>
    </row>
    <row r="342" spans="1:1" x14ac:dyDescent="0.25">
      <c r="A342" t="s">
        <v>68</v>
      </c>
    </row>
    <row r="343" spans="1:1" x14ac:dyDescent="0.25">
      <c r="A343" t="s">
        <v>68</v>
      </c>
    </row>
    <row r="344" spans="1:1" x14ac:dyDescent="0.25">
      <c r="A344" t="s">
        <v>68</v>
      </c>
    </row>
    <row r="345" spans="1:1" x14ac:dyDescent="0.25">
      <c r="A345" t="s">
        <v>68</v>
      </c>
    </row>
    <row r="346" spans="1:1" x14ac:dyDescent="0.25">
      <c r="A346" t="s">
        <v>68</v>
      </c>
    </row>
    <row r="347" spans="1:1" x14ac:dyDescent="0.25">
      <c r="A347" t="s">
        <v>68</v>
      </c>
    </row>
    <row r="348" spans="1:1" x14ac:dyDescent="0.25">
      <c r="A348" t="s">
        <v>68</v>
      </c>
    </row>
    <row r="349" spans="1:1" x14ac:dyDescent="0.25">
      <c r="A349" t="s">
        <v>68</v>
      </c>
    </row>
    <row r="350" spans="1:1" x14ac:dyDescent="0.25">
      <c r="A350" t="s">
        <v>68</v>
      </c>
    </row>
    <row r="351" spans="1:1" x14ac:dyDescent="0.25">
      <c r="A351" t="s">
        <v>68</v>
      </c>
    </row>
    <row r="352" spans="1:1" x14ac:dyDescent="0.25">
      <c r="A352" t="s">
        <v>68</v>
      </c>
    </row>
    <row r="353" spans="1:1" x14ac:dyDescent="0.25">
      <c r="A353" t="s">
        <v>68</v>
      </c>
    </row>
    <row r="354" spans="1:1" x14ac:dyDescent="0.25">
      <c r="A354" t="s">
        <v>68</v>
      </c>
    </row>
    <row r="355" spans="1:1" x14ac:dyDescent="0.25">
      <c r="A355" t="s">
        <v>68</v>
      </c>
    </row>
    <row r="356" spans="1:1" x14ac:dyDescent="0.25">
      <c r="A356" t="s">
        <v>68</v>
      </c>
    </row>
    <row r="357" spans="1:1" x14ac:dyDescent="0.25">
      <c r="A357" t="s">
        <v>68</v>
      </c>
    </row>
    <row r="358" spans="1:1" x14ac:dyDescent="0.25">
      <c r="A358" t="s">
        <v>68</v>
      </c>
    </row>
    <row r="359" spans="1:1" x14ac:dyDescent="0.25">
      <c r="A359" t="s">
        <v>68</v>
      </c>
    </row>
    <row r="360" spans="1:1" x14ac:dyDescent="0.25">
      <c r="A360" t="s">
        <v>68</v>
      </c>
    </row>
    <row r="361" spans="1:1" x14ac:dyDescent="0.25">
      <c r="A361" t="s">
        <v>68</v>
      </c>
    </row>
    <row r="362" spans="1:1" x14ac:dyDescent="0.25">
      <c r="A362" t="s">
        <v>68</v>
      </c>
    </row>
    <row r="363" spans="1:1" x14ac:dyDescent="0.25">
      <c r="A363" t="s">
        <v>68</v>
      </c>
    </row>
    <row r="364" spans="1:1" x14ac:dyDescent="0.25">
      <c r="A364" t="s">
        <v>68</v>
      </c>
    </row>
    <row r="365" spans="1:1" x14ac:dyDescent="0.25">
      <c r="A365" t="s">
        <v>68</v>
      </c>
    </row>
    <row r="366" spans="1:1" x14ac:dyDescent="0.25">
      <c r="A366" t="s">
        <v>68</v>
      </c>
    </row>
    <row r="367" spans="1:1" x14ac:dyDescent="0.25">
      <c r="A367" t="s">
        <v>68</v>
      </c>
    </row>
    <row r="368" spans="1:1" x14ac:dyDescent="0.25">
      <c r="A368" t="s">
        <v>68</v>
      </c>
    </row>
    <row r="369" spans="1:1" x14ac:dyDescent="0.25">
      <c r="A369" t="s">
        <v>68</v>
      </c>
    </row>
    <row r="370" spans="1:1" x14ac:dyDescent="0.25">
      <c r="A370" t="s">
        <v>68</v>
      </c>
    </row>
    <row r="371" spans="1:1" x14ac:dyDescent="0.25">
      <c r="A371" t="s">
        <v>68</v>
      </c>
    </row>
    <row r="372" spans="1:1" x14ac:dyDescent="0.25">
      <c r="A372" t="s">
        <v>68</v>
      </c>
    </row>
    <row r="373" spans="1:1" x14ac:dyDescent="0.25">
      <c r="A373" t="s">
        <v>68</v>
      </c>
    </row>
    <row r="374" spans="1:1" x14ac:dyDescent="0.25">
      <c r="A374" t="s">
        <v>68</v>
      </c>
    </row>
    <row r="375" spans="1:1" x14ac:dyDescent="0.25">
      <c r="A375" t="s">
        <v>68</v>
      </c>
    </row>
    <row r="376" spans="1:1" x14ac:dyDescent="0.25">
      <c r="A376" t="s">
        <v>68</v>
      </c>
    </row>
    <row r="377" spans="1:1" x14ac:dyDescent="0.25">
      <c r="A377" t="s">
        <v>68</v>
      </c>
    </row>
    <row r="378" spans="1:1" x14ac:dyDescent="0.25">
      <c r="A378" t="s">
        <v>68</v>
      </c>
    </row>
    <row r="379" spans="1:1" x14ac:dyDescent="0.25">
      <c r="A379" t="s">
        <v>68</v>
      </c>
    </row>
    <row r="380" spans="1:1" x14ac:dyDescent="0.25">
      <c r="A380" t="s">
        <v>68</v>
      </c>
    </row>
    <row r="381" spans="1:1" x14ac:dyDescent="0.25">
      <c r="A381" t="s">
        <v>68</v>
      </c>
    </row>
    <row r="382" spans="1:1" x14ac:dyDescent="0.25">
      <c r="A382" t="s">
        <v>68</v>
      </c>
    </row>
    <row r="383" spans="1:1" x14ac:dyDescent="0.25">
      <c r="A383" t="s">
        <v>68</v>
      </c>
    </row>
    <row r="384" spans="1:1" x14ac:dyDescent="0.25">
      <c r="A384" t="s">
        <v>68</v>
      </c>
    </row>
    <row r="385" spans="1:1" x14ac:dyDescent="0.25">
      <c r="A385" t="s">
        <v>68</v>
      </c>
    </row>
    <row r="386" spans="1:1" x14ac:dyDescent="0.25">
      <c r="A386" t="s">
        <v>68</v>
      </c>
    </row>
    <row r="387" spans="1:1" x14ac:dyDescent="0.25">
      <c r="A387" t="s">
        <v>68</v>
      </c>
    </row>
    <row r="388" spans="1:1" x14ac:dyDescent="0.25">
      <c r="A388" t="s">
        <v>68</v>
      </c>
    </row>
    <row r="389" spans="1:1" x14ac:dyDescent="0.25">
      <c r="A389" t="s">
        <v>68</v>
      </c>
    </row>
    <row r="390" spans="1:1" x14ac:dyDescent="0.25">
      <c r="A390" t="s">
        <v>68</v>
      </c>
    </row>
    <row r="391" spans="1:1" x14ac:dyDescent="0.25">
      <c r="A391" t="s">
        <v>68</v>
      </c>
    </row>
    <row r="392" spans="1:1" x14ac:dyDescent="0.25">
      <c r="A392" t="s">
        <v>68</v>
      </c>
    </row>
    <row r="393" spans="1:1" x14ac:dyDescent="0.25">
      <c r="A393" t="s">
        <v>68</v>
      </c>
    </row>
    <row r="394" spans="1:1" x14ac:dyDescent="0.25">
      <c r="A394" t="s">
        <v>68</v>
      </c>
    </row>
    <row r="395" spans="1:1" x14ac:dyDescent="0.25">
      <c r="A395" t="s">
        <v>68</v>
      </c>
    </row>
    <row r="396" spans="1:1" x14ac:dyDescent="0.25">
      <c r="A396" t="s">
        <v>68</v>
      </c>
    </row>
    <row r="397" spans="1:1" x14ac:dyDescent="0.25">
      <c r="A397" t="s">
        <v>68</v>
      </c>
    </row>
    <row r="398" spans="1:1" x14ac:dyDescent="0.25">
      <c r="A398" t="s">
        <v>68</v>
      </c>
    </row>
    <row r="399" spans="1:1" x14ac:dyDescent="0.25">
      <c r="A399" t="s">
        <v>68</v>
      </c>
    </row>
    <row r="400" spans="1:1" x14ac:dyDescent="0.25">
      <c r="A400" t="s">
        <v>68</v>
      </c>
    </row>
    <row r="401" spans="1:1" x14ac:dyDescent="0.25">
      <c r="A401" t="s">
        <v>68</v>
      </c>
    </row>
    <row r="402" spans="1:1" x14ac:dyDescent="0.25">
      <c r="A402" t="s">
        <v>68</v>
      </c>
    </row>
    <row r="403" spans="1:1" x14ac:dyDescent="0.25">
      <c r="A403" t="s">
        <v>68</v>
      </c>
    </row>
    <row r="404" spans="1:1" x14ac:dyDescent="0.25">
      <c r="A404" t="s">
        <v>68</v>
      </c>
    </row>
    <row r="405" spans="1:1" x14ac:dyDescent="0.25">
      <c r="A405" t="s">
        <v>68</v>
      </c>
    </row>
    <row r="406" spans="1:1" x14ac:dyDescent="0.25">
      <c r="A406" t="s">
        <v>68</v>
      </c>
    </row>
    <row r="407" spans="1:1" x14ac:dyDescent="0.25">
      <c r="A407" t="s">
        <v>68</v>
      </c>
    </row>
    <row r="408" spans="1:1" x14ac:dyDescent="0.25">
      <c r="A408" t="s">
        <v>68</v>
      </c>
    </row>
    <row r="409" spans="1:1" x14ac:dyDescent="0.25">
      <c r="A409" t="s">
        <v>68</v>
      </c>
    </row>
    <row r="410" spans="1:1" x14ac:dyDescent="0.25">
      <c r="A410" t="s">
        <v>68</v>
      </c>
    </row>
    <row r="411" spans="1:1" x14ac:dyDescent="0.25">
      <c r="A411" t="s">
        <v>68</v>
      </c>
    </row>
    <row r="412" spans="1:1" x14ac:dyDescent="0.25">
      <c r="A412" t="s">
        <v>68</v>
      </c>
    </row>
    <row r="413" spans="1:1" x14ac:dyDescent="0.25">
      <c r="A413" t="s">
        <v>68</v>
      </c>
    </row>
    <row r="414" spans="1:1" x14ac:dyDescent="0.25">
      <c r="A414" t="s">
        <v>68</v>
      </c>
    </row>
    <row r="415" spans="1:1" x14ac:dyDescent="0.25">
      <c r="A415" t="s">
        <v>68</v>
      </c>
    </row>
    <row r="416" spans="1:1" x14ac:dyDescent="0.25">
      <c r="A416" t="s">
        <v>68</v>
      </c>
    </row>
    <row r="417" spans="1:1" x14ac:dyDescent="0.25">
      <c r="A417" t="s">
        <v>68</v>
      </c>
    </row>
    <row r="418" spans="1:1" x14ac:dyDescent="0.25">
      <c r="A418" t="s">
        <v>68</v>
      </c>
    </row>
    <row r="419" spans="1:1" x14ac:dyDescent="0.25">
      <c r="A419" t="s">
        <v>68</v>
      </c>
    </row>
    <row r="420" spans="1:1" x14ac:dyDescent="0.25">
      <c r="A420" t="s">
        <v>68</v>
      </c>
    </row>
    <row r="421" spans="1:1" x14ac:dyDescent="0.25">
      <c r="A421" t="s">
        <v>68</v>
      </c>
    </row>
    <row r="422" spans="1:1" x14ac:dyDescent="0.25">
      <c r="A422" t="s">
        <v>68</v>
      </c>
    </row>
    <row r="423" spans="1:1" x14ac:dyDescent="0.25">
      <c r="A423" t="s">
        <v>68</v>
      </c>
    </row>
    <row r="424" spans="1:1" x14ac:dyDescent="0.25">
      <c r="A424" t="s">
        <v>68</v>
      </c>
    </row>
    <row r="425" spans="1:1" x14ac:dyDescent="0.25">
      <c r="A425" t="s">
        <v>68</v>
      </c>
    </row>
    <row r="426" spans="1:1" x14ac:dyDescent="0.25">
      <c r="A426" t="s">
        <v>68</v>
      </c>
    </row>
    <row r="427" spans="1:1" x14ac:dyDescent="0.25">
      <c r="A427" t="s">
        <v>68</v>
      </c>
    </row>
    <row r="428" spans="1:1" x14ac:dyDescent="0.25">
      <c r="A428" t="s">
        <v>68</v>
      </c>
    </row>
    <row r="429" spans="1:1" x14ac:dyDescent="0.25">
      <c r="A429" t="s">
        <v>68</v>
      </c>
    </row>
    <row r="430" spans="1:1" x14ac:dyDescent="0.25">
      <c r="A430" t="s">
        <v>68</v>
      </c>
    </row>
    <row r="431" spans="1:1" x14ac:dyDescent="0.25">
      <c r="A431" t="s">
        <v>68</v>
      </c>
    </row>
    <row r="432" spans="1:1" x14ac:dyDescent="0.25">
      <c r="A432" t="s">
        <v>68</v>
      </c>
    </row>
    <row r="433" spans="1:1" x14ac:dyDescent="0.25">
      <c r="A433" t="s">
        <v>68</v>
      </c>
    </row>
    <row r="434" spans="1:1" x14ac:dyDescent="0.25">
      <c r="A434" t="s">
        <v>68</v>
      </c>
    </row>
    <row r="435" spans="1:1" x14ac:dyDescent="0.25">
      <c r="A435" t="s">
        <v>68</v>
      </c>
    </row>
    <row r="436" spans="1:1" x14ac:dyDescent="0.25">
      <c r="A436" t="s">
        <v>68</v>
      </c>
    </row>
    <row r="437" spans="1:1" x14ac:dyDescent="0.25">
      <c r="A437" t="s">
        <v>68</v>
      </c>
    </row>
    <row r="438" spans="1:1" x14ac:dyDescent="0.25">
      <c r="A438" t="s">
        <v>68</v>
      </c>
    </row>
    <row r="439" spans="1:1" x14ac:dyDescent="0.25">
      <c r="A439" t="s">
        <v>68</v>
      </c>
    </row>
    <row r="440" spans="1:1" x14ac:dyDescent="0.25">
      <c r="A440" t="s">
        <v>68</v>
      </c>
    </row>
    <row r="441" spans="1:1" x14ac:dyDescent="0.25">
      <c r="A441" t="s">
        <v>68</v>
      </c>
    </row>
    <row r="442" spans="1:1" x14ac:dyDescent="0.25">
      <c r="A442" t="s">
        <v>68</v>
      </c>
    </row>
    <row r="443" spans="1:1" x14ac:dyDescent="0.25">
      <c r="A443" t="s">
        <v>68</v>
      </c>
    </row>
    <row r="444" spans="1:1" x14ac:dyDescent="0.25">
      <c r="A444" t="s">
        <v>68</v>
      </c>
    </row>
    <row r="445" spans="1:1" x14ac:dyDescent="0.25">
      <c r="A445" t="s">
        <v>68</v>
      </c>
    </row>
    <row r="446" spans="1:1" x14ac:dyDescent="0.25">
      <c r="A446" t="s">
        <v>68</v>
      </c>
    </row>
    <row r="447" spans="1:1" x14ac:dyDescent="0.25">
      <c r="A447" t="s">
        <v>68</v>
      </c>
    </row>
    <row r="448" spans="1:1" x14ac:dyDescent="0.25">
      <c r="A448" t="s">
        <v>68</v>
      </c>
    </row>
    <row r="449" spans="1:1" x14ac:dyDescent="0.25">
      <c r="A449" t="s">
        <v>68</v>
      </c>
    </row>
    <row r="450" spans="1:1" x14ac:dyDescent="0.25">
      <c r="A450" t="s">
        <v>68</v>
      </c>
    </row>
    <row r="451" spans="1:1" x14ac:dyDescent="0.25">
      <c r="A451" t="s">
        <v>68</v>
      </c>
    </row>
    <row r="452" spans="1:1" x14ac:dyDescent="0.25">
      <c r="A452" t="s">
        <v>68</v>
      </c>
    </row>
    <row r="453" spans="1:1" x14ac:dyDescent="0.25">
      <c r="A453" t="s">
        <v>68</v>
      </c>
    </row>
    <row r="454" spans="1:1" x14ac:dyDescent="0.25">
      <c r="A454" t="s">
        <v>68</v>
      </c>
    </row>
    <row r="455" spans="1:1" x14ac:dyDescent="0.25">
      <c r="A455" t="s">
        <v>68</v>
      </c>
    </row>
    <row r="456" spans="1:1" x14ac:dyDescent="0.25">
      <c r="A456" t="s">
        <v>68</v>
      </c>
    </row>
    <row r="457" spans="1:1" x14ac:dyDescent="0.25">
      <c r="A457" t="s">
        <v>68</v>
      </c>
    </row>
    <row r="458" spans="1:1" x14ac:dyDescent="0.25">
      <c r="A458" t="s">
        <v>68</v>
      </c>
    </row>
    <row r="459" spans="1:1" x14ac:dyDescent="0.25">
      <c r="A459" t="s">
        <v>68</v>
      </c>
    </row>
    <row r="460" spans="1:1" x14ac:dyDescent="0.25">
      <c r="A460" t="s">
        <v>68</v>
      </c>
    </row>
    <row r="461" spans="1:1" x14ac:dyDescent="0.25">
      <c r="A461" t="s">
        <v>68</v>
      </c>
    </row>
    <row r="462" spans="1:1" x14ac:dyDescent="0.25">
      <c r="A462" t="s">
        <v>68</v>
      </c>
    </row>
    <row r="463" spans="1:1" x14ac:dyDescent="0.25">
      <c r="A463" t="s">
        <v>68</v>
      </c>
    </row>
    <row r="464" spans="1:1" x14ac:dyDescent="0.25">
      <c r="A464" t="s">
        <v>68</v>
      </c>
    </row>
    <row r="465" spans="1:1" x14ac:dyDescent="0.25">
      <c r="A465" t="s">
        <v>68</v>
      </c>
    </row>
    <row r="466" spans="1:1" x14ac:dyDescent="0.25">
      <c r="A466" t="s">
        <v>68</v>
      </c>
    </row>
    <row r="467" spans="1:1" x14ac:dyDescent="0.25">
      <c r="A467" t="s">
        <v>68</v>
      </c>
    </row>
    <row r="468" spans="1:1" x14ac:dyDescent="0.25">
      <c r="A468" t="s">
        <v>68</v>
      </c>
    </row>
    <row r="469" spans="1:1" x14ac:dyDescent="0.25">
      <c r="A469" t="s">
        <v>68</v>
      </c>
    </row>
    <row r="470" spans="1:1" x14ac:dyDescent="0.25">
      <c r="A470" t="s">
        <v>68</v>
      </c>
    </row>
    <row r="471" spans="1:1" x14ac:dyDescent="0.25">
      <c r="A471" t="s">
        <v>68</v>
      </c>
    </row>
    <row r="472" spans="1:1" x14ac:dyDescent="0.25">
      <c r="A472" t="s">
        <v>68</v>
      </c>
    </row>
    <row r="473" spans="1:1" x14ac:dyDescent="0.25">
      <c r="A473" t="s">
        <v>68</v>
      </c>
    </row>
    <row r="474" spans="1:1" x14ac:dyDescent="0.25">
      <c r="A474" t="s">
        <v>68</v>
      </c>
    </row>
    <row r="475" spans="1:1" x14ac:dyDescent="0.25">
      <c r="A475" t="s">
        <v>68</v>
      </c>
    </row>
    <row r="476" spans="1:1" x14ac:dyDescent="0.25">
      <c r="A476" t="s">
        <v>68</v>
      </c>
    </row>
    <row r="477" spans="1:1" x14ac:dyDescent="0.25">
      <c r="A477" t="s">
        <v>68</v>
      </c>
    </row>
    <row r="478" spans="1:1" x14ac:dyDescent="0.25">
      <c r="A478" t="s">
        <v>68</v>
      </c>
    </row>
    <row r="479" spans="1:1" x14ac:dyDescent="0.25">
      <c r="A479" t="s">
        <v>68</v>
      </c>
    </row>
    <row r="480" spans="1:1" x14ac:dyDescent="0.25">
      <c r="A480" t="s">
        <v>68</v>
      </c>
    </row>
    <row r="481" spans="1:1" x14ac:dyDescent="0.25">
      <c r="A481" t="s">
        <v>68</v>
      </c>
    </row>
    <row r="482" spans="1:1" x14ac:dyDescent="0.25">
      <c r="A482" t="s">
        <v>68</v>
      </c>
    </row>
    <row r="483" spans="1:1" x14ac:dyDescent="0.25">
      <c r="A483" t="s">
        <v>68</v>
      </c>
    </row>
    <row r="484" spans="1:1" x14ac:dyDescent="0.25">
      <c r="A484" t="s">
        <v>68</v>
      </c>
    </row>
    <row r="485" spans="1:1" x14ac:dyDescent="0.25">
      <c r="A485" t="s">
        <v>68</v>
      </c>
    </row>
    <row r="486" spans="1:1" x14ac:dyDescent="0.25">
      <c r="A486" t="s">
        <v>68</v>
      </c>
    </row>
    <row r="487" spans="1:1" x14ac:dyDescent="0.25">
      <c r="A487" t="s">
        <v>68</v>
      </c>
    </row>
    <row r="488" spans="1:1" x14ac:dyDescent="0.25">
      <c r="A488" t="s">
        <v>68</v>
      </c>
    </row>
    <row r="489" spans="1:1" x14ac:dyDescent="0.25">
      <c r="A489" t="s">
        <v>68</v>
      </c>
    </row>
    <row r="490" spans="1:1" x14ac:dyDescent="0.25">
      <c r="A490" t="s">
        <v>68</v>
      </c>
    </row>
    <row r="491" spans="1:1" x14ac:dyDescent="0.25">
      <c r="A491" t="s">
        <v>68</v>
      </c>
    </row>
    <row r="492" spans="1:1" x14ac:dyDescent="0.25">
      <c r="A492" t="s">
        <v>68</v>
      </c>
    </row>
    <row r="493" spans="1:1" x14ac:dyDescent="0.25">
      <c r="A493" t="s">
        <v>68</v>
      </c>
    </row>
    <row r="494" spans="1:1" x14ac:dyDescent="0.25">
      <c r="A494" t="s">
        <v>68</v>
      </c>
    </row>
    <row r="495" spans="1:1" x14ac:dyDescent="0.25">
      <c r="A495" t="s">
        <v>68</v>
      </c>
    </row>
    <row r="496" spans="1:1" x14ac:dyDescent="0.25">
      <c r="A496" t="s">
        <v>68</v>
      </c>
    </row>
    <row r="497" spans="1:1" x14ac:dyDescent="0.25">
      <c r="A497" t="s">
        <v>68</v>
      </c>
    </row>
    <row r="498" spans="1:1" x14ac:dyDescent="0.25">
      <c r="A498" t="s">
        <v>68</v>
      </c>
    </row>
    <row r="499" spans="1:1" x14ac:dyDescent="0.25">
      <c r="A499" t="s">
        <v>68</v>
      </c>
    </row>
    <row r="500" spans="1:1" x14ac:dyDescent="0.25">
      <c r="A500" t="s">
        <v>68</v>
      </c>
    </row>
    <row r="501" spans="1:1" x14ac:dyDescent="0.25">
      <c r="A501" t="s">
        <v>68</v>
      </c>
    </row>
    <row r="502" spans="1:1" x14ac:dyDescent="0.25">
      <c r="A502" t="s">
        <v>68</v>
      </c>
    </row>
    <row r="503" spans="1:1" x14ac:dyDescent="0.25">
      <c r="A503" t="s">
        <v>68</v>
      </c>
    </row>
    <row r="504" spans="1:1" x14ac:dyDescent="0.25">
      <c r="A504" t="s">
        <v>68</v>
      </c>
    </row>
    <row r="505" spans="1:1" x14ac:dyDescent="0.25">
      <c r="A505" t="s">
        <v>68</v>
      </c>
    </row>
    <row r="506" spans="1:1" x14ac:dyDescent="0.25">
      <c r="A506" t="s">
        <v>68</v>
      </c>
    </row>
    <row r="507" spans="1:1" x14ac:dyDescent="0.25">
      <c r="A507" t="s">
        <v>68</v>
      </c>
    </row>
    <row r="508" spans="1:1" x14ac:dyDescent="0.25">
      <c r="A508" t="s">
        <v>68</v>
      </c>
    </row>
    <row r="509" spans="1:1" x14ac:dyDescent="0.25">
      <c r="A509" t="s">
        <v>68</v>
      </c>
    </row>
    <row r="510" spans="1:1" x14ac:dyDescent="0.25">
      <c r="A510" t="s">
        <v>68</v>
      </c>
    </row>
    <row r="511" spans="1:1" x14ac:dyDescent="0.25">
      <c r="A511" t="s">
        <v>68</v>
      </c>
    </row>
    <row r="512" spans="1:1" x14ac:dyDescent="0.25">
      <c r="A512" t="s">
        <v>68</v>
      </c>
    </row>
    <row r="513" spans="1:1" x14ac:dyDescent="0.25">
      <c r="A513" t="s">
        <v>68</v>
      </c>
    </row>
    <row r="514" spans="1:1" x14ac:dyDescent="0.25">
      <c r="A514" t="s">
        <v>68</v>
      </c>
    </row>
    <row r="515" spans="1:1" x14ac:dyDescent="0.25">
      <c r="A515" t="s">
        <v>68</v>
      </c>
    </row>
    <row r="516" spans="1:1" x14ac:dyDescent="0.25">
      <c r="A516" t="s">
        <v>68</v>
      </c>
    </row>
    <row r="517" spans="1:1" x14ac:dyDescent="0.25">
      <c r="A517" t="s">
        <v>68</v>
      </c>
    </row>
    <row r="518" spans="1:1" x14ac:dyDescent="0.25">
      <c r="A518" t="s">
        <v>68</v>
      </c>
    </row>
    <row r="519" spans="1:1" x14ac:dyDescent="0.25">
      <c r="A519" t="s">
        <v>68</v>
      </c>
    </row>
    <row r="520" spans="1:1" x14ac:dyDescent="0.25">
      <c r="A520" t="s">
        <v>68</v>
      </c>
    </row>
    <row r="521" spans="1:1" x14ac:dyDescent="0.25">
      <c r="A521" t="s">
        <v>68</v>
      </c>
    </row>
    <row r="522" spans="1:1" x14ac:dyDescent="0.25">
      <c r="A522" t="s">
        <v>68</v>
      </c>
    </row>
    <row r="523" spans="1:1" x14ac:dyDescent="0.25">
      <c r="A523" t="s">
        <v>68</v>
      </c>
    </row>
    <row r="524" spans="1:1" x14ac:dyDescent="0.25">
      <c r="A524" t="s">
        <v>68</v>
      </c>
    </row>
    <row r="525" spans="1:1" x14ac:dyDescent="0.25">
      <c r="A525" t="s">
        <v>68</v>
      </c>
    </row>
    <row r="526" spans="1:1" x14ac:dyDescent="0.25">
      <c r="A526" t="s">
        <v>68</v>
      </c>
    </row>
    <row r="527" spans="1:1" x14ac:dyDescent="0.25">
      <c r="A527" t="s">
        <v>68</v>
      </c>
    </row>
    <row r="528" spans="1:1" x14ac:dyDescent="0.25">
      <c r="A528" t="s">
        <v>68</v>
      </c>
    </row>
    <row r="529" spans="1:1" x14ac:dyDescent="0.25">
      <c r="A529" t="s">
        <v>68</v>
      </c>
    </row>
    <row r="530" spans="1:1" x14ac:dyDescent="0.25">
      <c r="A530" t="s">
        <v>68</v>
      </c>
    </row>
    <row r="531" spans="1:1" x14ac:dyDescent="0.25">
      <c r="A531" t="s">
        <v>68</v>
      </c>
    </row>
    <row r="532" spans="1:1" x14ac:dyDescent="0.25">
      <c r="A532" t="s">
        <v>68</v>
      </c>
    </row>
    <row r="533" spans="1:1" x14ac:dyDescent="0.25">
      <c r="A533" t="s">
        <v>68</v>
      </c>
    </row>
    <row r="534" spans="1:1" x14ac:dyDescent="0.25">
      <c r="A534" t="s">
        <v>68</v>
      </c>
    </row>
    <row r="535" spans="1:1" x14ac:dyDescent="0.25">
      <c r="A535" t="s">
        <v>68</v>
      </c>
    </row>
    <row r="536" spans="1:1" x14ac:dyDescent="0.25">
      <c r="A536" t="s">
        <v>68</v>
      </c>
    </row>
  </sheetData>
  <mergeCells count="5">
    <mergeCell ref="B1:D1"/>
    <mergeCell ref="E1:G1"/>
    <mergeCell ref="I1:M1"/>
    <mergeCell ref="P1:R1"/>
    <mergeCell ref="B2:G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06995-7898-4BD0-8464-A6AA075E368E}">
  <sheetPr codeName="Taul3"/>
  <dimension ref="A1:X345"/>
  <sheetViews>
    <sheetView zoomScale="85" zoomScaleNormal="85" workbookViewId="0">
      <selection activeCell="A4" sqref="A4"/>
    </sheetView>
  </sheetViews>
  <sheetFormatPr defaultRowHeight="15" x14ac:dyDescent="0.25"/>
  <cols>
    <col min="1" max="1" width="30.7109375" customWidth="1"/>
    <col min="2" max="22" width="7.7109375" style="2" customWidth="1"/>
    <col min="23" max="24" width="10.7109375" style="7" customWidth="1"/>
  </cols>
  <sheetData>
    <row r="1" spans="1:24" ht="15" customHeight="1" thickTop="1" x14ac:dyDescent="0.25">
      <c r="A1" s="66" t="s">
        <v>8</v>
      </c>
      <c r="B1" s="172" t="s">
        <v>9</v>
      </c>
      <c r="C1" s="172"/>
      <c r="D1" s="172"/>
      <c r="E1" s="172" t="s">
        <v>8</v>
      </c>
      <c r="F1" s="172"/>
      <c r="G1" s="172"/>
      <c r="H1" s="67" t="s">
        <v>8</v>
      </c>
      <c r="I1" s="172" t="s">
        <v>10</v>
      </c>
      <c r="J1" s="172"/>
      <c r="K1" s="172"/>
      <c r="L1" s="172"/>
      <c r="M1" s="172"/>
      <c r="N1" s="67" t="s">
        <v>8</v>
      </c>
      <c r="O1" s="67" t="s">
        <v>8</v>
      </c>
      <c r="P1" s="172" t="s">
        <v>288</v>
      </c>
      <c r="Q1" s="172"/>
      <c r="R1" s="172"/>
      <c r="S1" s="67" t="s">
        <v>8</v>
      </c>
      <c r="T1" s="67" t="s">
        <v>8</v>
      </c>
      <c r="U1" s="67" t="s">
        <v>8</v>
      </c>
      <c r="V1" s="67" t="s">
        <v>8</v>
      </c>
      <c r="W1" s="68" t="s">
        <v>8</v>
      </c>
      <c r="X1" s="69" t="s">
        <v>8</v>
      </c>
    </row>
    <row r="2" spans="1:24" ht="15" customHeight="1" x14ac:dyDescent="0.25">
      <c r="A2" s="70" t="s">
        <v>53</v>
      </c>
      <c r="B2" s="173" t="s">
        <v>54</v>
      </c>
      <c r="C2" s="173"/>
      <c r="D2" s="173"/>
      <c r="E2" s="173"/>
      <c r="F2" s="173"/>
      <c r="G2" s="173"/>
      <c r="H2" s="3" t="s">
        <v>8</v>
      </c>
      <c r="I2" s="3" t="s">
        <v>238</v>
      </c>
      <c r="J2" s="3" t="s">
        <v>8</v>
      </c>
      <c r="K2" s="3" t="s">
        <v>8</v>
      </c>
      <c r="L2" s="3" t="s">
        <v>8</v>
      </c>
      <c r="M2" s="3" t="s">
        <v>8</v>
      </c>
      <c r="N2" s="3" t="s">
        <v>8</v>
      </c>
      <c r="O2" s="3" t="s">
        <v>8</v>
      </c>
      <c r="P2" s="3" t="s">
        <v>8</v>
      </c>
      <c r="Q2" s="3" t="s">
        <v>8</v>
      </c>
      <c r="R2" s="3" t="s">
        <v>8</v>
      </c>
      <c r="S2" s="3" t="s">
        <v>8</v>
      </c>
      <c r="T2" s="3" t="s">
        <v>8</v>
      </c>
      <c r="U2" s="3" t="s">
        <v>8</v>
      </c>
      <c r="V2" s="3" t="s">
        <v>8</v>
      </c>
      <c r="W2" s="4" t="s">
        <v>8</v>
      </c>
      <c r="X2" s="71" t="s">
        <v>8</v>
      </c>
    </row>
    <row r="3" spans="1:24" ht="15" customHeight="1" x14ac:dyDescent="0.25">
      <c r="A3" s="72" t="s">
        <v>8</v>
      </c>
      <c r="B3" s="3" t="s">
        <v>8</v>
      </c>
      <c r="C3" s="3" t="s">
        <v>8</v>
      </c>
      <c r="D3" s="3" t="s">
        <v>8</v>
      </c>
      <c r="E3" s="3" t="s">
        <v>8</v>
      </c>
      <c r="F3" s="3" t="s">
        <v>8</v>
      </c>
      <c r="G3" s="3" t="s">
        <v>8</v>
      </c>
      <c r="H3" s="3" t="s">
        <v>8</v>
      </c>
      <c r="I3" s="115" t="s">
        <v>239</v>
      </c>
      <c r="J3" s="115" t="s">
        <v>8</v>
      </c>
      <c r="K3" s="115" t="s">
        <v>8</v>
      </c>
      <c r="L3" s="3" t="s">
        <v>8</v>
      </c>
      <c r="M3" s="3" t="s">
        <v>8</v>
      </c>
      <c r="N3" s="3" t="s">
        <v>8</v>
      </c>
      <c r="O3" s="3" t="s">
        <v>8</v>
      </c>
      <c r="P3" s="3" t="s">
        <v>8</v>
      </c>
      <c r="Q3" s="3" t="s">
        <v>8</v>
      </c>
      <c r="R3" s="3" t="s">
        <v>8</v>
      </c>
      <c r="S3" s="3" t="s">
        <v>8</v>
      </c>
      <c r="T3" s="3" t="s">
        <v>8</v>
      </c>
      <c r="U3" s="3" t="s">
        <v>8</v>
      </c>
      <c r="V3" s="3" t="s">
        <v>8</v>
      </c>
      <c r="W3" s="4" t="s">
        <v>8</v>
      </c>
      <c r="X3" s="71" t="s">
        <v>8</v>
      </c>
    </row>
    <row r="4" spans="1:24" ht="15" customHeight="1" x14ac:dyDescent="0.25">
      <c r="A4" s="72" t="s">
        <v>8</v>
      </c>
      <c r="B4" s="3" t="s">
        <v>11</v>
      </c>
      <c r="C4" s="3" t="s">
        <v>12</v>
      </c>
      <c r="D4" s="3" t="s">
        <v>13</v>
      </c>
      <c r="E4" s="3" t="s">
        <v>14</v>
      </c>
      <c r="F4" s="3" t="s">
        <v>15</v>
      </c>
      <c r="G4" s="3" t="s">
        <v>16</v>
      </c>
      <c r="H4" s="5" t="s">
        <v>17</v>
      </c>
      <c r="I4" s="3" t="s">
        <v>11</v>
      </c>
      <c r="J4" s="3" t="s">
        <v>12</v>
      </c>
      <c r="K4" s="3" t="s">
        <v>13</v>
      </c>
      <c r="L4" s="3" t="s">
        <v>14</v>
      </c>
      <c r="M4" s="3" t="s">
        <v>15</v>
      </c>
      <c r="N4" s="3" t="s">
        <v>16</v>
      </c>
      <c r="O4" s="5" t="s">
        <v>17</v>
      </c>
      <c r="P4" s="3" t="s">
        <v>11</v>
      </c>
      <c r="Q4" s="3" t="s">
        <v>12</v>
      </c>
      <c r="R4" s="3" t="s">
        <v>13</v>
      </c>
      <c r="S4" s="3" t="s">
        <v>14</v>
      </c>
      <c r="T4" s="3" t="s">
        <v>15</v>
      </c>
      <c r="U4" s="3" t="s">
        <v>16</v>
      </c>
      <c r="V4" s="5" t="s">
        <v>17</v>
      </c>
      <c r="W4" s="6" t="s">
        <v>18</v>
      </c>
      <c r="X4" s="73" t="s">
        <v>19</v>
      </c>
    </row>
    <row r="5" spans="1:24" ht="15" customHeight="1" x14ac:dyDescent="0.25">
      <c r="A5" s="74" t="s">
        <v>8</v>
      </c>
      <c r="B5" s="75">
        <v>2</v>
      </c>
      <c r="C5" s="75">
        <v>3</v>
      </c>
      <c r="D5" s="75">
        <v>4</v>
      </c>
      <c r="E5" s="75">
        <v>5</v>
      </c>
      <c r="F5" s="75">
        <v>6</v>
      </c>
      <c r="G5" s="75">
        <v>7</v>
      </c>
      <c r="H5" s="5">
        <v>8</v>
      </c>
      <c r="I5" s="75">
        <v>9</v>
      </c>
      <c r="J5" s="75">
        <v>10</v>
      </c>
      <c r="K5" s="75">
        <v>11</v>
      </c>
      <c r="L5" s="75">
        <v>12</v>
      </c>
      <c r="M5" s="75">
        <v>13</v>
      </c>
      <c r="N5" s="75">
        <v>14</v>
      </c>
      <c r="O5" s="5">
        <v>15</v>
      </c>
      <c r="P5" s="75">
        <v>16</v>
      </c>
      <c r="Q5" s="75">
        <v>17</v>
      </c>
      <c r="R5" s="75">
        <v>18</v>
      </c>
      <c r="S5" s="75">
        <v>19</v>
      </c>
      <c r="T5" s="75">
        <v>20</v>
      </c>
      <c r="U5" s="75">
        <v>21</v>
      </c>
      <c r="V5" s="5">
        <v>22</v>
      </c>
      <c r="W5" s="76" t="s">
        <v>20</v>
      </c>
      <c r="X5" s="77" t="s">
        <v>21</v>
      </c>
    </row>
    <row r="6" spans="1:24" ht="15" customHeight="1" x14ac:dyDescent="0.25">
      <c r="A6" s="72" t="str">
        <f t="shared" ref="A6:A9" si="0">A5</f>
        <v xml:space="preserve">   </v>
      </c>
      <c r="B6" s="3" t="s">
        <v>8</v>
      </c>
      <c r="C6" s="3" t="s">
        <v>8</v>
      </c>
      <c r="D6" s="3" t="s">
        <v>8</v>
      </c>
      <c r="E6" s="3" t="s">
        <v>8</v>
      </c>
      <c r="F6" s="3" t="s">
        <v>8</v>
      </c>
      <c r="G6" s="3" t="s">
        <v>8</v>
      </c>
      <c r="H6" s="5" t="s">
        <v>8</v>
      </c>
      <c r="I6" s="3" t="s">
        <v>8</v>
      </c>
      <c r="J6" s="3" t="s">
        <v>8</v>
      </c>
      <c r="K6" s="3" t="s">
        <v>8</v>
      </c>
      <c r="L6" s="3" t="s">
        <v>8</v>
      </c>
      <c r="M6" s="3" t="s">
        <v>8</v>
      </c>
      <c r="N6" s="3" t="s">
        <v>8</v>
      </c>
      <c r="O6" s="5" t="s">
        <v>8</v>
      </c>
      <c r="P6" s="3" t="s">
        <v>8</v>
      </c>
      <c r="Q6" s="3" t="s">
        <v>8</v>
      </c>
      <c r="R6" s="3" t="s">
        <v>8</v>
      </c>
      <c r="S6" s="3" t="s">
        <v>8</v>
      </c>
      <c r="T6" s="3" t="s">
        <v>8</v>
      </c>
      <c r="U6" s="3" t="s">
        <v>8</v>
      </c>
      <c r="V6" s="5" t="s">
        <v>8</v>
      </c>
      <c r="W6" s="6" t="s">
        <v>8</v>
      </c>
      <c r="X6" s="6" t="s">
        <v>8</v>
      </c>
    </row>
    <row r="7" spans="1:24" ht="15" customHeight="1" x14ac:dyDescent="0.25">
      <c r="A7" s="72" t="str">
        <f t="shared" si="0"/>
        <v xml:space="preserve">   </v>
      </c>
      <c r="B7" s="3" t="s">
        <v>8</v>
      </c>
      <c r="C7" s="3" t="s">
        <v>8</v>
      </c>
      <c r="D7" s="3" t="s">
        <v>8</v>
      </c>
      <c r="E7" s="3" t="s">
        <v>8</v>
      </c>
      <c r="F7" s="3" t="s">
        <v>8</v>
      </c>
      <c r="G7" s="3" t="s">
        <v>8</v>
      </c>
      <c r="H7" s="5" t="s">
        <v>8</v>
      </c>
      <c r="I7" s="3" t="s">
        <v>8</v>
      </c>
      <c r="J7" s="3" t="s">
        <v>8</v>
      </c>
      <c r="K7" s="3" t="s">
        <v>8</v>
      </c>
      <c r="L7" s="3" t="s">
        <v>8</v>
      </c>
      <c r="M7" s="3" t="s">
        <v>8</v>
      </c>
      <c r="N7" s="3" t="s">
        <v>8</v>
      </c>
      <c r="O7" s="5" t="s">
        <v>8</v>
      </c>
      <c r="P7" s="3" t="s">
        <v>8</v>
      </c>
      <c r="Q7" s="3" t="s">
        <v>8</v>
      </c>
      <c r="R7" s="3" t="s">
        <v>8</v>
      </c>
      <c r="S7" s="3" t="s">
        <v>8</v>
      </c>
      <c r="T7" s="3" t="s">
        <v>8</v>
      </c>
      <c r="U7" s="3" t="s">
        <v>8</v>
      </c>
      <c r="V7" s="5" t="s">
        <v>8</v>
      </c>
      <c r="W7" s="6" t="s">
        <v>8</v>
      </c>
      <c r="X7" s="6" t="s">
        <v>8</v>
      </c>
    </row>
    <row r="8" spans="1:24" ht="15" customHeight="1" x14ac:dyDescent="0.25">
      <c r="A8" s="72" t="str">
        <f t="shared" si="0"/>
        <v xml:space="preserve">   </v>
      </c>
      <c r="B8" s="3" t="s">
        <v>8</v>
      </c>
      <c r="C8" s="3" t="s">
        <v>8</v>
      </c>
      <c r="D8" s="3" t="s">
        <v>8</v>
      </c>
      <c r="E8" s="3" t="s">
        <v>8</v>
      </c>
      <c r="F8" s="3" t="s">
        <v>8</v>
      </c>
      <c r="G8" s="3" t="s">
        <v>8</v>
      </c>
      <c r="H8" s="5" t="s">
        <v>8</v>
      </c>
      <c r="I8" s="3" t="s">
        <v>8</v>
      </c>
      <c r="J8" s="3" t="s">
        <v>8</v>
      </c>
      <c r="K8" s="3" t="s">
        <v>8</v>
      </c>
      <c r="L8" s="3" t="s">
        <v>8</v>
      </c>
      <c r="M8" s="3" t="s">
        <v>8</v>
      </c>
      <c r="N8" s="3" t="s">
        <v>8</v>
      </c>
      <c r="O8" s="5" t="s">
        <v>8</v>
      </c>
      <c r="P8" s="3" t="s">
        <v>8</v>
      </c>
      <c r="Q8" s="3" t="s">
        <v>8</v>
      </c>
      <c r="R8" s="3" t="s">
        <v>8</v>
      </c>
      <c r="S8" s="3" t="s">
        <v>8</v>
      </c>
      <c r="T8" s="3" t="s">
        <v>8</v>
      </c>
      <c r="U8" s="3" t="s">
        <v>8</v>
      </c>
      <c r="V8" s="5" t="s">
        <v>8</v>
      </c>
      <c r="W8" s="6" t="s">
        <v>8</v>
      </c>
      <c r="X8" s="6" t="s">
        <v>8</v>
      </c>
    </row>
    <row r="9" spans="1:24" ht="15" customHeight="1" x14ac:dyDescent="0.25">
      <c r="A9" s="72" t="str">
        <f t="shared" si="0"/>
        <v xml:space="preserve">   </v>
      </c>
      <c r="B9" s="3" t="s">
        <v>8</v>
      </c>
      <c r="C9" s="3" t="s">
        <v>8</v>
      </c>
      <c r="D9" s="3" t="s">
        <v>8</v>
      </c>
      <c r="E9" s="3" t="s">
        <v>8</v>
      </c>
      <c r="F9" s="3" t="s">
        <v>8</v>
      </c>
      <c r="G9" s="3" t="s">
        <v>8</v>
      </c>
      <c r="H9" s="5" t="s">
        <v>8</v>
      </c>
      <c r="I9" s="3" t="s">
        <v>8</v>
      </c>
      <c r="J9" s="3" t="s">
        <v>8</v>
      </c>
      <c r="K9" s="3" t="s">
        <v>8</v>
      </c>
      <c r="L9" s="3" t="s">
        <v>8</v>
      </c>
      <c r="M9" s="3" t="s">
        <v>8</v>
      </c>
      <c r="N9" s="3" t="s">
        <v>8</v>
      </c>
      <c r="O9" s="5" t="s">
        <v>8</v>
      </c>
      <c r="P9" s="3" t="s">
        <v>8</v>
      </c>
      <c r="Q9" s="3" t="s">
        <v>8</v>
      </c>
      <c r="R9" s="3" t="s">
        <v>8</v>
      </c>
      <c r="S9" s="3" t="s">
        <v>8</v>
      </c>
      <c r="T9" s="3" t="s">
        <v>8</v>
      </c>
      <c r="U9" s="3" t="s">
        <v>8</v>
      </c>
      <c r="V9" s="5" t="s">
        <v>8</v>
      </c>
      <c r="W9" s="6" t="s">
        <v>8</v>
      </c>
      <c r="X9" s="6" t="s">
        <v>8</v>
      </c>
    </row>
    <row r="10" spans="1:24" ht="45" customHeight="1" x14ac:dyDescent="0.25">
      <c r="A10" t="s">
        <v>55</v>
      </c>
      <c r="B10" s="2" t="s">
        <v>33</v>
      </c>
      <c r="C10" s="2" t="s">
        <v>22</v>
      </c>
      <c r="D10" s="2" t="s">
        <v>66</v>
      </c>
      <c r="E10" s="2" t="s">
        <v>289</v>
      </c>
      <c r="F10" s="2" t="s">
        <v>243</v>
      </c>
      <c r="G10" s="2" t="s">
        <v>22</v>
      </c>
      <c r="H10" s="23" t="s">
        <v>22</v>
      </c>
      <c r="I10" s="2" t="s">
        <v>66</v>
      </c>
      <c r="J10" s="2" t="s">
        <v>33</v>
      </c>
      <c r="K10" s="2" t="s">
        <v>241</v>
      </c>
      <c r="L10" s="2" t="s">
        <v>252</v>
      </c>
      <c r="M10" s="2" t="s">
        <v>69</v>
      </c>
      <c r="N10" s="2" t="s">
        <v>22</v>
      </c>
      <c r="O10" s="23" t="s">
        <v>22</v>
      </c>
      <c r="P10" s="2" t="s">
        <v>253</v>
      </c>
      <c r="Q10" s="2" t="s">
        <v>60</v>
      </c>
      <c r="R10" s="2" t="s">
        <v>22</v>
      </c>
      <c r="S10" s="2" t="s">
        <v>47</v>
      </c>
      <c r="T10" s="2" t="s">
        <v>254</v>
      </c>
      <c r="U10" s="2" t="s">
        <v>61</v>
      </c>
      <c r="V10" s="23" t="s">
        <v>34</v>
      </c>
      <c r="W10" s="7">
        <v>21</v>
      </c>
      <c r="X10" s="7" t="s">
        <v>84</v>
      </c>
    </row>
    <row r="11" spans="1:24" ht="45" customHeight="1" x14ac:dyDescent="0.25">
      <c r="A11" t="str">
        <f t="shared" ref="A11:A17" si="1">A10</f>
        <v>Liikala Minna Johanna</v>
      </c>
      <c r="B11" s="2" t="s">
        <v>0</v>
      </c>
      <c r="C11" s="2" t="s">
        <v>0</v>
      </c>
      <c r="D11" s="2" t="s">
        <v>240</v>
      </c>
      <c r="E11" s="2" t="s">
        <v>66</v>
      </c>
      <c r="F11" s="2" t="s">
        <v>0</v>
      </c>
      <c r="G11" s="2" t="s">
        <v>0</v>
      </c>
      <c r="H11" s="23" t="s">
        <v>0</v>
      </c>
      <c r="I11" s="2" t="s">
        <v>248</v>
      </c>
      <c r="J11" s="2" t="s">
        <v>0</v>
      </c>
      <c r="K11" s="2" t="s">
        <v>33</v>
      </c>
      <c r="L11" s="2" t="s">
        <v>0</v>
      </c>
      <c r="M11" s="2" t="s">
        <v>26</v>
      </c>
      <c r="N11" s="2" t="s">
        <v>0</v>
      </c>
      <c r="O11" s="23" t="s">
        <v>0</v>
      </c>
      <c r="P11" s="2" t="s">
        <v>0</v>
      </c>
      <c r="Q11" s="2" t="s">
        <v>0</v>
      </c>
      <c r="R11" s="2" t="s">
        <v>0</v>
      </c>
      <c r="S11" s="2" t="s">
        <v>26</v>
      </c>
      <c r="T11" s="2" t="s">
        <v>26</v>
      </c>
      <c r="U11" s="2" t="s">
        <v>0</v>
      </c>
      <c r="V11" s="23" t="s">
        <v>0</v>
      </c>
      <c r="W11" s="7" t="s">
        <v>0</v>
      </c>
      <c r="X11" s="7" t="s">
        <v>8</v>
      </c>
    </row>
    <row r="12" spans="1:24" ht="45" customHeight="1" x14ac:dyDescent="0.25">
      <c r="A12" t="str">
        <f t="shared" si="1"/>
        <v>Liikala Minna Johanna</v>
      </c>
      <c r="B12" s="2" t="s">
        <v>0</v>
      </c>
      <c r="C12" s="2" t="s">
        <v>0</v>
      </c>
      <c r="D12" s="2" t="s">
        <v>0</v>
      </c>
      <c r="E12" s="2" t="s">
        <v>244</v>
      </c>
      <c r="F12" s="2" t="s">
        <v>0</v>
      </c>
      <c r="G12" s="2" t="s">
        <v>0</v>
      </c>
      <c r="H12" s="23" t="s">
        <v>0</v>
      </c>
      <c r="I12" s="2" t="s">
        <v>0</v>
      </c>
      <c r="J12" s="2" t="s">
        <v>0</v>
      </c>
      <c r="K12" s="2" t="s">
        <v>0</v>
      </c>
      <c r="L12" s="2" t="s">
        <v>0</v>
      </c>
      <c r="M12" s="2" t="s">
        <v>38</v>
      </c>
      <c r="N12" s="2" t="s">
        <v>0</v>
      </c>
      <c r="O12" s="23" t="s">
        <v>0</v>
      </c>
      <c r="P12" s="2" t="s">
        <v>0</v>
      </c>
      <c r="Q12" s="2" t="s">
        <v>0</v>
      </c>
      <c r="R12" s="2" t="s">
        <v>0</v>
      </c>
      <c r="S12" s="2" t="s">
        <v>27</v>
      </c>
      <c r="T12" s="2" t="s">
        <v>38</v>
      </c>
      <c r="U12" s="2" t="s">
        <v>0</v>
      </c>
      <c r="V12" s="23" t="s">
        <v>0</v>
      </c>
      <c r="W12" s="7" t="s">
        <v>0</v>
      </c>
      <c r="X12" s="7" t="s">
        <v>8</v>
      </c>
    </row>
    <row r="13" spans="1:24" ht="45" customHeight="1" x14ac:dyDescent="0.25">
      <c r="A13" t="str">
        <f t="shared" si="1"/>
        <v>Liikala Minna Johanna</v>
      </c>
      <c r="B13" s="2" t="s">
        <v>0</v>
      </c>
      <c r="C13" s="2" t="s">
        <v>0</v>
      </c>
      <c r="D13" s="2" t="s">
        <v>0</v>
      </c>
      <c r="E13" s="2" t="s">
        <v>255</v>
      </c>
      <c r="F13" s="2" t="s">
        <v>0</v>
      </c>
      <c r="G13" s="2" t="s">
        <v>0</v>
      </c>
      <c r="H13" s="23" t="s">
        <v>0</v>
      </c>
      <c r="I13" s="2" t="s">
        <v>0</v>
      </c>
      <c r="J13" s="2" t="s">
        <v>0</v>
      </c>
      <c r="K13" s="2" t="s">
        <v>0</v>
      </c>
      <c r="L13" s="2" t="s">
        <v>0</v>
      </c>
      <c r="M13" s="2" t="s">
        <v>0</v>
      </c>
      <c r="N13" s="2" t="s">
        <v>0</v>
      </c>
      <c r="O13" s="23" t="s">
        <v>0</v>
      </c>
      <c r="P13" s="2" t="s">
        <v>0</v>
      </c>
      <c r="Q13" s="2" t="s">
        <v>0</v>
      </c>
      <c r="R13" s="2" t="s">
        <v>0</v>
      </c>
      <c r="S13" s="2" t="s">
        <v>0</v>
      </c>
      <c r="T13" s="2" t="s">
        <v>0</v>
      </c>
      <c r="U13" s="2" t="s">
        <v>0</v>
      </c>
      <c r="V13" s="23" t="s">
        <v>0</v>
      </c>
      <c r="W13" s="7" t="s">
        <v>0</v>
      </c>
      <c r="X13" s="7" t="s">
        <v>8</v>
      </c>
    </row>
    <row r="14" spans="1:24" ht="45" customHeight="1" x14ac:dyDescent="0.25">
      <c r="A14" t="str">
        <f t="shared" si="1"/>
        <v>Liikala Minna Johanna</v>
      </c>
      <c r="B14" s="2" t="s">
        <v>8</v>
      </c>
      <c r="C14" s="2" t="s">
        <v>8</v>
      </c>
      <c r="D14" s="2" t="s">
        <v>8</v>
      </c>
      <c r="E14" s="2" t="s">
        <v>8</v>
      </c>
      <c r="F14" s="2" t="s">
        <v>8</v>
      </c>
      <c r="G14" s="2" t="s">
        <v>8</v>
      </c>
      <c r="H14" s="23" t="s">
        <v>8</v>
      </c>
      <c r="I14" s="2" t="s">
        <v>8</v>
      </c>
      <c r="J14" s="2" t="s">
        <v>8</v>
      </c>
      <c r="K14" s="2" t="s">
        <v>8</v>
      </c>
      <c r="L14" s="2" t="s">
        <v>8</v>
      </c>
      <c r="M14" s="2" t="s">
        <v>8</v>
      </c>
      <c r="N14" s="2" t="s">
        <v>8</v>
      </c>
      <c r="O14" s="23" t="s">
        <v>8</v>
      </c>
      <c r="P14" s="2" t="s">
        <v>8</v>
      </c>
      <c r="Q14" s="2" t="s">
        <v>8</v>
      </c>
      <c r="R14" s="2" t="s">
        <v>8</v>
      </c>
      <c r="S14" s="2" t="s">
        <v>8</v>
      </c>
      <c r="T14" s="2" t="s">
        <v>8</v>
      </c>
      <c r="U14" s="2" t="s">
        <v>8</v>
      </c>
      <c r="V14" s="23" t="s">
        <v>8</v>
      </c>
      <c r="W14" s="7" t="s">
        <v>8</v>
      </c>
      <c r="X14" s="7" t="s">
        <v>8</v>
      </c>
    </row>
    <row r="15" spans="1:24" ht="45" customHeight="1" x14ac:dyDescent="0.25">
      <c r="A15" t="str">
        <f t="shared" si="1"/>
        <v>Liikala Minna Johanna</v>
      </c>
      <c r="B15" s="2" t="s">
        <v>8</v>
      </c>
      <c r="C15" s="2" t="s">
        <v>8</v>
      </c>
      <c r="D15" s="2" t="s">
        <v>8</v>
      </c>
      <c r="E15" s="2" t="s">
        <v>8</v>
      </c>
      <c r="F15" s="2" t="s">
        <v>8</v>
      </c>
      <c r="G15" s="2" t="s">
        <v>8</v>
      </c>
      <c r="H15" s="23" t="s">
        <v>8</v>
      </c>
      <c r="I15" s="2" t="s">
        <v>8</v>
      </c>
      <c r="J15" s="2" t="s">
        <v>8</v>
      </c>
      <c r="K15" s="2" t="s">
        <v>8</v>
      </c>
      <c r="L15" s="2" t="s">
        <v>8</v>
      </c>
      <c r="M15" s="2" t="s">
        <v>8</v>
      </c>
      <c r="N15" s="2" t="s">
        <v>8</v>
      </c>
      <c r="O15" s="23" t="s">
        <v>8</v>
      </c>
      <c r="P15" s="2" t="s">
        <v>8</v>
      </c>
      <c r="Q15" s="2" t="s">
        <v>8</v>
      </c>
      <c r="R15" s="2" t="s">
        <v>8</v>
      </c>
      <c r="S15" s="2" t="s">
        <v>8</v>
      </c>
      <c r="T15" s="2" t="s">
        <v>8</v>
      </c>
      <c r="U15" s="2" t="s">
        <v>8</v>
      </c>
      <c r="V15" s="23" t="s">
        <v>8</v>
      </c>
      <c r="W15" s="7" t="s">
        <v>8</v>
      </c>
      <c r="X15" s="7" t="s">
        <v>8</v>
      </c>
    </row>
    <row r="16" spans="1:24" ht="45" customHeight="1" x14ac:dyDescent="0.25">
      <c r="A16" t="str">
        <f t="shared" si="1"/>
        <v>Liikala Minna Johanna</v>
      </c>
      <c r="B16" s="2" t="s">
        <v>8</v>
      </c>
      <c r="C16" s="2" t="s">
        <v>8</v>
      </c>
      <c r="D16" s="2" t="s">
        <v>8</v>
      </c>
      <c r="E16" s="2" t="s">
        <v>8</v>
      </c>
      <c r="F16" s="2" t="s">
        <v>8</v>
      </c>
      <c r="G16" s="2" t="s">
        <v>8</v>
      </c>
      <c r="H16" s="23" t="s">
        <v>8</v>
      </c>
      <c r="I16" s="2" t="s">
        <v>8</v>
      </c>
      <c r="J16" s="2" t="s">
        <v>8</v>
      </c>
      <c r="K16" s="2" t="s">
        <v>8</v>
      </c>
      <c r="L16" s="2" t="s">
        <v>8</v>
      </c>
      <c r="M16" s="2" t="s">
        <v>8</v>
      </c>
      <c r="N16" s="2" t="s">
        <v>8</v>
      </c>
      <c r="O16" s="23" t="s">
        <v>8</v>
      </c>
      <c r="P16" s="2" t="s">
        <v>8</v>
      </c>
      <c r="Q16" s="2" t="s">
        <v>8</v>
      </c>
      <c r="R16" s="2" t="s">
        <v>8</v>
      </c>
      <c r="S16" s="2" t="s">
        <v>8</v>
      </c>
      <c r="T16" s="2" t="s">
        <v>8</v>
      </c>
      <c r="U16" s="2" t="s">
        <v>8</v>
      </c>
      <c r="V16" s="23" t="s">
        <v>8</v>
      </c>
      <c r="W16" s="7" t="s">
        <v>8</v>
      </c>
      <c r="X16" s="7" t="s">
        <v>8</v>
      </c>
    </row>
    <row r="17" spans="1:24" ht="45" customHeight="1" x14ac:dyDescent="0.25">
      <c r="A17" t="str">
        <f t="shared" si="1"/>
        <v>Liikala Minna Johanna</v>
      </c>
      <c r="B17" s="2" t="s">
        <v>8</v>
      </c>
      <c r="C17" s="2" t="s">
        <v>8</v>
      </c>
      <c r="D17" s="2" t="s">
        <v>8</v>
      </c>
      <c r="E17" s="2" t="s">
        <v>8</v>
      </c>
      <c r="F17" s="2" t="s">
        <v>8</v>
      </c>
      <c r="G17" s="2" t="s">
        <v>8</v>
      </c>
      <c r="H17" s="23" t="s">
        <v>8</v>
      </c>
      <c r="I17" s="2" t="s">
        <v>8</v>
      </c>
      <c r="J17" s="2" t="s">
        <v>8</v>
      </c>
      <c r="K17" s="2" t="s">
        <v>8</v>
      </c>
      <c r="L17" s="2" t="s">
        <v>8</v>
      </c>
      <c r="M17" s="2" t="s">
        <v>8</v>
      </c>
      <c r="N17" s="2" t="s">
        <v>8</v>
      </c>
      <c r="O17" s="23" t="s">
        <v>8</v>
      </c>
      <c r="P17" s="2" t="s">
        <v>8</v>
      </c>
      <c r="Q17" s="2" t="s">
        <v>8</v>
      </c>
      <c r="R17" s="2" t="s">
        <v>8</v>
      </c>
      <c r="S17" s="2" t="s">
        <v>8</v>
      </c>
      <c r="T17" s="2" t="s">
        <v>8</v>
      </c>
      <c r="U17" s="2" t="s">
        <v>8</v>
      </c>
      <c r="V17" s="23" t="s">
        <v>8</v>
      </c>
      <c r="W17" s="7" t="s">
        <v>8</v>
      </c>
      <c r="X17" s="7" t="s">
        <v>8</v>
      </c>
    </row>
    <row r="18" spans="1:24" ht="45" customHeight="1" x14ac:dyDescent="0.25">
      <c r="A18" t="s">
        <v>57</v>
      </c>
      <c r="B18" s="2" t="s">
        <v>22</v>
      </c>
      <c r="C18" s="2" t="s">
        <v>33</v>
      </c>
      <c r="D18" s="2" t="s">
        <v>69</v>
      </c>
      <c r="E18" s="2" t="s">
        <v>23</v>
      </c>
      <c r="F18" s="2" t="s">
        <v>23</v>
      </c>
      <c r="G18" s="2" t="s">
        <v>23</v>
      </c>
      <c r="H18" s="23" t="s">
        <v>23</v>
      </c>
      <c r="I18" s="2" t="s">
        <v>23</v>
      </c>
      <c r="J18" s="2" t="s">
        <v>23</v>
      </c>
      <c r="K18" s="2" t="s">
        <v>23</v>
      </c>
      <c r="L18" s="2" t="s">
        <v>23</v>
      </c>
      <c r="M18" s="2" t="s">
        <v>22</v>
      </c>
      <c r="N18" s="2" t="s">
        <v>22</v>
      </c>
      <c r="O18" s="23" t="s">
        <v>32</v>
      </c>
      <c r="P18" s="2" t="s">
        <v>40</v>
      </c>
      <c r="Q18" s="2" t="s">
        <v>242</v>
      </c>
      <c r="R18" s="2" t="s">
        <v>35</v>
      </c>
      <c r="S18" s="2" t="s">
        <v>256</v>
      </c>
      <c r="T18" s="2" t="s">
        <v>22</v>
      </c>
      <c r="U18" s="2" t="s">
        <v>34</v>
      </c>
      <c r="V18" s="23" t="s">
        <v>32</v>
      </c>
      <c r="W18" s="7">
        <v>13</v>
      </c>
      <c r="X18" s="7" t="s">
        <v>48</v>
      </c>
    </row>
    <row r="19" spans="1:24" ht="45" customHeight="1" x14ac:dyDescent="0.25">
      <c r="A19" t="str">
        <f t="shared" ref="A19:A23" si="2">A18</f>
        <v>Siekkinen Taru Elisa</v>
      </c>
      <c r="B19" s="2" t="s">
        <v>0</v>
      </c>
      <c r="C19" s="2" t="s">
        <v>0</v>
      </c>
      <c r="D19" s="2" t="s">
        <v>241</v>
      </c>
      <c r="E19" s="2" t="s">
        <v>0</v>
      </c>
      <c r="F19" s="2" t="s">
        <v>0</v>
      </c>
      <c r="G19" s="2" t="s">
        <v>0</v>
      </c>
      <c r="H19" s="23" t="s">
        <v>0</v>
      </c>
      <c r="I19" s="2" t="s">
        <v>0</v>
      </c>
      <c r="J19" s="2" t="s">
        <v>0</v>
      </c>
      <c r="K19" s="2" t="s">
        <v>0</v>
      </c>
      <c r="L19" s="2" t="s">
        <v>0</v>
      </c>
      <c r="M19" s="2" t="s">
        <v>0</v>
      </c>
      <c r="N19" s="2" t="s">
        <v>0</v>
      </c>
      <c r="O19" s="23" t="s">
        <v>0</v>
      </c>
      <c r="P19" s="2" t="s">
        <v>0</v>
      </c>
      <c r="Q19" s="2" t="s">
        <v>0</v>
      </c>
      <c r="R19" s="2" t="s">
        <v>0</v>
      </c>
      <c r="S19" s="2" t="s">
        <v>0</v>
      </c>
      <c r="T19" s="2" t="s">
        <v>0</v>
      </c>
      <c r="U19" s="2" t="s">
        <v>0</v>
      </c>
      <c r="V19" s="23" t="s">
        <v>0</v>
      </c>
      <c r="W19" s="7" t="s">
        <v>0</v>
      </c>
      <c r="X19" s="7" t="s">
        <v>8</v>
      </c>
    </row>
    <row r="20" spans="1:24" ht="45" customHeight="1" x14ac:dyDescent="0.25">
      <c r="A20" t="str">
        <f t="shared" si="2"/>
        <v>Siekkinen Taru Elisa</v>
      </c>
      <c r="B20" s="2" t="s">
        <v>8</v>
      </c>
      <c r="C20" s="2" t="s">
        <v>8</v>
      </c>
      <c r="D20" s="2" t="s">
        <v>8</v>
      </c>
      <c r="E20" s="2" t="s">
        <v>8</v>
      </c>
      <c r="F20" s="2" t="s">
        <v>8</v>
      </c>
      <c r="G20" s="2" t="s">
        <v>8</v>
      </c>
      <c r="H20" s="23" t="s">
        <v>8</v>
      </c>
      <c r="I20" s="2" t="s">
        <v>8</v>
      </c>
      <c r="J20" s="2" t="s">
        <v>8</v>
      </c>
      <c r="K20" s="2" t="s">
        <v>8</v>
      </c>
      <c r="L20" s="2" t="s">
        <v>8</v>
      </c>
      <c r="M20" s="2" t="s">
        <v>8</v>
      </c>
      <c r="N20" s="2" t="s">
        <v>8</v>
      </c>
      <c r="O20" s="23" t="s">
        <v>8</v>
      </c>
      <c r="P20" s="2" t="s">
        <v>8</v>
      </c>
      <c r="Q20" s="2" t="s">
        <v>8</v>
      </c>
      <c r="R20" s="2" t="s">
        <v>8</v>
      </c>
      <c r="S20" s="2" t="s">
        <v>8</v>
      </c>
      <c r="T20" s="2" t="s">
        <v>8</v>
      </c>
      <c r="U20" s="2" t="s">
        <v>8</v>
      </c>
      <c r="V20" s="23" t="s">
        <v>8</v>
      </c>
      <c r="W20" s="7" t="s">
        <v>8</v>
      </c>
      <c r="X20" s="7" t="s">
        <v>8</v>
      </c>
    </row>
    <row r="21" spans="1:24" ht="45" customHeight="1" x14ac:dyDescent="0.25">
      <c r="A21" t="str">
        <f t="shared" si="2"/>
        <v>Siekkinen Taru Elisa</v>
      </c>
      <c r="B21" s="2" t="s">
        <v>8</v>
      </c>
      <c r="C21" s="2" t="s">
        <v>8</v>
      </c>
      <c r="D21" s="2" t="s">
        <v>8</v>
      </c>
      <c r="E21" s="2" t="s">
        <v>8</v>
      </c>
      <c r="F21" s="2" t="s">
        <v>8</v>
      </c>
      <c r="G21" s="2" t="s">
        <v>8</v>
      </c>
      <c r="H21" s="23" t="s">
        <v>8</v>
      </c>
      <c r="I21" s="2" t="s">
        <v>8</v>
      </c>
      <c r="J21" s="2" t="s">
        <v>8</v>
      </c>
      <c r="K21" s="2" t="s">
        <v>8</v>
      </c>
      <c r="L21" s="2" t="s">
        <v>8</v>
      </c>
      <c r="M21" s="2" t="s">
        <v>8</v>
      </c>
      <c r="N21" s="2" t="s">
        <v>8</v>
      </c>
      <c r="O21" s="23" t="s">
        <v>8</v>
      </c>
      <c r="P21" s="2" t="s">
        <v>8</v>
      </c>
      <c r="Q21" s="2" t="s">
        <v>8</v>
      </c>
      <c r="R21" s="2" t="s">
        <v>8</v>
      </c>
      <c r="S21" s="2" t="s">
        <v>8</v>
      </c>
      <c r="T21" s="2" t="s">
        <v>8</v>
      </c>
      <c r="U21" s="2" t="s">
        <v>8</v>
      </c>
      <c r="V21" s="23" t="s">
        <v>8</v>
      </c>
      <c r="W21" s="7" t="s">
        <v>8</v>
      </c>
      <c r="X21" s="7" t="s">
        <v>8</v>
      </c>
    </row>
    <row r="22" spans="1:24" ht="45" customHeight="1" x14ac:dyDescent="0.25">
      <c r="A22" t="str">
        <f t="shared" si="2"/>
        <v>Siekkinen Taru Elisa</v>
      </c>
      <c r="B22" s="2" t="s">
        <v>8</v>
      </c>
      <c r="C22" s="2" t="s">
        <v>8</v>
      </c>
      <c r="D22" s="2" t="s">
        <v>8</v>
      </c>
      <c r="E22" s="2" t="s">
        <v>8</v>
      </c>
      <c r="F22" s="2" t="s">
        <v>8</v>
      </c>
      <c r="G22" s="2" t="s">
        <v>8</v>
      </c>
      <c r="H22" s="23" t="s">
        <v>8</v>
      </c>
      <c r="I22" s="2" t="s">
        <v>8</v>
      </c>
      <c r="J22" s="2" t="s">
        <v>8</v>
      </c>
      <c r="K22" s="2" t="s">
        <v>8</v>
      </c>
      <c r="L22" s="2" t="s">
        <v>8</v>
      </c>
      <c r="M22" s="2" t="s">
        <v>8</v>
      </c>
      <c r="N22" s="2" t="s">
        <v>8</v>
      </c>
      <c r="O22" s="23" t="s">
        <v>8</v>
      </c>
      <c r="P22" s="2" t="s">
        <v>8</v>
      </c>
      <c r="Q22" s="2" t="s">
        <v>8</v>
      </c>
      <c r="R22" s="2" t="s">
        <v>8</v>
      </c>
      <c r="S22" s="2" t="s">
        <v>8</v>
      </c>
      <c r="T22" s="2" t="s">
        <v>8</v>
      </c>
      <c r="U22" s="2" t="s">
        <v>8</v>
      </c>
      <c r="V22" s="23" t="s">
        <v>8</v>
      </c>
      <c r="W22" s="7" t="s">
        <v>8</v>
      </c>
      <c r="X22" s="7" t="s">
        <v>8</v>
      </c>
    </row>
    <row r="23" spans="1:24" ht="45" customHeight="1" x14ac:dyDescent="0.25">
      <c r="A23" t="str">
        <f t="shared" si="2"/>
        <v>Siekkinen Taru Elisa</v>
      </c>
      <c r="B23" s="2" t="s">
        <v>8</v>
      </c>
      <c r="C23" s="2" t="s">
        <v>8</v>
      </c>
      <c r="D23" s="2" t="s">
        <v>8</v>
      </c>
      <c r="E23" s="2" t="s">
        <v>8</v>
      </c>
      <c r="F23" s="2" t="s">
        <v>8</v>
      </c>
      <c r="G23" s="2" t="s">
        <v>8</v>
      </c>
      <c r="H23" s="23" t="s">
        <v>8</v>
      </c>
      <c r="I23" s="2" t="s">
        <v>8</v>
      </c>
      <c r="J23" s="2" t="s">
        <v>8</v>
      </c>
      <c r="K23" s="2" t="s">
        <v>8</v>
      </c>
      <c r="L23" s="2" t="s">
        <v>8</v>
      </c>
      <c r="M23" s="2" t="s">
        <v>8</v>
      </c>
      <c r="N23" s="2" t="s">
        <v>8</v>
      </c>
      <c r="O23" s="23" t="s">
        <v>8</v>
      </c>
      <c r="P23" s="2" t="s">
        <v>8</v>
      </c>
      <c r="Q23" s="2" t="s">
        <v>8</v>
      </c>
      <c r="R23" s="2" t="s">
        <v>8</v>
      </c>
      <c r="S23" s="2" t="s">
        <v>8</v>
      </c>
      <c r="T23" s="2" t="s">
        <v>8</v>
      </c>
      <c r="U23" s="2" t="s">
        <v>8</v>
      </c>
      <c r="V23" s="23" t="s">
        <v>8</v>
      </c>
      <c r="W23" s="7" t="s">
        <v>8</v>
      </c>
      <c r="X23" s="7" t="s">
        <v>8</v>
      </c>
    </row>
    <row r="24" spans="1:24" ht="45" customHeight="1" x14ac:dyDescent="0.25">
      <c r="A24" t="s">
        <v>59</v>
      </c>
      <c r="B24" s="2" t="s">
        <v>40</v>
      </c>
      <c r="C24" s="2" t="s">
        <v>40</v>
      </c>
      <c r="D24" s="2" t="s">
        <v>257</v>
      </c>
      <c r="E24" s="2" t="s">
        <v>22</v>
      </c>
      <c r="F24" s="2" t="s">
        <v>22</v>
      </c>
      <c r="G24" s="2" t="s">
        <v>34</v>
      </c>
      <c r="H24" s="23" t="s">
        <v>32</v>
      </c>
      <c r="I24" s="2" t="s">
        <v>33</v>
      </c>
      <c r="J24" s="2" t="s">
        <v>258</v>
      </c>
      <c r="K24" s="2" t="s">
        <v>42</v>
      </c>
      <c r="L24" s="2" t="s">
        <v>22</v>
      </c>
      <c r="M24" s="2" t="s">
        <v>30</v>
      </c>
      <c r="N24" s="2" t="s">
        <v>22</v>
      </c>
      <c r="O24" s="23" t="s">
        <v>34</v>
      </c>
      <c r="P24" s="2" t="s">
        <v>34</v>
      </c>
      <c r="Q24" s="2" t="s">
        <v>36</v>
      </c>
      <c r="R24" s="2" t="s">
        <v>40</v>
      </c>
      <c r="S24" s="2" t="s">
        <v>252</v>
      </c>
      <c r="T24" s="2" t="s">
        <v>252</v>
      </c>
      <c r="U24" s="2" t="s">
        <v>22</v>
      </c>
      <c r="V24" s="23" t="s">
        <v>22</v>
      </c>
      <c r="W24" s="7">
        <v>21</v>
      </c>
      <c r="X24" s="7" t="s">
        <v>84</v>
      </c>
    </row>
    <row r="25" spans="1:24" ht="45" customHeight="1" x14ac:dyDescent="0.25">
      <c r="A25" t="str">
        <f t="shared" ref="A25:A30" si="3">A24</f>
        <v>Syrjälä Satu Orvokki</v>
      </c>
      <c r="B25" s="2" t="s">
        <v>0</v>
      </c>
      <c r="C25" s="2" t="s">
        <v>0</v>
      </c>
      <c r="D25" s="2" t="s">
        <v>245</v>
      </c>
      <c r="E25" s="2" t="s">
        <v>0</v>
      </c>
      <c r="F25" s="2" t="s">
        <v>0</v>
      </c>
      <c r="G25" s="2" t="s">
        <v>0</v>
      </c>
      <c r="H25" s="23" t="s">
        <v>0</v>
      </c>
      <c r="I25" s="2" t="s">
        <v>0</v>
      </c>
      <c r="J25" s="2" t="s">
        <v>0</v>
      </c>
      <c r="K25" s="2" t="s">
        <v>0</v>
      </c>
      <c r="L25" s="2" t="s">
        <v>0</v>
      </c>
      <c r="M25" s="2" t="s">
        <v>0</v>
      </c>
      <c r="N25" s="2" t="s">
        <v>0</v>
      </c>
      <c r="O25" s="23" t="s">
        <v>0</v>
      </c>
      <c r="P25" s="2" t="s">
        <v>0</v>
      </c>
      <c r="Q25" s="2" t="s">
        <v>0</v>
      </c>
      <c r="R25" s="2" t="s">
        <v>0</v>
      </c>
      <c r="S25" s="2" t="s">
        <v>0</v>
      </c>
      <c r="T25" s="2" t="s">
        <v>0</v>
      </c>
      <c r="U25" s="2" t="s">
        <v>0</v>
      </c>
      <c r="V25" s="23" t="s">
        <v>0</v>
      </c>
      <c r="W25" s="7" t="s">
        <v>0</v>
      </c>
      <c r="X25" s="7" t="s">
        <v>8</v>
      </c>
    </row>
    <row r="26" spans="1:24" ht="45" customHeight="1" x14ac:dyDescent="0.25">
      <c r="A26" t="str">
        <f t="shared" si="3"/>
        <v>Syrjälä Satu Orvokki</v>
      </c>
      <c r="B26" s="2" t="s">
        <v>0</v>
      </c>
      <c r="C26" s="2" t="s">
        <v>0</v>
      </c>
      <c r="D26" s="2" t="s">
        <v>259</v>
      </c>
      <c r="E26" s="2" t="s">
        <v>0</v>
      </c>
      <c r="F26" s="2" t="s">
        <v>0</v>
      </c>
      <c r="G26" s="2" t="s">
        <v>0</v>
      </c>
      <c r="H26" s="23" t="s">
        <v>0</v>
      </c>
      <c r="I26" s="2" t="s">
        <v>0</v>
      </c>
      <c r="J26" s="2" t="s">
        <v>0</v>
      </c>
      <c r="K26" s="2" t="s">
        <v>0</v>
      </c>
      <c r="L26" s="2" t="s">
        <v>0</v>
      </c>
      <c r="M26" s="2" t="s">
        <v>0</v>
      </c>
      <c r="N26" s="2" t="s">
        <v>0</v>
      </c>
      <c r="O26" s="23" t="s">
        <v>0</v>
      </c>
      <c r="P26" s="2" t="s">
        <v>0</v>
      </c>
      <c r="Q26" s="2" t="s">
        <v>0</v>
      </c>
      <c r="R26" s="2" t="s">
        <v>0</v>
      </c>
      <c r="S26" s="2" t="s">
        <v>0</v>
      </c>
      <c r="T26" s="2" t="s">
        <v>0</v>
      </c>
      <c r="U26" s="2" t="s">
        <v>0</v>
      </c>
      <c r="V26" s="23" t="s">
        <v>0</v>
      </c>
      <c r="W26" s="7" t="s">
        <v>0</v>
      </c>
      <c r="X26" s="7" t="s">
        <v>8</v>
      </c>
    </row>
    <row r="27" spans="1:24" ht="45" customHeight="1" x14ac:dyDescent="0.25">
      <c r="A27" t="str">
        <f t="shared" si="3"/>
        <v>Syrjälä Satu Orvokki</v>
      </c>
      <c r="B27" s="2" t="s">
        <v>8</v>
      </c>
      <c r="C27" s="2" t="s">
        <v>8</v>
      </c>
      <c r="D27" s="2" t="s">
        <v>8</v>
      </c>
      <c r="E27" s="2" t="s">
        <v>8</v>
      </c>
      <c r="F27" s="2" t="s">
        <v>8</v>
      </c>
      <c r="G27" s="2" t="s">
        <v>8</v>
      </c>
      <c r="H27" s="23" t="s">
        <v>8</v>
      </c>
      <c r="I27" s="2" t="s">
        <v>8</v>
      </c>
      <c r="J27" s="2" t="s">
        <v>8</v>
      </c>
      <c r="K27" s="2" t="s">
        <v>8</v>
      </c>
      <c r="L27" s="2" t="s">
        <v>8</v>
      </c>
      <c r="M27" s="2" t="s">
        <v>8</v>
      </c>
      <c r="N27" s="2" t="s">
        <v>8</v>
      </c>
      <c r="O27" s="23" t="s">
        <v>8</v>
      </c>
      <c r="P27" s="2" t="s">
        <v>8</v>
      </c>
      <c r="Q27" s="2" t="s">
        <v>8</v>
      </c>
      <c r="R27" s="2" t="s">
        <v>8</v>
      </c>
      <c r="S27" s="2" t="s">
        <v>8</v>
      </c>
      <c r="T27" s="2" t="s">
        <v>8</v>
      </c>
      <c r="U27" s="2" t="s">
        <v>8</v>
      </c>
      <c r="V27" s="23" t="s">
        <v>8</v>
      </c>
      <c r="W27" s="7" t="s">
        <v>8</v>
      </c>
      <c r="X27" s="7" t="s">
        <v>8</v>
      </c>
    </row>
    <row r="28" spans="1:24" ht="45" customHeight="1" x14ac:dyDescent="0.25">
      <c r="A28" t="str">
        <f t="shared" si="3"/>
        <v>Syrjälä Satu Orvokki</v>
      </c>
      <c r="B28" s="2" t="s">
        <v>8</v>
      </c>
      <c r="C28" s="2" t="s">
        <v>8</v>
      </c>
      <c r="D28" s="2" t="s">
        <v>8</v>
      </c>
      <c r="E28" s="2" t="s">
        <v>8</v>
      </c>
      <c r="F28" s="2" t="s">
        <v>8</v>
      </c>
      <c r="G28" s="2" t="s">
        <v>8</v>
      </c>
      <c r="H28" s="23" t="s">
        <v>8</v>
      </c>
      <c r="I28" s="2" t="s">
        <v>8</v>
      </c>
      <c r="J28" s="2" t="s">
        <v>8</v>
      </c>
      <c r="K28" s="2" t="s">
        <v>8</v>
      </c>
      <c r="L28" s="2" t="s">
        <v>8</v>
      </c>
      <c r="M28" s="2" t="s">
        <v>8</v>
      </c>
      <c r="N28" s="2" t="s">
        <v>8</v>
      </c>
      <c r="O28" s="23" t="s">
        <v>8</v>
      </c>
      <c r="P28" s="2" t="s">
        <v>8</v>
      </c>
      <c r="Q28" s="2" t="s">
        <v>8</v>
      </c>
      <c r="R28" s="2" t="s">
        <v>8</v>
      </c>
      <c r="S28" s="2" t="s">
        <v>8</v>
      </c>
      <c r="T28" s="2" t="s">
        <v>8</v>
      </c>
      <c r="U28" s="2" t="s">
        <v>8</v>
      </c>
      <c r="V28" s="23" t="s">
        <v>8</v>
      </c>
      <c r="W28" s="7" t="s">
        <v>8</v>
      </c>
      <c r="X28" s="7" t="s">
        <v>8</v>
      </c>
    </row>
    <row r="29" spans="1:24" ht="45" customHeight="1" x14ac:dyDescent="0.25">
      <c r="A29" t="str">
        <f t="shared" si="3"/>
        <v>Syrjälä Satu Orvokki</v>
      </c>
      <c r="B29" s="2" t="s">
        <v>8</v>
      </c>
      <c r="C29" s="2" t="s">
        <v>8</v>
      </c>
      <c r="D29" s="2" t="s">
        <v>8</v>
      </c>
      <c r="E29" s="2" t="s">
        <v>8</v>
      </c>
      <c r="F29" s="2" t="s">
        <v>8</v>
      </c>
      <c r="G29" s="2" t="s">
        <v>8</v>
      </c>
      <c r="H29" s="23" t="s">
        <v>8</v>
      </c>
      <c r="I29" s="2" t="s">
        <v>8</v>
      </c>
      <c r="J29" s="2" t="s">
        <v>8</v>
      </c>
      <c r="K29" s="2" t="s">
        <v>8</v>
      </c>
      <c r="L29" s="2" t="s">
        <v>8</v>
      </c>
      <c r="M29" s="2" t="s">
        <v>8</v>
      </c>
      <c r="N29" s="2" t="s">
        <v>8</v>
      </c>
      <c r="O29" s="23" t="s">
        <v>8</v>
      </c>
      <c r="P29" s="2" t="s">
        <v>8</v>
      </c>
      <c r="Q29" s="2" t="s">
        <v>8</v>
      </c>
      <c r="R29" s="2" t="s">
        <v>8</v>
      </c>
      <c r="S29" s="2" t="s">
        <v>8</v>
      </c>
      <c r="T29" s="2" t="s">
        <v>8</v>
      </c>
      <c r="U29" s="2" t="s">
        <v>8</v>
      </c>
      <c r="V29" s="23" t="s">
        <v>8</v>
      </c>
      <c r="W29" s="7" t="s">
        <v>8</v>
      </c>
      <c r="X29" s="7" t="s">
        <v>8</v>
      </c>
    </row>
    <row r="30" spans="1:24" ht="45" customHeight="1" x14ac:dyDescent="0.25">
      <c r="A30" t="str">
        <f t="shared" si="3"/>
        <v>Syrjälä Satu Orvokki</v>
      </c>
      <c r="B30" s="2" t="s">
        <v>8</v>
      </c>
      <c r="C30" s="2" t="s">
        <v>8</v>
      </c>
      <c r="D30" s="2" t="s">
        <v>8</v>
      </c>
      <c r="E30" s="2" t="s">
        <v>8</v>
      </c>
      <c r="F30" s="2" t="s">
        <v>8</v>
      </c>
      <c r="G30" s="2" t="s">
        <v>8</v>
      </c>
      <c r="H30" s="23" t="s">
        <v>8</v>
      </c>
      <c r="I30" s="2" t="s">
        <v>8</v>
      </c>
      <c r="J30" s="2" t="s">
        <v>8</v>
      </c>
      <c r="K30" s="2" t="s">
        <v>8</v>
      </c>
      <c r="L30" s="2" t="s">
        <v>8</v>
      </c>
      <c r="M30" s="2" t="s">
        <v>8</v>
      </c>
      <c r="N30" s="2" t="s">
        <v>8</v>
      </c>
      <c r="O30" s="23" t="s">
        <v>8</v>
      </c>
      <c r="P30" s="2" t="s">
        <v>8</v>
      </c>
      <c r="Q30" s="2" t="s">
        <v>8</v>
      </c>
      <c r="R30" s="2" t="s">
        <v>8</v>
      </c>
      <c r="S30" s="2" t="s">
        <v>8</v>
      </c>
      <c r="T30" s="2" t="s">
        <v>8</v>
      </c>
      <c r="U30" s="2" t="s">
        <v>8</v>
      </c>
      <c r="V30" s="23" t="s">
        <v>8</v>
      </c>
      <c r="W30" s="7" t="s">
        <v>8</v>
      </c>
      <c r="X30" s="7" t="s">
        <v>8</v>
      </c>
    </row>
    <row r="31" spans="1:24" ht="45" customHeight="1" x14ac:dyDescent="0.25">
      <c r="A31" t="s">
        <v>216</v>
      </c>
      <c r="B31" s="2" t="s">
        <v>260</v>
      </c>
      <c r="C31" s="2" t="s">
        <v>46</v>
      </c>
      <c r="D31" s="2" t="s">
        <v>290</v>
      </c>
      <c r="E31" s="2" t="s">
        <v>22</v>
      </c>
      <c r="F31" s="2" t="s">
        <v>31</v>
      </c>
      <c r="G31" s="2" t="s">
        <v>61</v>
      </c>
      <c r="H31" s="23" t="s">
        <v>34</v>
      </c>
      <c r="I31" s="2" t="s">
        <v>22</v>
      </c>
      <c r="J31" s="2" t="s">
        <v>46</v>
      </c>
      <c r="K31" s="2" t="s">
        <v>69</v>
      </c>
      <c r="L31" s="2" t="s">
        <v>29</v>
      </c>
      <c r="M31" s="2" t="s">
        <v>77</v>
      </c>
      <c r="N31" s="2" t="s">
        <v>22</v>
      </c>
      <c r="O31" s="23" t="s">
        <v>22</v>
      </c>
      <c r="P31" s="2" t="s">
        <v>33</v>
      </c>
      <c r="Q31" s="2" t="s">
        <v>66</v>
      </c>
      <c r="R31" s="2" t="s">
        <v>261</v>
      </c>
      <c r="S31" s="2" t="s">
        <v>33</v>
      </c>
      <c r="T31" s="2" t="s">
        <v>33</v>
      </c>
      <c r="U31" s="2" t="s">
        <v>22</v>
      </c>
      <c r="V31" s="23" t="s">
        <v>22</v>
      </c>
      <c r="W31" s="7">
        <v>21</v>
      </c>
      <c r="X31" s="7" t="s">
        <v>84</v>
      </c>
    </row>
    <row r="32" spans="1:24" ht="45" customHeight="1" x14ac:dyDescent="0.25">
      <c r="A32" t="str">
        <f t="shared" ref="A32:A37" si="4">A31</f>
        <v>Räisänen Maiju Hannele</v>
      </c>
      <c r="B32" s="2" t="s">
        <v>291</v>
      </c>
      <c r="C32" s="2" t="s">
        <v>26</v>
      </c>
      <c r="D32" s="2" t="s">
        <v>292</v>
      </c>
      <c r="E32" s="2" t="s">
        <v>0</v>
      </c>
      <c r="F32" s="2" t="s">
        <v>0</v>
      </c>
      <c r="G32" s="2" t="s">
        <v>0</v>
      </c>
      <c r="H32" s="23" t="s">
        <v>0</v>
      </c>
      <c r="I32" s="2" t="s">
        <v>0</v>
      </c>
      <c r="J32" s="2" t="s">
        <v>26</v>
      </c>
      <c r="K32" s="2" t="s">
        <v>241</v>
      </c>
      <c r="L32" s="2" t="s">
        <v>0</v>
      </c>
      <c r="M32" s="2" t="s">
        <v>0</v>
      </c>
      <c r="N32" s="2" t="s">
        <v>0</v>
      </c>
      <c r="O32" s="23" t="s">
        <v>0</v>
      </c>
      <c r="P32" s="2" t="s">
        <v>0</v>
      </c>
      <c r="Q32" s="2" t="s">
        <v>240</v>
      </c>
      <c r="R32" s="2" t="s">
        <v>262</v>
      </c>
      <c r="S32" s="2" t="s">
        <v>0</v>
      </c>
      <c r="T32" s="2" t="s">
        <v>0</v>
      </c>
      <c r="U32" s="2" t="s">
        <v>0</v>
      </c>
      <c r="V32" s="23" t="s">
        <v>0</v>
      </c>
      <c r="W32" s="7" t="s">
        <v>0</v>
      </c>
      <c r="X32" s="7" t="s">
        <v>8</v>
      </c>
    </row>
    <row r="33" spans="1:24" ht="45" customHeight="1" x14ac:dyDescent="0.25">
      <c r="A33" t="str">
        <f t="shared" si="4"/>
        <v>Räisänen Maiju Hannele</v>
      </c>
      <c r="B33" s="2" t="s">
        <v>293</v>
      </c>
      <c r="C33" s="2" t="s">
        <v>45</v>
      </c>
      <c r="D33" s="2" t="s">
        <v>294</v>
      </c>
      <c r="E33" s="2" t="s">
        <v>0</v>
      </c>
      <c r="F33" s="2" t="s">
        <v>0</v>
      </c>
      <c r="G33" s="2" t="s">
        <v>0</v>
      </c>
      <c r="H33" s="23" t="s">
        <v>0</v>
      </c>
      <c r="I33" s="2" t="s">
        <v>0</v>
      </c>
      <c r="J33" s="2" t="s">
        <v>38</v>
      </c>
      <c r="K33" s="2" t="s">
        <v>56</v>
      </c>
      <c r="L33" s="2" t="s">
        <v>0</v>
      </c>
      <c r="M33" s="2" t="s">
        <v>0</v>
      </c>
      <c r="N33" s="2" t="s">
        <v>0</v>
      </c>
      <c r="O33" s="23" t="s">
        <v>0</v>
      </c>
      <c r="P33" s="2" t="s">
        <v>0</v>
      </c>
      <c r="Q33" s="2" t="s">
        <v>0</v>
      </c>
      <c r="R33" s="2" t="s">
        <v>0</v>
      </c>
      <c r="S33" s="2" t="s">
        <v>0</v>
      </c>
      <c r="T33" s="2" t="s">
        <v>0</v>
      </c>
      <c r="U33" s="2" t="s">
        <v>0</v>
      </c>
      <c r="V33" s="23" t="s">
        <v>0</v>
      </c>
      <c r="W33" s="7" t="s">
        <v>0</v>
      </c>
      <c r="X33" s="7" t="s">
        <v>8</v>
      </c>
    </row>
    <row r="34" spans="1:24" ht="45" customHeight="1" x14ac:dyDescent="0.25">
      <c r="A34" t="str">
        <f t="shared" si="4"/>
        <v>Räisänen Maiju Hannele</v>
      </c>
      <c r="B34" s="2" t="s">
        <v>8</v>
      </c>
      <c r="C34" s="2" t="s">
        <v>8</v>
      </c>
      <c r="D34" s="2" t="s">
        <v>8</v>
      </c>
      <c r="E34" s="2" t="s">
        <v>8</v>
      </c>
      <c r="F34" s="2" t="s">
        <v>8</v>
      </c>
      <c r="G34" s="2" t="s">
        <v>8</v>
      </c>
      <c r="H34" s="23" t="s">
        <v>8</v>
      </c>
      <c r="I34" s="2" t="s">
        <v>8</v>
      </c>
      <c r="J34" s="2" t="s">
        <v>8</v>
      </c>
      <c r="K34" s="2" t="s">
        <v>8</v>
      </c>
      <c r="L34" s="2" t="s">
        <v>8</v>
      </c>
      <c r="M34" s="2" t="s">
        <v>8</v>
      </c>
      <c r="N34" s="2" t="s">
        <v>8</v>
      </c>
      <c r="O34" s="23" t="s">
        <v>8</v>
      </c>
      <c r="P34" s="2" t="s">
        <v>8</v>
      </c>
      <c r="Q34" s="2" t="s">
        <v>8</v>
      </c>
      <c r="R34" s="2" t="s">
        <v>8</v>
      </c>
      <c r="S34" s="2" t="s">
        <v>8</v>
      </c>
      <c r="T34" s="2" t="s">
        <v>8</v>
      </c>
      <c r="U34" s="2" t="s">
        <v>8</v>
      </c>
      <c r="V34" s="23" t="s">
        <v>8</v>
      </c>
      <c r="W34" s="7" t="s">
        <v>8</v>
      </c>
      <c r="X34" s="7" t="s">
        <v>8</v>
      </c>
    </row>
    <row r="35" spans="1:24" ht="45" customHeight="1" x14ac:dyDescent="0.25">
      <c r="A35" t="str">
        <f t="shared" si="4"/>
        <v>Räisänen Maiju Hannele</v>
      </c>
      <c r="B35" s="2" t="s">
        <v>8</v>
      </c>
      <c r="C35" s="2" t="s">
        <v>8</v>
      </c>
      <c r="D35" s="2" t="s">
        <v>8</v>
      </c>
      <c r="E35" s="2" t="s">
        <v>8</v>
      </c>
      <c r="F35" s="2" t="s">
        <v>8</v>
      </c>
      <c r="G35" s="2" t="s">
        <v>8</v>
      </c>
      <c r="H35" s="23" t="s">
        <v>8</v>
      </c>
      <c r="I35" s="2" t="s">
        <v>8</v>
      </c>
      <c r="J35" s="2" t="s">
        <v>8</v>
      </c>
      <c r="K35" s="2" t="s">
        <v>8</v>
      </c>
      <c r="L35" s="2" t="s">
        <v>8</v>
      </c>
      <c r="M35" s="2" t="s">
        <v>8</v>
      </c>
      <c r="N35" s="2" t="s">
        <v>8</v>
      </c>
      <c r="O35" s="23" t="s">
        <v>8</v>
      </c>
      <c r="P35" s="2" t="s">
        <v>8</v>
      </c>
      <c r="Q35" s="2" t="s">
        <v>8</v>
      </c>
      <c r="R35" s="2" t="s">
        <v>8</v>
      </c>
      <c r="S35" s="2" t="s">
        <v>8</v>
      </c>
      <c r="T35" s="2" t="s">
        <v>8</v>
      </c>
      <c r="U35" s="2" t="s">
        <v>8</v>
      </c>
      <c r="V35" s="23" t="s">
        <v>8</v>
      </c>
      <c r="W35" s="7" t="s">
        <v>8</v>
      </c>
      <c r="X35" s="7" t="s">
        <v>8</v>
      </c>
    </row>
    <row r="36" spans="1:24" ht="45" customHeight="1" x14ac:dyDescent="0.25">
      <c r="A36" t="str">
        <f t="shared" si="4"/>
        <v>Räisänen Maiju Hannele</v>
      </c>
      <c r="B36" s="2" t="s">
        <v>8</v>
      </c>
      <c r="C36" s="2" t="s">
        <v>8</v>
      </c>
      <c r="D36" s="2" t="s">
        <v>8</v>
      </c>
      <c r="E36" s="2" t="s">
        <v>8</v>
      </c>
      <c r="F36" s="2" t="s">
        <v>8</v>
      </c>
      <c r="G36" s="2" t="s">
        <v>8</v>
      </c>
      <c r="H36" s="23" t="s">
        <v>8</v>
      </c>
      <c r="I36" s="2" t="s">
        <v>8</v>
      </c>
      <c r="J36" s="2" t="s">
        <v>8</v>
      </c>
      <c r="K36" s="2" t="s">
        <v>8</v>
      </c>
      <c r="L36" s="2" t="s">
        <v>8</v>
      </c>
      <c r="M36" s="2" t="s">
        <v>8</v>
      </c>
      <c r="N36" s="2" t="s">
        <v>8</v>
      </c>
      <c r="O36" s="23" t="s">
        <v>8</v>
      </c>
      <c r="P36" s="2" t="s">
        <v>8</v>
      </c>
      <c r="Q36" s="2" t="s">
        <v>8</v>
      </c>
      <c r="R36" s="2" t="s">
        <v>8</v>
      </c>
      <c r="S36" s="2" t="s">
        <v>8</v>
      </c>
      <c r="T36" s="2" t="s">
        <v>8</v>
      </c>
      <c r="U36" s="2" t="s">
        <v>8</v>
      </c>
      <c r="V36" s="23" t="s">
        <v>8</v>
      </c>
      <c r="W36" s="7" t="s">
        <v>8</v>
      </c>
      <c r="X36" s="7" t="s">
        <v>8</v>
      </c>
    </row>
    <row r="37" spans="1:24" ht="45" customHeight="1" x14ac:dyDescent="0.25">
      <c r="A37" t="str">
        <f t="shared" si="4"/>
        <v>Räisänen Maiju Hannele</v>
      </c>
      <c r="B37" s="2" t="s">
        <v>8</v>
      </c>
      <c r="C37" s="2" t="s">
        <v>8</v>
      </c>
      <c r="D37" s="2" t="s">
        <v>8</v>
      </c>
      <c r="E37" s="2" t="s">
        <v>8</v>
      </c>
      <c r="F37" s="2" t="s">
        <v>8</v>
      </c>
      <c r="G37" s="2" t="s">
        <v>8</v>
      </c>
      <c r="H37" s="23" t="s">
        <v>8</v>
      </c>
      <c r="I37" s="2" t="s">
        <v>8</v>
      </c>
      <c r="J37" s="2" t="s">
        <v>8</v>
      </c>
      <c r="K37" s="2" t="s">
        <v>8</v>
      </c>
      <c r="L37" s="2" t="s">
        <v>8</v>
      </c>
      <c r="M37" s="2" t="s">
        <v>8</v>
      </c>
      <c r="N37" s="2" t="s">
        <v>8</v>
      </c>
      <c r="O37" s="23" t="s">
        <v>8</v>
      </c>
      <c r="P37" s="2" t="s">
        <v>8</v>
      </c>
      <c r="Q37" s="2" t="s">
        <v>8</v>
      </c>
      <c r="R37" s="2" t="s">
        <v>8</v>
      </c>
      <c r="S37" s="2" t="s">
        <v>8</v>
      </c>
      <c r="T37" s="2" t="s">
        <v>8</v>
      </c>
      <c r="U37" s="2" t="s">
        <v>8</v>
      </c>
      <c r="V37" s="23" t="s">
        <v>8</v>
      </c>
      <c r="W37" s="7" t="s">
        <v>8</v>
      </c>
      <c r="X37" s="7" t="s">
        <v>8</v>
      </c>
    </row>
    <row r="38" spans="1:24" ht="45" customHeight="1" x14ac:dyDescent="0.25">
      <c r="A38" t="s">
        <v>67</v>
      </c>
      <c r="B38" s="2" t="s">
        <v>263</v>
      </c>
      <c r="C38" s="2" t="s">
        <v>42</v>
      </c>
      <c r="D38" s="2" t="s">
        <v>22</v>
      </c>
      <c r="E38" s="2" t="s">
        <v>34</v>
      </c>
      <c r="F38" s="2" t="s">
        <v>40</v>
      </c>
      <c r="G38" s="2" t="s">
        <v>33</v>
      </c>
      <c r="H38" s="23" t="s">
        <v>264</v>
      </c>
      <c r="I38" s="2" t="s">
        <v>265</v>
      </c>
      <c r="J38" s="2" t="s">
        <v>22</v>
      </c>
      <c r="K38" s="2" t="s">
        <v>22</v>
      </c>
      <c r="L38" s="2" t="s">
        <v>36</v>
      </c>
      <c r="M38" s="2" t="s">
        <v>24</v>
      </c>
      <c r="N38" s="2" t="s">
        <v>41</v>
      </c>
      <c r="O38" s="23" t="s">
        <v>22</v>
      </c>
      <c r="P38" s="2" t="s">
        <v>263</v>
      </c>
      <c r="Q38" s="2" t="s">
        <v>34</v>
      </c>
      <c r="R38" s="2" t="s">
        <v>33</v>
      </c>
      <c r="S38" s="2" t="s">
        <v>42</v>
      </c>
      <c r="T38" s="2" t="s">
        <v>34</v>
      </c>
      <c r="U38" s="2" t="s">
        <v>22</v>
      </c>
      <c r="V38" s="23" t="s">
        <v>22</v>
      </c>
      <c r="W38" s="7">
        <v>21</v>
      </c>
      <c r="X38" s="7" t="s">
        <v>84</v>
      </c>
    </row>
    <row r="39" spans="1:24" ht="45" customHeight="1" x14ac:dyDescent="0.25">
      <c r="A39" t="str">
        <f t="shared" ref="A39:A42" si="5">A38</f>
        <v>Altun Hacer</v>
      </c>
      <c r="B39" s="2" t="s">
        <v>8</v>
      </c>
      <c r="C39" s="2" t="s">
        <v>8</v>
      </c>
      <c r="D39" s="2" t="s">
        <v>8</v>
      </c>
      <c r="E39" s="2" t="s">
        <v>8</v>
      </c>
      <c r="F39" s="2" t="s">
        <v>8</v>
      </c>
      <c r="G39" s="2" t="s">
        <v>8</v>
      </c>
      <c r="H39" s="23" t="s">
        <v>8</v>
      </c>
      <c r="I39" s="2" t="s">
        <v>8</v>
      </c>
      <c r="J39" s="2" t="s">
        <v>8</v>
      </c>
      <c r="K39" s="2" t="s">
        <v>8</v>
      </c>
      <c r="L39" s="2" t="s">
        <v>8</v>
      </c>
      <c r="M39" s="2" t="s">
        <v>8</v>
      </c>
      <c r="N39" s="2" t="s">
        <v>8</v>
      </c>
      <c r="O39" s="23" t="s">
        <v>8</v>
      </c>
      <c r="P39" s="2" t="s">
        <v>8</v>
      </c>
      <c r="Q39" s="2" t="s">
        <v>8</v>
      </c>
      <c r="R39" s="2" t="s">
        <v>8</v>
      </c>
      <c r="S39" s="2" t="s">
        <v>8</v>
      </c>
      <c r="T39" s="2" t="s">
        <v>8</v>
      </c>
      <c r="U39" s="2" t="s">
        <v>8</v>
      </c>
      <c r="V39" s="23" t="s">
        <v>8</v>
      </c>
      <c r="W39" s="7" t="s">
        <v>8</v>
      </c>
      <c r="X39" s="7" t="s">
        <v>8</v>
      </c>
    </row>
    <row r="40" spans="1:24" ht="45" customHeight="1" x14ac:dyDescent="0.25">
      <c r="A40" t="str">
        <f t="shared" si="5"/>
        <v>Altun Hacer</v>
      </c>
      <c r="B40" s="2" t="s">
        <v>8</v>
      </c>
      <c r="C40" s="2" t="s">
        <v>8</v>
      </c>
      <c r="D40" s="2" t="s">
        <v>8</v>
      </c>
      <c r="E40" s="2" t="s">
        <v>8</v>
      </c>
      <c r="F40" s="2" t="s">
        <v>8</v>
      </c>
      <c r="G40" s="2" t="s">
        <v>8</v>
      </c>
      <c r="H40" s="23" t="s">
        <v>8</v>
      </c>
      <c r="I40" s="2" t="s">
        <v>8</v>
      </c>
      <c r="J40" s="2" t="s">
        <v>8</v>
      </c>
      <c r="K40" s="2" t="s">
        <v>8</v>
      </c>
      <c r="L40" s="2" t="s">
        <v>8</v>
      </c>
      <c r="M40" s="2" t="s">
        <v>8</v>
      </c>
      <c r="N40" s="2" t="s">
        <v>8</v>
      </c>
      <c r="O40" s="23" t="s">
        <v>8</v>
      </c>
      <c r="P40" s="2" t="s">
        <v>8</v>
      </c>
      <c r="Q40" s="2" t="s">
        <v>8</v>
      </c>
      <c r="R40" s="2" t="s">
        <v>8</v>
      </c>
      <c r="S40" s="2" t="s">
        <v>8</v>
      </c>
      <c r="T40" s="2" t="s">
        <v>8</v>
      </c>
      <c r="U40" s="2" t="s">
        <v>8</v>
      </c>
      <c r="V40" s="23" t="s">
        <v>8</v>
      </c>
      <c r="W40" s="7" t="s">
        <v>8</v>
      </c>
      <c r="X40" s="7" t="s">
        <v>8</v>
      </c>
    </row>
    <row r="41" spans="1:24" ht="45" customHeight="1" x14ac:dyDescent="0.25">
      <c r="A41" t="str">
        <f t="shared" si="5"/>
        <v>Altun Hacer</v>
      </c>
      <c r="B41" s="2" t="s">
        <v>8</v>
      </c>
      <c r="C41" s="2" t="s">
        <v>8</v>
      </c>
      <c r="D41" s="2" t="s">
        <v>8</v>
      </c>
      <c r="E41" s="2" t="s">
        <v>8</v>
      </c>
      <c r="F41" s="2" t="s">
        <v>8</v>
      </c>
      <c r="G41" s="2" t="s">
        <v>8</v>
      </c>
      <c r="H41" s="23" t="s">
        <v>8</v>
      </c>
      <c r="I41" s="2" t="s">
        <v>8</v>
      </c>
      <c r="J41" s="2" t="s">
        <v>8</v>
      </c>
      <c r="K41" s="2" t="s">
        <v>8</v>
      </c>
      <c r="L41" s="2" t="s">
        <v>8</v>
      </c>
      <c r="M41" s="2" t="s">
        <v>8</v>
      </c>
      <c r="N41" s="2" t="s">
        <v>8</v>
      </c>
      <c r="O41" s="23" t="s">
        <v>8</v>
      </c>
      <c r="P41" s="2" t="s">
        <v>8</v>
      </c>
      <c r="Q41" s="2" t="s">
        <v>8</v>
      </c>
      <c r="R41" s="2" t="s">
        <v>8</v>
      </c>
      <c r="S41" s="2" t="s">
        <v>8</v>
      </c>
      <c r="T41" s="2" t="s">
        <v>8</v>
      </c>
      <c r="U41" s="2" t="s">
        <v>8</v>
      </c>
      <c r="V41" s="23" t="s">
        <v>8</v>
      </c>
      <c r="W41" s="7" t="s">
        <v>8</v>
      </c>
      <c r="X41" s="7" t="s">
        <v>8</v>
      </c>
    </row>
    <row r="42" spans="1:24" ht="45" customHeight="1" x14ac:dyDescent="0.25">
      <c r="A42" t="str">
        <f t="shared" si="5"/>
        <v>Altun Hacer</v>
      </c>
      <c r="B42" s="2" t="s">
        <v>8</v>
      </c>
      <c r="C42" s="2" t="s">
        <v>8</v>
      </c>
      <c r="D42" s="2" t="s">
        <v>8</v>
      </c>
      <c r="E42" s="2" t="s">
        <v>8</v>
      </c>
      <c r="F42" s="2" t="s">
        <v>8</v>
      </c>
      <c r="G42" s="2" t="s">
        <v>8</v>
      </c>
      <c r="H42" s="23" t="s">
        <v>8</v>
      </c>
      <c r="I42" s="2" t="s">
        <v>8</v>
      </c>
      <c r="J42" s="2" t="s">
        <v>8</v>
      </c>
      <c r="K42" s="2" t="s">
        <v>8</v>
      </c>
      <c r="L42" s="2" t="s">
        <v>8</v>
      </c>
      <c r="M42" s="2" t="s">
        <v>8</v>
      </c>
      <c r="N42" s="2" t="s">
        <v>8</v>
      </c>
      <c r="O42" s="23" t="s">
        <v>8</v>
      </c>
      <c r="P42" s="2" t="s">
        <v>8</v>
      </c>
      <c r="Q42" s="2" t="s">
        <v>8</v>
      </c>
      <c r="R42" s="2" t="s">
        <v>8</v>
      </c>
      <c r="S42" s="2" t="s">
        <v>8</v>
      </c>
      <c r="T42" s="2" t="s">
        <v>8</v>
      </c>
      <c r="U42" s="2" t="s">
        <v>8</v>
      </c>
      <c r="V42" s="23" t="s">
        <v>8</v>
      </c>
      <c r="W42" s="7" t="s">
        <v>8</v>
      </c>
      <c r="X42" s="7" t="s">
        <v>8</v>
      </c>
    </row>
    <row r="43" spans="1:24" ht="45" customHeight="1" x14ac:dyDescent="0.25">
      <c r="A43" t="s">
        <v>63</v>
      </c>
      <c r="B43" s="2" t="s">
        <v>34</v>
      </c>
      <c r="C43" s="2" t="s">
        <v>295</v>
      </c>
      <c r="D43" s="2" t="s">
        <v>266</v>
      </c>
      <c r="E43" s="2" t="s">
        <v>40</v>
      </c>
      <c r="F43" s="2" t="s">
        <v>296</v>
      </c>
      <c r="G43" s="2" t="s">
        <v>22</v>
      </c>
      <c r="H43" s="23" t="s">
        <v>22</v>
      </c>
      <c r="I43" s="2" t="s">
        <v>22</v>
      </c>
      <c r="J43" s="2" t="s">
        <v>24</v>
      </c>
      <c r="K43" s="2" t="s">
        <v>32</v>
      </c>
      <c r="L43" s="2" t="s">
        <v>32</v>
      </c>
      <c r="M43" s="2" t="s">
        <v>42</v>
      </c>
      <c r="N43" s="2" t="s">
        <v>34</v>
      </c>
      <c r="O43" s="23" t="s">
        <v>22</v>
      </c>
      <c r="P43" s="2" t="s">
        <v>33</v>
      </c>
      <c r="Q43" s="2" t="s">
        <v>267</v>
      </c>
      <c r="R43" s="2" t="s">
        <v>58</v>
      </c>
      <c r="S43" s="2" t="s">
        <v>22</v>
      </c>
      <c r="T43" s="2" t="s">
        <v>22</v>
      </c>
      <c r="U43" s="2" t="s">
        <v>41</v>
      </c>
      <c r="V43" s="23" t="s">
        <v>264</v>
      </c>
      <c r="W43" s="7">
        <v>21</v>
      </c>
      <c r="X43" s="7" t="s">
        <v>84</v>
      </c>
    </row>
    <row r="44" spans="1:24" ht="45" customHeight="1" x14ac:dyDescent="0.25">
      <c r="A44" t="str">
        <f t="shared" ref="A44:A48" si="6">A43</f>
        <v>Saari Milla Maria</v>
      </c>
      <c r="B44" s="2" t="s">
        <v>0</v>
      </c>
      <c r="C44" s="2" t="s">
        <v>0</v>
      </c>
      <c r="D44" s="2" t="s">
        <v>77</v>
      </c>
      <c r="E44" s="2" t="s">
        <v>0</v>
      </c>
      <c r="F44" s="2" t="s">
        <v>0</v>
      </c>
      <c r="G44" s="2" t="s">
        <v>0</v>
      </c>
      <c r="H44" s="23" t="s">
        <v>0</v>
      </c>
      <c r="I44" s="2" t="s">
        <v>0</v>
      </c>
      <c r="J44" s="2" t="s">
        <v>0</v>
      </c>
      <c r="K44" s="2" t="s">
        <v>0</v>
      </c>
      <c r="L44" s="2" t="s">
        <v>0</v>
      </c>
      <c r="M44" s="2" t="s">
        <v>0</v>
      </c>
      <c r="N44" s="2" t="s">
        <v>0</v>
      </c>
      <c r="O44" s="23" t="s">
        <v>0</v>
      </c>
      <c r="P44" s="2" t="s">
        <v>0</v>
      </c>
      <c r="Q44" s="2" t="s">
        <v>0</v>
      </c>
      <c r="R44" s="2" t="s">
        <v>0</v>
      </c>
      <c r="S44" s="2" t="s">
        <v>0</v>
      </c>
      <c r="T44" s="2" t="s">
        <v>0</v>
      </c>
      <c r="U44" s="2" t="s">
        <v>0</v>
      </c>
      <c r="V44" s="23" t="s">
        <v>0</v>
      </c>
      <c r="W44" s="7" t="s">
        <v>0</v>
      </c>
      <c r="X44" s="7" t="s">
        <v>8</v>
      </c>
    </row>
    <row r="45" spans="1:24" ht="45" customHeight="1" x14ac:dyDescent="0.25">
      <c r="A45" t="str">
        <f t="shared" si="6"/>
        <v>Saari Milla Maria</v>
      </c>
      <c r="B45" s="2" t="s">
        <v>8</v>
      </c>
      <c r="C45" s="2" t="s">
        <v>8</v>
      </c>
      <c r="D45" s="2" t="s">
        <v>8</v>
      </c>
      <c r="E45" s="2" t="s">
        <v>8</v>
      </c>
      <c r="F45" s="2" t="s">
        <v>8</v>
      </c>
      <c r="G45" s="2" t="s">
        <v>8</v>
      </c>
      <c r="H45" s="23" t="s">
        <v>8</v>
      </c>
      <c r="I45" s="2" t="s">
        <v>8</v>
      </c>
      <c r="J45" s="2" t="s">
        <v>8</v>
      </c>
      <c r="K45" s="2" t="s">
        <v>8</v>
      </c>
      <c r="L45" s="2" t="s">
        <v>8</v>
      </c>
      <c r="M45" s="2" t="s">
        <v>8</v>
      </c>
      <c r="N45" s="2" t="s">
        <v>8</v>
      </c>
      <c r="O45" s="23" t="s">
        <v>8</v>
      </c>
      <c r="P45" s="2" t="s">
        <v>8</v>
      </c>
      <c r="Q45" s="2" t="s">
        <v>8</v>
      </c>
      <c r="R45" s="2" t="s">
        <v>8</v>
      </c>
      <c r="S45" s="2" t="s">
        <v>8</v>
      </c>
      <c r="T45" s="2" t="s">
        <v>8</v>
      </c>
      <c r="U45" s="2" t="s">
        <v>8</v>
      </c>
      <c r="V45" s="23" t="s">
        <v>8</v>
      </c>
      <c r="W45" s="7" t="s">
        <v>8</v>
      </c>
      <c r="X45" s="7" t="s">
        <v>8</v>
      </c>
    </row>
    <row r="46" spans="1:24" ht="45" customHeight="1" x14ac:dyDescent="0.25">
      <c r="A46" t="str">
        <f t="shared" si="6"/>
        <v>Saari Milla Maria</v>
      </c>
      <c r="B46" s="2" t="s">
        <v>8</v>
      </c>
      <c r="C46" s="2" t="s">
        <v>8</v>
      </c>
      <c r="D46" s="2" t="s">
        <v>8</v>
      </c>
      <c r="E46" s="2" t="s">
        <v>8</v>
      </c>
      <c r="F46" s="2" t="s">
        <v>8</v>
      </c>
      <c r="G46" s="2" t="s">
        <v>8</v>
      </c>
      <c r="H46" s="23" t="s">
        <v>8</v>
      </c>
      <c r="I46" s="2" t="s">
        <v>8</v>
      </c>
      <c r="J46" s="2" t="s">
        <v>8</v>
      </c>
      <c r="K46" s="2" t="s">
        <v>8</v>
      </c>
      <c r="L46" s="2" t="s">
        <v>8</v>
      </c>
      <c r="M46" s="2" t="s">
        <v>8</v>
      </c>
      <c r="N46" s="2" t="s">
        <v>8</v>
      </c>
      <c r="O46" s="23" t="s">
        <v>8</v>
      </c>
      <c r="P46" s="2" t="s">
        <v>8</v>
      </c>
      <c r="Q46" s="2" t="s">
        <v>8</v>
      </c>
      <c r="R46" s="2" t="s">
        <v>8</v>
      </c>
      <c r="S46" s="2" t="s">
        <v>8</v>
      </c>
      <c r="T46" s="2" t="s">
        <v>8</v>
      </c>
      <c r="U46" s="2" t="s">
        <v>8</v>
      </c>
      <c r="V46" s="23" t="s">
        <v>8</v>
      </c>
      <c r="W46" s="7" t="s">
        <v>8</v>
      </c>
      <c r="X46" s="7" t="s">
        <v>8</v>
      </c>
    </row>
    <row r="47" spans="1:24" ht="45" customHeight="1" x14ac:dyDescent="0.25">
      <c r="A47" t="str">
        <f t="shared" si="6"/>
        <v>Saari Milla Maria</v>
      </c>
      <c r="B47" s="2" t="s">
        <v>8</v>
      </c>
      <c r="C47" s="2" t="s">
        <v>8</v>
      </c>
      <c r="D47" s="2" t="s">
        <v>8</v>
      </c>
      <c r="E47" s="2" t="s">
        <v>8</v>
      </c>
      <c r="F47" s="2" t="s">
        <v>8</v>
      </c>
      <c r="G47" s="2" t="s">
        <v>8</v>
      </c>
      <c r="H47" s="23" t="s">
        <v>8</v>
      </c>
      <c r="I47" s="2" t="s">
        <v>8</v>
      </c>
      <c r="J47" s="2" t="s">
        <v>8</v>
      </c>
      <c r="K47" s="2" t="s">
        <v>8</v>
      </c>
      <c r="L47" s="2" t="s">
        <v>8</v>
      </c>
      <c r="M47" s="2" t="s">
        <v>8</v>
      </c>
      <c r="N47" s="2" t="s">
        <v>8</v>
      </c>
      <c r="O47" s="23" t="s">
        <v>8</v>
      </c>
      <c r="P47" s="2" t="s">
        <v>8</v>
      </c>
      <c r="Q47" s="2" t="s">
        <v>8</v>
      </c>
      <c r="R47" s="2" t="s">
        <v>8</v>
      </c>
      <c r="S47" s="2" t="s">
        <v>8</v>
      </c>
      <c r="T47" s="2" t="s">
        <v>8</v>
      </c>
      <c r="U47" s="2" t="s">
        <v>8</v>
      </c>
      <c r="V47" s="23" t="s">
        <v>8</v>
      </c>
      <c r="W47" s="7" t="s">
        <v>8</v>
      </c>
      <c r="X47" s="7" t="s">
        <v>8</v>
      </c>
    </row>
    <row r="48" spans="1:24" ht="45" customHeight="1" x14ac:dyDescent="0.25">
      <c r="A48" t="str">
        <f t="shared" si="6"/>
        <v>Saari Milla Maria</v>
      </c>
      <c r="B48" s="2" t="s">
        <v>8</v>
      </c>
      <c r="C48" s="2" t="s">
        <v>8</v>
      </c>
      <c r="D48" s="2" t="s">
        <v>8</v>
      </c>
      <c r="E48" s="2" t="s">
        <v>8</v>
      </c>
      <c r="F48" s="2" t="s">
        <v>8</v>
      </c>
      <c r="G48" s="2" t="s">
        <v>8</v>
      </c>
      <c r="H48" s="23" t="s">
        <v>8</v>
      </c>
      <c r="I48" s="2" t="s">
        <v>8</v>
      </c>
      <c r="J48" s="2" t="s">
        <v>8</v>
      </c>
      <c r="K48" s="2" t="s">
        <v>8</v>
      </c>
      <c r="L48" s="2" t="s">
        <v>8</v>
      </c>
      <c r="M48" s="2" t="s">
        <v>8</v>
      </c>
      <c r="N48" s="2" t="s">
        <v>8</v>
      </c>
      <c r="O48" s="23" t="s">
        <v>8</v>
      </c>
      <c r="P48" s="2" t="s">
        <v>8</v>
      </c>
      <c r="Q48" s="2" t="s">
        <v>8</v>
      </c>
      <c r="R48" s="2" t="s">
        <v>8</v>
      </c>
      <c r="S48" s="2" t="s">
        <v>8</v>
      </c>
      <c r="T48" s="2" t="s">
        <v>8</v>
      </c>
      <c r="U48" s="2" t="s">
        <v>8</v>
      </c>
      <c r="V48" s="23" t="s">
        <v>8</v>
      </c>
      <c r="W48" s="7" t="s">
        <v>8</v>
      </c>
      <c r="X48" s="7" t="s">
        <v>8</v>
      </c>
    </row>
    <row r="49" spans="1:24" ht="45" customHeight="1" x14ac:dyDescent="0.25">
      <c r="A49" t="s">
        <v>75</v>
      </c>
      <c r="B49" s="2" t="s">
        <v>22</v>
      </c>
      <c r="C49" s="2" t="s">
        <v>34</v>
      </c>
      <c r="D49" s="2" t="s">
        <v>297</v>
      </c>
      <c r="E49" s="2" t="s">
        <v>33</v>
      </c>
      <c r="F49" s="2" t="s">
        <v>62</v>
      </c>
      <c r="G49" s="2" t="s">
        <v>22</v>
      </c>
      <c r="H49" s="23" t="s">
        <v>22</v>
      </c>
      <c r="I49" s="2" t="s">
        <v>32</v>
      </c>
      <c r="J49" s="2" t="s">
        <v>42</v>
      </c>
      <c r="K49" s="2" t="s">
        <v>39</v>
      </c>
      <c r="L49" s="2" t="s">
        <v>24</v>
      </c>
      <c r="M49" s="2" t="s">
        <v>22</v>
      </c>
      <c r="N49" s="2" t="s">
        <v>61</v>
      </c>
      <c r="O49" s="23" t="s">
        <v>264</v>
      </c>
      <c r="P49" s="2" t="s">
        <v>22</v>
      </c>
      <c r="Q49" s="2" t="s">
        <v>268</v>
      </c>
      <c r="R49" s="2" t="s">
        <v>42</v>
      </c>
      <c r="S49" s="2" t="s">
        <v>40</v>
      </c>
      <c r="T49" s="2" t="s">
        <v>40</v>
      </c>
      <c r="U49" s="2" t="s">
        <v>33</v>
      </c>
      <c r="V49" s="23" t="s">
        <v>22</v>
      </c>
      <c r="W49" s="7">
        <v>21</v>
      </c>
      <c r="X49" s="7" t="s">
        <v>84</v>
      </c>
    </row>
    <row r="50" spans="1:24" ht="45" customHeight="1" x14ac:dyDescent="0.25">
      <c r="A50" t="str">
        <f t="shared" ref="A50:A53" si="7">A49</f>
        <v>Jokivalo Tiia Jasmine Mar</v>
      </c>
      <c r="B50" s="2" t="s">
        <v>8</v>
      </c>
      <c r="C50" s="2" t="s">
        <v>8</v>
      </c>
      <c r="D50" s="2" t="s">
        <v>8</v>
      </c>
      <c r="E50" s="2" t="s">
        <v>8</v>
      </c>
      <c r="F50" s="2" t="s">
        <v>8</v>
      </c>
      <c r="G50" s="2" t="s">
        <v>8</v>
      </c>
      <c r="H50" s="23" t="s">
        <v>8</v>
      </c>
      <c r="I50" s="2" t="s">
        <v>8</v>
      </c>
      <c r="J50" s="2" t="s">
        <v>8</v>
      </c>
      <c r="K50" s="2" t="s">
        <v>8</v>
      </c>
      <c r="L50" s="2" t="s">
        <v>8</v>
      </c>
      <c r="M50" s="2" t="s">
        <v>8</v>
      </c>
      <c r="N50" s="2" t="s">
        <v>8</v>
      </c>
      <c r="O50" s="23" t="s">
        <v>8</v>
      </c>
      <c r="P50" s="2" t="s">
        <v>8</v>
      </c>
      <c r="Q50" s="2" t="s">
        <v>8</v>
      </c>
      <c r="R50" s="2" t="s">
        <v>8</v>
      </c>
      <c r="S50" s="2" t="s">
        <v>8</v>
      </c>
      <c r="T50" s="2" t="s">
        <v>8</v>
      </c>
      <c r="U50" s="2" t="s">
        <v>8</v>
      </c>
      <c r="V50" s="23" t="s">
        <v>8</v>
      </c>
      <c r="W50" s="7" t="s">
        <v>8</v>
      </c>
      <c r="X50" s="7" t="s">
        <v>8</v>
      </c>
    </row>
    <row r="51" spans="1:24" ht="45" customHeight="1" x14ac:dyDescent="0.25">
      <c r="A51" t="str">
        <f t="shared" si="7"/>
        <v>Jokivalo Tiia Jasmine Mar</v>
      </c>
      <c r="B51" s="2" t="s">
        <v>8</v>
      </c>
      <c r="C51" s="2" t="s">
        <v>8</v>
      </c>
      <c r="D51" s="2" t="s">
        <v>8</v>
      </c>
      <c r="E51" s="2" t="s">
        <v>8</v>
      </c>
      <c r="F51" s="2" t="s">
        <v>8</v>
      </c>
      <c r="G51" s="2" t="s">
        <v>8</v>
      </c>
      <c r="H51" s="23" t="s">
        <v>8</v>
      </c>
      <c r="I51" s="2" t="s">
        <v>8</v>
      </c>
      <c r="J51" s="2" t="s">
        <v>8</v>
      </c>
      <c r="K51" s="2" t="s">
        <v>8</v>
      </c>
      <c r="L51" s="2" t="s">
        <v>8</v>
      </c>
      <c r="M51" s="2" t="s">
        <v>8</v>
      </c>
      <c r="N51" s="2" t="s">
        <v>8</v>
      </c>
      <c r="O51" s="23" t="s">
        <v>8</v>
      </c>
      <c r="P51" s="2" t="s">
        <v>8</v>
      </c>
      <c r="Q51" s="2" t="s">
        <v>8</v>
      </c>
      <c r="R51" s="2" t="s">
        <v>8</v>
      </c>
      <c r="S51" s="2" t="s">
        <v>8</v>
      </c>
      <c r="T51" s="2" t="s">
        <v>8</v>
      </c>
      <c r="U51" s="2" t="s">
        <v>8</v>
      </c>
      <c r="V51" s="23" t="s">
        <v>8</v>
      </c>
      <c r="W51" s="7" t="s">
        <v>8</v>
      </c>
      <c r="X51" s="7" t="s">
        <v>8</v>
      </c>
    </row>
    <row r="52" spans="1:24" ht="45" customHeight="1" x14ac:dyDescent="0.25">
      <c r="A52" t="str">
        <f t="shared" si="7"/>
        <v>Jokivalo Tiia Jasmine Mar</v>
      </c>
      <c r="B52" s="2" t="s">
        <v>8</v>
      </c>
      <c r="C52" s="2" t="s">
        <v>8</v>
      </c>
      <c r="D52" s="2" t="s">
        <v>8</v>
      </c>
      <c r="E52" s="2" t="s">
        <v>8</v>
      </c>
      <c r="F52" s="2" t="s">
        <v>8</v>
      </c>
      <c r="G52" s="2" t="s">
        <v>8</v>
      </c>
      <c r="H52" s="23" t="s">
        <v>8</v>
      </c>
      <c r="I52" s="2" t="s">
        <v>8</v>
      </c>
      <c r="J52" s="2" t="s">
        <v>8</v>
      </c>
      <c r="K52" s="2" t="s">
        <v>8</v>
      </c>
      <c r="L52" s="2" t="s">
        <v>8</v>
      </c>
      <c r="M52" s="2" t="s">
        <v>8</v>
      </c>
      <c r="N52" s="2" t="s">
        <v>8</v>
      </c>
      <c r="O52" s="23" t="s">
        <v>8</v>
      </c>
      <c r="P52" s="2" t="s">
        <v>8</v>
      </c>
      <c r="Q52" s="2" t="s">
        <v>8</v>
      </c>
      <c r="R52" s="2" t="s">
        <v>8</v>
      </c>
      <c r="S52" s="2" t="s">
        <v>8</v>
      </c>
      <c r="T52" s="2" t="s">
        <v>8</v>
      </c>
      <c r="U52" s="2" t="s">
        <v>8</v>
      </c>
      <c r="V52" s="23" t="s">
        <v>8</v>
      </c>
      <c r="W52" s="7" t="s">
        <v>8</v>
      </c>
      <c r="X52" s="7" t="s">
        <v>8</v>
      </c>
    </row>
    <row r="53" spans="1:24" ht="45" customHeight="1" x14ac:dyDescent="0.25">
      <c r="A53" t="str">
        <f t="shared" si="7"/>
        <v>Jokivalo Tiia Jasmine Mar</v>
      </c>
      <c r="B53" s="2" t="s">
        <v>8</v>
      </c>
      <c r="C53" s="2" t="s">
        <v>8</v>
      </c>
      <c r="D53" s="2" t="s">
        <v>8</v>
      </c>
      <c r="E53" s="2" t="s">
        <v>8</v>
      </c>
      <c r="F53" s="2" t="s">
        <v>8</v>
      </c>
      <c r="G53" s="2" t="s">
        <v>8</v>
      </c>
      <c r="H53" s="23" t="s">
        <v>8</v>
      </c>
      <c r="I53" s="2" t="s">
        <v>8</v>
      </c>
      <c r="J53" s="2" t="s">
        <v>8</v>
      </c>
      <c r="K53" s="2" t="s">
        <v>8</v>
      </c>
      <c r="L53" s="2" t="s">
        <v>8</v>
      </c>
      <c r="M53" s="2" t="s">
        <v>8</v>
      </c>
      <c r="N53" s="2" t="s">
        <v>8</v>
      </c>
      <c r="O53" s="23" t="s">
        <v>8</v>
      </c>
      <c r="P53" s="2" t="s">
        <v>8</v>
      </c>
      <c r="Q53" s="2" t="s">
        <v>8</v>
      </c>
      <c r="R53" s="2" t="s">
        <v>8</v>
      </c>
      <c r="S53" s="2" t="s">
        <v>8</v>
      </c>
      <c r="T53" s="2" t="s">
        <v>8</v>
      </c>
      <c r="U53" s="2" t="s">
        <v>8</v>
      </c>
      <c r="V53" s="23" t="s">
        <v>8</v>
      </c>
      <c r="W53" s="7" t="s">
        <v>8</v>
      </c>
      <c r="X53" s="7" t="s">
        <v>8</v>
      </c>
    </row>
    <row r="54" spans="1:24" ht="45" customHeight="1" x14ac:dyDescent="0.25">
      <c r="A54" t="s">
        <v>64</v>
      </c>
      <c r="B54" s="2" t="s">
        <v>269</v>
      </c>
      <c r="C54" s="2" t="s">
        <v>269</v>
      </c>
      <c r="D54" s="2" t="s">
        <v>51</v>
      </c>
      <c r="E54" s="2" t="s">
        <v>51</v>
      </c>
      <c r="F54" s="2" t="s">
        <v>51</v>
      </c>
      <c r="G54" s="2" t="s">
        <v>22</v>
      </c>
      <c r="H54" s="23" t="s">
        <v>22</v>
      </c>
      <c r="I54" s="2" t="s">
        <v>269</v>
      </c>
      <c r="J54" s="2" t="s">
        <v>269</v>
      </c>
      <c r="K54" s="2" t="s">
        <v>51</v>
      </c>
      <c r="L54" s="2" t="s">
        <v>269</v>
      </c>
      <c r="M54" s="2" t="s">
        <v>51</v>
      </c>
      <c r="N54" s="2" t="s">
        <v>22</v>
      </c>
      <c r="O54" s="23" t="s">
        <v>22</v>
      </c>
      <c r="P54" s="2" t="s">
        <v>51</v>
      </c>
      <c r="Q54" s="2" t="s">
        <v>51</v>
      </c>
      <c r="R54" s="2" t="s">
        <v>51</v>
      </c>
      <c r="S54" s="2" t="s">
        <v>51</v>
      </c>
      <c r="T54" s="2" t="s">
        <v>51</v>
      </c>
      <c r="U54" s="2" t="s">
        <v>22</v>
      </c>
      <c r="V54" s="23" t="s">
        <v>22</v>
      </c>
      <c r="W54" s="7">
        <v>21</v>
      </c>
      <c r="X54" s="7" t="s">
        <v>84</v>
      </c>
    </row>
    <row r="55" spans="1:24" ht="45" customHeight="1" x14ac:dyDescent="0.25">
      <c r="A55" t="str">
        <f t="shared" ref="A55:A58" si="8">A54</f>
        <v>Huttunen Merja Anneli</v>
      </c>
      <c r="B55" s="2" t="s">
        <v>8</v>
      </c>
      <c r="C55" s="2" t="s">
        <v>8</v>
      </c>
      <c r="D55" s="2" t="s">
        <v>8</v>
      </c>
      <c r="E55" s="2" t="s">
        <v>8</v>
      </c>
      <c r="F55" s="2" t="s">
        <v>8</v>
      </c>
      <c r="G55" s="2" t="s">
        <v>8</v>
      </c>
      <c r="H55" s="23" t="s">
        <v>8</v>
      </c>
      <c r="I55" s="2" t="s">
        <v>8</v>
      </c>
      <c r="J55" s="2" t="s">
        <v>8</v>
      </c>
      <c r="K55" s="2" t="s">
        <v>8</v>
      </c>
      <c r="L55" s="2" t="s">
        <v>8</v>
      </c>
      <c r="M55" s="2" t="s">
        <v>8</v>
      </c>
      <c r="N55" s="2" t="s">
        <v>8</v>
      </c>
      <c r="O55" s="23" t="s">
        <v>8</v>
      </c>
      <c r="P55" s="2" t="s">
        <v>8</v>
      </c>
      <c r="Q55" s="2" t="s">
        <v>8</v>
      </c>
      <c r="R55" s="2" t="s">
        <v>8</v>
      </c>
      <c r="S55" s="2" t="s">
        <v>8</v>
      </c>
      <c r="T55" s="2" t="s">
        <v>8</v>
      </c>
      <c r="U55" s="2" t="s">
        <v>8</v>
      </c>
      <c r="V55" s="23" t="s">
        <v>8</v>
      </c>
      <c r="W55" s="7" t="s">
        <v>8</v>
      </c>
      <c r="X55" s="7" t="s">
        <v>8</v>
      </c>
    </row>
    <row r="56" spans="1:24" ht="45" customHeight="1" x14ac:dyDescent="0.25">
      <c r="A56" t="str">
        <f t="shared" si="8"/>
        <v>Huttunen Merja Anneli</v>
      </c>
      <c r="B56" s="2" t="s">
        <v>8</v>
      </c>
      <c r="C56" s="2" t="s">
        <v>8</v>
      </c>
      <c r="D56" s="2" t="s">
        <v>8</v>
      </c>
      <c r="E56" s="2" t="s">
        <v>8</v>
      </c>
      <c r="F56" s="2" t="s">
        <v>8</v>
      </c>
      <c r="G56" s="2" t="s">
        <v>8</v>
      </c>
      <c r="H56" s="23" t="s">
        <v>8</v>
      </c>
      <c r="I56" s="2" t="s">
        <v>8</v>
      </c>
      <c r="J56" s="2" t="s">
        <v>8</v>
      </c>
      <c r="K56" s="2" t="s">
        <v>8</v>
      </c>
      <c r="L56" s="2" t="s">
        <v>8</v>
      </c>
      <c r="M56" s="2" t="s">
        <v>8</v>
      </c>
      <c r="N56" s="2" t="s">
        <v>8</v>
      </c>
      <c r="O56" s="23" t="s">
        <v>8</v>
      </c>
      <c r="P56" s="2" t="s">
        <v>8</v>
      </c>
      <c r="Q56" s="2" t="s">
        <v>8</v>
      </c>
      <c r="R56" s="2" t="s">
        <v>8</v>
      </c>
      <c r="S56" s="2" t="s">
        <v>8</v>
      </c>
      <c r="T56" s="2" t="s">
        <v>8</v>
      </c>
      <c r="U56" s="2" t="s">
        <v>8</v>
      </c>
      <c r="V56" s="23" t="s">
        <v>8</v>
      </c>
      <c r="W56" s="7" t="s">
        <v>8</v>
      </c>
      <c r="X56" s="7" t="s">
        <v>8</v>
      </c>
    </row>
    <row r="57" spans="1:24" ht="45" customHeight="1" x14ac:dyDescent="0.25">
      <c r="A57" t="str">
        <f t="shared" si="8"/>
        <v>Huttunen Merja Anneli</v>
      </c>
      <c r="B57" s="2" t="s">
        <v>8</v>
      </c>
      <c r="C57" s="2" t="s">
        <v>8</v>
      </c>
      <c r="D57" s="2" t="s">
        <v>8</v>
      </c>
      <c r="E57" s="2" t="s">
        <v>8</v>
      </c>
      <c r="F57" s="2" t="s">
        <v>8</v>
      </c>
      <c r="G57" s="2" t="s">
        <v>8</v>
      </c>
      <c r="H57" s="23" t="s">
        <v>8</v>
      </c>
      <c r="I57" s="2" t="s">
        <v>8</v>
      </c>
      <c r="J57" s="2" t="s">
        <v>8</v>
      </c>
      <c r="K57" s="2" t="s">
        <v>8</v>
      </c>
      <c r="L57" s="2" t="s">
        <v>8</v>
      </c>
      <c r="M57" s="2" t="s">
        <v>8</v>
      </c>
      <c r="N57" s="2" t="s">
        <v>8</v>
      </c>
      <c r="O57" s="23" t="s">
        <v>8</v>
      </c>
      <c r="P57" s="2" t="s">
        <v>8</v>
      </c>
      <c r="Q57" s="2" t="s">
        <v>8</v>
      </c>
      <c r="R57" s="2" t="s">
        <v>8</v>
      </c>
      <c r="S57" s="2" t="s">
        <v>8</v>
      </c>
      <c r="T57" s="2" t="s">
        <v>8</v>
      </c>
      <c r="U57" s="2" t="s">
        <v>8</v>
      </c>
      <c r="V57" s="23" t="s">
        <v>8</v>
      </c>
      <c r="W57" s="7" t="s">
        <v>8</v>
      </c>
      <c r="X57" s="7" t="s">
        <v>8</v>
      </c>
    </row>
    <row r="58" spans="1:24" ht="45" customHeight="1" x14ac:dyDescent="0.25">
      <c r="A58" t="str">
        <f t="shared" si="8"/>
        <v>Huttunen Merja Anneli</v>
      </c>
      <c r="B58" s="2" t="s">
        <v>8</v>
      </c>
      <c r="C58" s="2" t="s">
        <v>8</v>
      </c>
      <c r="D58" s="2" t="s">
        <v>8</v>
      </c>
      <c r="E58" s="2" t="s">
        <v>8</v>
      </c>
      <c r="F58" s="2" t="s">
        <v>8</v>
      </c>
      <c r="G58" s="2" t="s">
        <v>8</v>
      </c>
      <c r="H58" s="23" t="s">
        <v>8</v>
      </c>
      <c r="I58" s="2" t="s">
        <v>8</v>
      </c>
      <c r="J58" s="2" t="s">
        <v>8</v>
      </c>
      <c r="K58" s="2" t="s">
        <v>8</v>
      </c>
      <c r="L58" s="2" t="s">
        <v>8</v>
      </c>
      <c r="M58" s="2" t="s">
        <v>8</v>
      </c>
      <c r="N58" s="2" t="s">
        <v>8</v>
      </c>
      <c r="O58" s="23" t="s">
        <v>8</v>
      </c>
      <c r="P58" s="2" t="s">
        <v>8</v>
      </c>
      <c r="Q58" s="2" t="s">
        <v>8</v>
      </c>
      <c r="R58" s="2" t="s">
        <v>8</v>
      </c>
      <c r="S58" s="2" t="s">
        <v>8</v>
      </c>
      <c r="T58" s="2" t="s">
        <v>8</v>
      </c>
      <c r="U58" s="2" t="s">
        <v>8</v>
      </c>
      <c r="V58" s="23" t="s">
        <v>8</v>
      </c>
      <c r="W58" s="7" t="s">
        <v>8</v>
      </c>
      <c r="X58" s="7" t="s">
        <v>8</v>
      </c>
    </row>
    <row r="59" spans="1:24" ht="45" customHeight="1" x14ac:dyDescent="0.25">
      <c r="A59" t="s">
        <v>74</v>
      </c>
      <c r="B59" s="2" t="s">
        <v>72</v>
      </c>
      <c r="C59" s="2" t="s">
        <v>73</v>
      </c>
      <c r="D59" s="2" t="s">
        <v>73</v>
      </c>
      <c r="E59" s="2" t="s">
        <v>73</v>
      </c>
      <c r="F59" s="2" t="s">
        <v>73</v>
      </c>
      <c r="G59" s="2" t="s">
        <v>22</v>
      </c>
      <c r="H59" s="23" t="s">
        <v>22</v>
      </c>
      <c r="I59" s="2" t="s">
        <v>22</v>
      </c>
      <c r="J59" s="2" t="s">
        <v>270</v>
      </c>
      <c r="K59" s="2" t="s">
        <v>271</v>
      </c>
      <c r="L59" s="2" t="s">
        <v>22</v>
      </c>
      <c r="M59" s="2" t="s">
        <v>72</v>
      </c>
      <c r="N59" s="2" t="s">
        <v>73</v>
      </c>
      <c r="O59" s="23" t="s">
        <v>73</v>
      </c>
      <c r="P59" s="2" t="s">
        <v>73</v>
      </c>
      <c r="Q59" s="2" t="s">
        <v>23</v>
      </c>
      <c r="R59" s="2" t="s">
        <v>23</v>
      </c>
      <c r="S59" s="2" t="s">
        <v>23</v>
      </c>
      <c r="T59" s="2" t="s">
        <v>23</v>
      </c>
      <c r="U59" s="2" t="s">
        <v>23</v>
      </c>
      <c r="V59" s="23" t="s">
        <v>23</v>
      </c>
      <c r="W59" s="7">
        <v>15</v>
      </c>
      <c r="X59" s="7" t="s">
        <v>65</v>
      </c>
    </row>
    <row r="60" spans="1:24" ht="45" customHeight="1" x14ac:dyDescent="0.25">
      <c r="A60" t="str">
        <f t="shared" ref="A60:A64" si="9">A59</f>
        <v>Honkonen Pia-Mari Hannele</v>
      </c>
      <c r="B60" s="2" t="s">
        <v>0</v>
      </c>
      <c r="C60" s="2" t="s">
        <v>72</v>
      </c>
      <c r="D60" s="2" t="s">
        <v>72</v>
      </c>
      <c r="E60" s="2" t="s">
        <v>72</v>
      </c>
      <c r="F60" s="2" t="s">
        <v>0</v>
      </c>
      <c r="G60" s="2" t="s">
        <v>0</v>
      </c>
      <c r="H60" s="23" t="s">
        <v>0</v>
      </c>
      <c r="I60" s="2" t="s">
        <v>0</v>
      </c>
      <c r="J60" s="2" t="s">
        <v>0</v>
      </c>
      <c r="K60" s="2" t="s">
        <v>0</v>
      </c>
      <c r="L60" s="2" t="s">
        <v>0</v>
      </c>
      <c r="M60" s="2" t="s">
        <v>0</v>
      </c>
      <c r="N60" s="2" t="s">
        <v>72</v>
      </c>
      <c r="O60" s="23" t="s">
        <v>72</v>
      </c>
      <c r="P60" s="2" t="s">
        <v>0</v>
      </c>
      <c r="Q60" s="2" t="s">
        <v>0</v>
      </c>
      <c r="R60" s="2" t="s">
        <v>0</v>
      </c>
      <c r="S60" s="2" t="s">
        <v>0</v>
      </c>
      <c r="T60" s="2" t="s">
        <v>0</v>
      </c>
      <c r="U60" s="2" t="s">
        <v>0</v>
      </c>
      <c r="V60" s="23" t="s">
        <v>0</v>
      </c>
      <c r="W60" s="7" t="s">
        <v>0</v>
      </c>
      <c r="X60" s="7" t="s">
        <v>8</v>
      </c>
    </row>
    <row r="61" spans="1:24" ht="45" customHeight="1" x14ac:dyDescent="0.25">
      <c r="A61" t="str">
        <f t="shared" si="9"/>
        <v>Honkonen Pia-Mari Hannele</v>
      </c>
      <c r="B61" s="2" t="s">
        <v>8</v>
      </c>
      <c r="C61" s="2" t="s">
        <v>8</v>
      </c>
      <c r="D61" s="2" t="s">
        <v>8</v>
      </c>
      <c r="E61" s="2" t="s">
        <v>8</v>
      </c>
      <c r="F61" s="2" t="s">
        <v>8</v>
      </c>
      <c r="G61" s="2" t="s">
        <v>8</v>
      </c>
      <c r="H61" s="23" t="s">
        <v>8</v>
      </c>
      <c r="I61" s="2" t="s">
        <v>8</v>
      </c>
      <c r="J61" s="2" t="s">
        <v>8</v>
      </c>
      <c r="K61" s="2" t="s">
        <v>8</v>
      </c>
      <c r="L61" s="2" t="s">
        <v>8</v>
      </c>
      <c r="M61" s="2" t="s">
        <v>8</v>
      </c>
      <c r="N61" s="2" t="s">
        <v>8</v>
      </c>
      <c r="O61" s="23" t="s">
        <v>8</v>
      </c>
      <c r="P61" s="2" t="s">
        <v>8</v>
      </c>
      <c r="Q61" s="2" t="s">
        <v>8</v>
      </c>
      <c r="R61" s="2" t="s">
        <v>8</v>
      </c>
      <c r="S61" s="2" t="s">
        <v>8</v>
      </c>
      <c r="T61" s="2" t="s">
        <v>8</v>
      </c>
      <c r="U61" s="2" t="s">
        <v>8</v>
      </c>
      <c r="V61" s="23" t="s">
        <v>8</v>
      </c>
      <c r="W61" s="7" t="s">
        <v>8</v>
      </c>
      <c r="X61" s="7" t="s">
        <v>8</v>
      </c>
    </row>
    <row r="62" spans="1:24" ht="45" customHeight="1" x14ac:dyDescent="0.25">
      <c r="A62" t="str">
        <f t="shared" si="9"/>
        <v>Honkonen Pia-Mari Hannele</v>
      </c>
      <c r="B62" s="2" t="s">
        <v>8</v>
      </c>
      <c r="C62" s="2" t="s">
        <v>8</v>
      </c>
      <c r="D62" s="2" t="s">
        <v>8</v>
      </c>
      <c r="E62" s="2" t="s">
        <v>8</v>
      </c>
      <c r="F62" s="2" t="s">
        <v>8</v>
      </c>
      <c r="G62" s="2" t="s">
        <v>8</v>
      </c>
      <c r="H62" s="23" t="s">
        <v>8</v>
      </c>
      <c r="I62" s="2" t="s">
        <v>8</v>
      </c>
      <c r="J62" s="2" t="s">
        <v>8</v>
      </c>
      <c r="K62" s="2" t="s">
        <v>8</v>
      </c>
      <c r="L62" s="2" t="s">
        <v>8</v>
      </c>
      <c r="M62" s="2" t="s">
        <v>8</v>
      </c>
      <c r="N62" s="2" t="s">
        <v>8</v>
      </c>
      <c r="O62" s="23" t="s">
        <v>8</v>
      </c>
      <c r="P62" s="2" t="s">
        <v>8</v>
      </c>
      <c r="Q62" s="2" t="s">
        <v>8</v>
      </c>
      <c r="R62" s="2" t="s">
        <v>8</v>
      </c>
      <c r="S62" s="2" t="s">
        <v>8</v>
      </c>
      <c r="T62" s="2" t="s">
        <v>8</v>
      </c>
      <c r="U62" s="2" t="s">
        <v>8</v>
      </c>
      <c r="V62" s="23" t="s">
        <v>8</v>
      </c>
      <c r="W62" s="7" t="s">
        <v>8</v>
      </c>
      <c r="X62" s="7" t="s">
        <v>8</v>
      </c>
    </row>
    <row r="63" spans="1:24" ht="45" customHeight="1" x14ac:dyDescent="0.25">
      <c r="A63" t="str">
        <f t="shared" si="9"/>
        <v>Honkonen Pia-Mari Hannele</v>
      </c>
      <c r="B63" s="2" t="s">
        <v>8</v>
      </c>
      <c r="C63" s="2" t="s">
        <v>8</v>
      </c>
      <c r="D63" s="2" t="s">
        <v>8</v>
      </c>
      <c r="E63" s="2" t="s">
        <v>8</v>
      </c>
      <c r="F63" s="2" t="s">
        <v>8</v>
      </c>
      <c r="G63" s="2" t="s">
        <v>8</v>
      </c>
      <c r="H63" s="23" t="s">
        <v>8</v>
      </c>
      <c r="I63" s="2" t="s">
        <v>8</v>
      </c>
      <c r="J63" s="2" t="s">
        <v>8</v>
      </c>
      <c r="K63" s="2" t="s">
        <v>8</v>
      </c>
      <c r="L63" s="2" t="s">
        <v>8</v>
      </c>
      <c r="M63" s="2" t="s">
        <v>8</v>
      </c>
      <c r="N63" s="2" t="s">
        <v>8</v>
      </c>
      <c r="O63" s="23" t="s">
        <v>8</v>
      </c>
      <c r="P63" s="2" t="s">
        <v>8</v>
      </c>
      <c r="Q63" s="2" t="s">
        <v>8</v>
      </c>
      <c r="R63" s="2" t="s">
        <v>8</v>
      </c>
      <c r="S63" s="2" t="s">
        <v>8</v>
      </c>
      <c r="T63" s="2" t="s">
        <v>8</v>
      </c>
      <c r="U63" s="2" t="s">
        <v>8</v>
      </c>
      <c r="V63" s="23" t="s">
        <v>8</v>
      </c>
      <c r="W63" s="7" t="s">
        <v>8</v>
      </c>
      <c r="X63" s="7" t="s">
        <v>8</v>
      </c>
    </row>
    <row r="64" spans="1:24" ht="45" customHeight="1" x14ac:dyDescent="0.25">
      <c r="A64" t="str">
        <f t="shared" si="9"/>
        <v>Honkonen Pia-Mari Hannele</v>
      </c>
      <c r="B64" s="2" t="s">
        <v>8</v>
      </c>
      <c r="C64" s="2" t="s">
        <v>8</v>
      </c>
      <c r="D64" s="2" t="s">
        <v>8</v>
      </c>
      <c r="E64" s="2" t="s">
        <v>8</v>
      </c>
      <c r="F64" s="2" t="s">
        <v>8</v>
      </c>
      <c r="G64" s="2" t="s">
        <v>8</v>
      </c>
      <c r="H64" s="23" t="s">
        <v>8</v>
      </c>
      <c r="I64" s="2" t="s">
        <v>8</v>
      </c>
      <c r="J64" s="2" t="s">
        <v>8</v>
      </c>
      <c r="K64" s="2" t="s">
        <v>8</v>
      </c>
      <c r="L64" s="2" t="s">
        <v>8</v>
      </c>
      <c r="M64" s="2" t="s">
        <v>8</v>
      </c>
      <c r="N64" s="2" t="s">
        <v>8</v>
      </c>
      <c r="O64" s="23" t="s">
        <v>8</v>
      </c>
      <c r="P64" s="2" t="s">
        <v>8</v>
      </c>
      <c r="Q64" s="2" t="s">
        <v>8</v>
      </c>
      <c r="R64" s="2" t="s">
        <v>8</v>
      </c>
      <c r="S64" s="2" t="s">
        <v>8</v>
      </c>
      <c r="T64" s="2" t="s">
        <v>8</v>
      </c>
      <c r="U64" s="2" t="s">
        <v>8</v>
      </c>
      <c r="V64" s="23" t="s">
        <v>8</v>
      </c>
      <c r="W64" s="7" t="s">
        <v>8</v>
      </c>
      <c r="X64" s="7" t="s">
        <v>8</v>
      </c>
    </row>
    <row r="65" spans="1:24" ht="45" customHeight="1" x14ac:dyDescent="0.25">
      <c r="A65" t="s">
        <v>71</v>
      </c>
      <c r="B65" s="2" t="s">
        <v>22</v>
      </c>
      <c r="C65" s="2" t="s">
        <v>272</v>
      </c>
      <c r="D65" s="2" t="s">
        <v>273</v>
      </c>
      <c r="E65" s="2" t="s">
        <v>22</v>
      </c>
      <c r="F65" s="2" t="s">
        <v>72</v>
      </c>
      <c r="G65" s="2" t="s">
        <v>73</v>
      </c>
      <c r="H65" s="23" t="s">
        <v>73</v>
      </c>
      <c r="I65" s="2" t="s">
        <v>73</v>
      </c>
      <c r="J65" s="2" t="s">
        <v>22</v>
      </c>
      <c r="K65" s="2" t="s">
        <v>22</v>
      </c>
      <c r="L65" s="2" t="s">
        <v>274</v>
      </c>
      <c r="M65" s="2" t="s">
        <v>61</v>
      </c>
      <c r="N65" s="2" t="s">
        <v>33</v>
      </c>
      <c r="O65" s="23" t="s">
        <v>22</v>
      </c>
      <c r="P65" s="2" t="s">
        <v>72</v>
      </c>
      <c r="Q65" s="2" t="s">
        <v>73</v>
      </c>
      <c r="R65" s="2" t="s">
        <v>73</v>
      </c>
      <c r="S65" s="2" t="s">
        <v>73</v>
      </c>
      <c r="T65" s="2" t="s">
        <v>73</v>
      </c>
      <c r="U65" s="2" t="s">
        <v>22</v>
      </c>
      <c r="V65" s="23" t="s">
        <v>22</v>
      </c>
      <c r="W65" s="7">
        <v>21</v>
      </c>
      <c r="X65" s="7" t="s">
        <v>84</v>
      </c>
    </row>
    <row r="66" spans="1:24" ht="45" customHeight="1" x14ac:dyDescent="0.25">
      <c r="A66" t="str">
        <f t="shared" ref="A66:A70" si="10">A65</f>
        <v>Kymenvirta Sini Maria</v>
      </c>
      <c r="B66" s="2" t="s">
        <v>0</v>
      </c>
      <c r="C66" s="2" t="s">
        <v>0</v>
      </c>
      <c r="D66" s="2" t="s">
        <v>0</v>
      </c>
      <c r="E66" s="2" t="s">
        <v>0</v>
      </c>
      <c r="F66" s="2" t="s">
        <v>0</v>
      </c>
      <c r="G66" s="2" t="s">
        <v>72</v>
      </c>
      <c r="H66" s="23" t="s">
        <v>72</v>
      </c>
      <c r="I66" s="2" t="s">
        <v>0</v>
      </c>
      <c r="J66" s="2" t="s">
        <v>0</v>
      </c>
      <c r="K66" s="2" t="s">
        <v>0</v>
      </c>
      <c r="L66" s="2" t="s">
        <v>0</v>
      </c>
      <c r="M66" s="2" t="s">
        <v>0</v>
      </c>
      <c r="N66" s="2" t="s">
        <v>0</v>
      </c>
      <c r="O66" s="23" t="s">
        <v>0</v>
      </c>
      <c r="P66" s="2" t="s">
        <v>0</v>
      </c>
      <c r="Q66" s="2" t="s">
        <v>72</v>
      </c>
      <c r="R66" s="2" t="s">
        <v>72</v>
      </c>
      <c r="S66" s="2" t="s">
        <v>72</v>
      </c>
      <c r="T66" s="2" t="s">
        <v>0</v>
      </c>
      <c r="U66" s="2" t="s">
        <v>0</v>
      </c>
      <c r="V66" s="23" t="s">
        <v>0</v>
      </c>
      <c r="W66" s="7" t="s">
        <v>0</v>
      </c>
      <c r="X66" s="7" t="s">
        <v>8</v>
      </c>
    </row>
    <row r="67" spans="1:24" ht="45" customHeight="1" x14ac:dyDescent="0.25">
      <c r="A67" t="str">
        <f t="shared" si="10"/>
        <v>Kymenvirta Sini Maria</v>
      </c>
      <c r="B67" s="2" t="s">
        <v>8</v>
      </c>
      <c r="C67" s="2" t="s">
        <v>8</v>
      </c>
      <c r="D67" s="2" t="s">
        <v>8</v>
      </c>
      <c r="E67" s="2" t="s">
        <v>8</v>
      </c>
      <c r="F67" s="2" t="s">
        <v>8</v>
      </c>
      <c r="G67" s="2" t="s">
        <v>8</v>
      </c>
      <c r="H67" s="23" t="s">
        <v>8</v>
      </c>
      <c r="I67" s="2" t="s">
        <v>8</v>
      </c>
      <c r="J67" s="2" t="s">
        <v>8</v>
      </c>
      <c r="K67" s="2" t="s">
        <v>8</v>
      </c>
      <c r="L67" s="2" t="s">
        <v>8</v>
      </c>
      <c r="M67" s="2" t="s">
        <v>8</v>
      </c>
      <c r="N67" s="2" t="s">
        <v>8</v>
      </c>
      <c r="O67" s="23" t="s">
        <v>8</v>
      </c>
      <c r="P67" s="2" t="s">
        <v>8</v>
      </c>
      <c r="Q67" s="2" t="s">
        <v>8</v>
      </c>
      <c r="R67" s="2" t="s">
        <v>8</v>
      </c>
      <c r="S67" s="2" t="s">
        <v>8</v>
      </c>
      <c r="T67" s="2" t="s">
        <v>8</v>
      </c>
      <c r="U67" s="2" t="s">
        <v>8</v>
      </c>
      <c r="V67" s="23" t="s">
        <v>8</v>
      </c>
      <c r="W67" s="7" t="s">
        <v>8</v>
      </c>
      <c r="X67" s="7" t="s">
        <v>8</v>
      </c>
    </row>
    <row r="68" spans="1:24" ht="45" customHeight="1" x14ac:dyDescent="0.25">
      <c r="A68" t="str">
        <f t="shared" si="10"/>
        <v>Kymenvirta Sini Maria</v>
      </c>
      <c r="B68" s="2" t="s">
        <v>8</v>
      </c>
      <c r="C68" s="2" t="s">
        <v>8</v>
      </c>
      <c r="D68" s="2" t="s">
        <v>8</v>
      </c>
      <c r="E68" s="2" t="s">
        <v>8</v>
      </c>
      <c r="F68" s="2" t="s">
        <v>8</v>
      </c>
      <c r="G68" s="2" t="s">
        <v>8</v>
      </c>
      <c r="H68" s="23" t="s">
        <v>8</v>
      </c>
      <c r="I68" s="2" t="s">
        <v>8</v>
      </c>
      <c r="J68" s="2" t="s">
        <v>8</v>
      </c>
      <c r="K68" s="2" t="s">
        <v>8</v>
      </c>
      <c r="L68" s="2" t="s">
        <v>8</v>
      </c>
      <c r="M68" s="2" t="s">
        <v>8</v>
      </c>
      <c r="N68" s="2" t="s">
        <v>8</v>
      </c>
      <c r="O68" s="23" t="s">
        <v>8</v>
      </c>
      <c r="P68" s="2" t="s">
        <v>8</v>
      </c>
      <c r="Q68" s="2" t="s">
        <v>8</v>
      </c>
      <c r="R68" s="2" t="s">
        <v>8</v>
      </c>
      <c r="S68" s="2" t="s">
        <v>8</v>
      </c>
      <c r="T68" s="2" t="s">
        <v>8</v>
      </c>
      <c r="U68" s="2" t="s">
        <v>8</v>
      </c>
      <c r="V68" s="23" t="s">
        <v>8</v>
      </c>
      <c r="W68" s="7" t="s">
        <v>8</v>
      </c>
      <c r="X68" s="7" t="s">
        <v>8</v>
      </c>
    </row>
    <row r="69" spans="1:24" ht="45" customHeight="1" x14ac:dyDescent="0.25">
      <c r="A69" t="str">
        <f t="shared" si="10"/>
        <v>Kymenvirta Sini Maria</v>
      </c>
      <c r="B69" s="2" t="s">
        <v>8</v>
      </c>
      <c r="C69" s="2" t="s">
        <v>8</v>
      </c>
      <c r="D69" s="2" t="s">
        <v>8</v>
      </c>
      <c r="E69" s="2" t="s">
        <v>8</v>
      </c>
      <c r="F69" s="2" t="s">
        <v>8</v>
      </c>
      <c r="G69" s="2" t="s">
        <v>8</v>
      </c>
      <c r="H69" s="23" t="s">
        <v>8</v>
      </c>
      <c r="I69" s="2" t="s">
        <v>8</v>
      </c>
      <c r="J69" s="2" t="s">
        <v>8</v>
      </c>
      <c r="K69" s="2" t="s">
        <v>8</v>
      </c>
      <c r="L69" s="2" t="s">
        <v>8</v>
      </c>
      <c r="M69" s="2" t="s">
        <v>8</v>
      </c>
      <c r="N69" s="2" t="s">
        <v>8</v>
      </c>
      <c r="O69" s="23" t="s">
        <v>8</v>
      </c>
      <c r="P69" s="2" t="s">
        <v>8</v>
      </c>
      <c r="Q69" s="2" t="s">
        <v>8</v>
      </c>
      <c r="R69" s="2" t="s">
        <v>8</v>
      </c>
      <c r="S69" s="2" t="s">
        <v>8</v>
      </c>
      <c r="T69" s="2" t="s">
        <v>8</v>
      </c>
      <c r="U69" s="2" t="s">
        <v>8</v>
      </c>
      <c r="V69" s="23" t="s">
        <v>8</v>
      </c>
      <c r="W69" s="7" t="s">
        <v>8</v>
      </c>
      <c r="X69" s="7" t="s">
        <v>8</v>
      </c>
    </row>
    <row r="70" spans="1:24" ht="45" customHeight="1" x14ac:dyDescent="0.25">
      <c r="A70" t="str">
        <f t="shared" si="10"/>
        <v>Kymenvirta Sini Maria</v>
      </c>
      <c r="B70" s="2" t="s">
        <v>8</v>
      </c>
      <c r="C70" s="2" t="s">
        <v>8</v>
      </c>
      <c r="D70" s="2" t="s">
        <v>8</v>
      </c>
      <c r="E70" s="2" t="s">
        <v>8</v>
      </c>
      <c r="F70" s="2" t="s">
        <v>8</v>
      </c>
      <c r="G70" s="2" t="s">
        <v>8</v>
      </c>
      <c r="H70" s="23" t="s">
        <v>8</v>
      </c>
      <c r="I70" s="2" t="s">
        <v>8</v>
      </c>
      <c r="J70" s="2" t="s">
        <v>8</v>
      </c>
      <c r="K70" s="2" t="s">
        <v>8</v>
      </c>
      <c r="L70" s="2" t="s">
        <v>8</v>
      </c>
      <c r="M70" s="2" t="s">
        <v>8</v>
      </c>
      <c r="N70" s="2" t="s">
        <v>8</v>
      </c>
      <c r="O70" s="23" t="s">
        <v>8</v>
      </c>
      <c r="P70" s="2" t="s">
        <v>8</v>
      </c>
      <c r="Q70" s="2" t="s">
        <v>8</v>
      </c>
      <c r="R70" s="2" t="s">
        <v>8</v>
      </c>
      <c r="S70" s="2" t="s">
        <v>8</v>
      </c>
      <c r="T70" s="2" t="s">
        <v>8</v>
      </c>
      <c r="U70" s="2" t="s">
        <v>8</v>
      </c>
      <c r="V70" s="23" t="s">
        <v>8</v>
      </c>
      <c r="W70" s="7" t="s">
        <v>8</v>
      </c>
      <c r="X70" s="7" t="s">
        <v>8</v>
      </c>
    </row>
    <row r="71" spans="1:24" ht="45" customHeight="1" x14ac:dyDescent="0.25">
      <c r="A71" t="s">
        <v>49</v>
      </c>
      <c r="B71" s="2" t="s">
        <v>73</v>
      </c>
      <c r="C71" s="2" t="s">
        <v>22</v>
      </c>
      <c r="D71" s="2" t="s">
        <v>22</v>
      </c>
      <c r="E71" s="2" t="s">
        <v>275</v>
      </c>
      <c r="F71" s="2" t="s">
        <v>50</v>
      </c>
      <c r="G71" s="2" t="s">
        <v>33</v>
      </c>
      <c r="H71" s="23" t="s">
        <v>22</v>
      </c>
      <c r="I71" s="2" t="s">
        <v>72</v>
      </c>
      <c r="J71" s="2" t="s">
        <v>73</v>
      </c>
      <c r="K71" s="2" t="s">
        <v>73</v>
      </c>
      <c r="L71" s="2" t="s">
        <v>73</v>
      </c>
      <c r="M71" s="2" t="s">
        <v>73</v>
      </c>
      <c r="N71" s="2" t="s">
        <v>22</v>
      </c>
      <c r="O71" s="23" t="s">
        <v>22</v>
      </c>
      <c r="P71" s="2" t="s">
        <v>22</v>
      </c>
      <c r="Q71" s="2" t="s">
        <v>276</v>
      </c>
      <c r="R71" s="2" t="s">
        <v>277</v>
      </c>
      <c r="S71" s="2" t="s">
        <v>22</v>
      </c>
      <c r="T71" s="2" t="s">
        <v>72</v>
      </c>
      <c r="U71" s="2" t="s">
        <v>73</v>
      </c>
      <c r="V71" s="23" t="s">
        <v>73</v>
      </c>
      <c r="W71" s="7">
        <v>21</v>
      </c>
      <c r="X71" s="7" t="s">
        <v>84</v>
      </c>
    </row>
    <row r="72" spans="1:24" ht="45" customHeight="1" x14ac:dyDescent="0.25">
      <c r="A72" t="str">
        <f t="shared" ref="A72:A76" si="11">A71</f>
        <v>Viitanen Enni Heini Marik</v>
      </c>
      <c r="B72" s="2" t="s">
        <v>0</v>
      </c>
      <c r="C72" s="2" t="s">
        <v>0</v>
      </c>
      <c r="D72" s="2" t="s">
        <v>0</v>
      </c>
      <c r="E72" s="2" t="s">
        <v>0</v>
      </c>
      <c r="F72" s="2" t="s">
        <v>0</v>
      </c>
      <c r="G72" s="2" t="s">
        <v>0</v>
      </c>
      <c r="H72" s="23" t="s">
        <v>0</v>
      </c>
      <c r="I72" s="2" t="s">
        <v>0</v>
      </c>
      <c r="J72" s="2" t="s">
        <v>72</v>
      </c>
      <c r="K72" s="2" t="s">
        <v>72</v>
      </c>
      <c r="L72" s="2" t="s">
        <v>72</v>
      </c>
      <c r="M72" s="2" t="s">
        <v>0</v>
      </c>
      <c r="N72" s="2" t="s">
        <v>0</v>
      </c>
      <c r="O72" s="23" t="s">
        <v>0</v>
      </c>
      <c r="P72" s="2" t="s">
        <v>0</v>
      </c>
      <c r="Q72" s="2" t="s">
        <v>0</v>
      </c>
      <c r="R72" s="2" t="s">
        <v>0</v>
      </c>
      <c r="S72" s="2" t="s">
        <v>0</v>
      </c>
      <c r="T72" s="2" t="s">
        <v>0</v>
      </c>
      <c r="U72" s="2" t="s">
        <v>72</v>
      </c>
      <c r="V72" s="23" t="s">
        <v>72</v>
      </c>
      <c r="W72" s="7" t="s">
        <v>0</v>
      </c>
      <c r="X72" s="7" t="s">
        <v>8</v>
      </c>
    </row>
    <row r="73" spans="1:24" ht="45" customHeight="1" x14ac:dyDescent="0.25">
      <c r="A73" t="str">
        <f t="shared" si="11"/>
        <v>Viitanen Enni Heini Marik</v>
      </c>
      <c r="B73" s="2" t="s">
        <v>8</v>
      </c>
      <c r="C73" s="2" t="s">
        <v>8</v>
      </c>
      <c r="D73" s="2" t="s">
        <v>8</v>
      </c>
      <c r="E73" s="2" t="s">
        <v>8</v>
      </c>
      <c r="F73" s="2" t="s">
        <v>8</v>
      </c>
      <c r="G73" s="2" t="s">
        <v>8</v>
      </c>
      <c r="H73" s="23" t="s">
        <v>8</v>
      </c>
      <c r="I73" s="2" t="s">
        <v>8</v>
      </c>
      <c r="J73" s="2" t="s">
        <v>8</v>
      </c>
      <c r="K73" s="2" t="s">
        <v>8</v>
      </c>
      <c r="L73" s="2" t="s">
        <v>8</v>
      </c>
      <c r="M73" s="2" t="s">
        <v>8</v>
      </c>
      <c r="N73" s="2" t="s">
        <v>8</v>
      </c>
      <c r="O73" s="23" t="s">
        <v>8</v>
      </c>
      <c r="P73" s="2" t="s">
        <v>8</v>
      </c>
      <c r="Q73" s="2" t="s">
        <v>8</v>
      </c>
      <c r="R73" s="2" t="s">
        <v>8</v>
      </c>
      <c r="S73" s="2" t="s">
        <v>8</v>
      </c>
      <c r="T73" s="2" t="s">
        <v>8</v>
      </c>
      <c r="U73" s="2" t="s">
        <v>8</v>
      </c>
      <c r="V73" s="23" t="s">
        <v>8</v>
      </c>
      <c r="W73" s="7" t="s">
        <v>8</v>
      </c>
      <c r="X73" s="7" t="s">
        <v>8</v>
      </c>
    </row>
    <row r="74" spans="1:24" ht="45" customHeight="1" x14ac:dyDescent="0.25">
      <c r="A74" t="str">
        <f t="shared" si="11"/>
        <v>Viitanen Enni Heini Marik</v>
      </c>
      <c r="B74" s="2" t="s">
        <v>8</v>
      </c>
      <c r="C74" s="2" t="s">
        <v>8</v>
      </c>
      <c r="D74" s="2" t="s">
        <v>8</v>
      </c>
      <c r="E74" s="2" t="s">
        <v>8</v>
      </c>
      <c r="F74" s="2" t="s">
        <v>8</v>
      </c>
      <c r="G74" s="2" t="s">
        <v>8</v>
      </c>
      <c r="H74" s="23" t="s">
        <v>8</v>
      </c>
      <c r="I74" s="2" t="s">
        <v>8</v>
      </c>
      <c r="J74" s="2" t="s">
        <v>8</v>
      </c>
      <c r="K74" s="2" t="s">
        <v>8</v>
      </c>
      <c r="L74" s="2" t="s">
        <v>8</v>
      </c>
      <c r="M74" s="2" t="s">
        <v>8</v>
      </c>
      <c r="N74" s="2" t="s">
        <v>8</v>
      </c>
      <c r="O74" s="23" t="s">
        <v>8</v>
      </c>
      <c r="P74" s="2" t="s">
        <v>8</v>
      </c>
      <c r="Q74" s="2" t="s">
        <v>8</v>
      </c>
      <c r="R74" s="2" t="s">
        <v>8</v>
      </c>
      <c r="S74" s="2" t="s">
        <v>8</v>
      </c>
      <c r="T74" s="2" t="s">
        <v>8</v>
      </c>
      <c r="U74" s="2" t="s">
        <v>8</v>
      </c>
      <c r="V74" s="23" t="s">
        <v>8</v>
      </c>
      <c r="W74" s="7" t="s">
        <v>8</v>
      </c>
      <c r="X74" s="7" t="s">
        <v>8</v>
      </c>
    </row>
    <row r="75" spans="1:24" ht="45" customHeight="1" x14ac:dyDescent="0.25">
      <c r="A75" t="str">
        <f t="shared" si="11"/>
        <v>Viitanen Enni Heini Marik</v>
      </c>
      <c r="B75" s="2" t="s">
        <v>8</v>
      </c>
      <c r="C75" s="2" t="s">
        <v>8</v>
      </c>
      <c r="D75" s="2" t="s">
        <v>8</v>
      </c>
      <c r="E75" s="2" t="s">
        <v>8</v>
      </c>
      <c r="F75" s="2" t="s">
        <v>8</v>
      </c>
      <c r="G75" s="2" t="s">
        <v>8</v>
      </c>
      <c r="H75" s="23" t="s">
        <v>8</v>
      </c>
      <c r="I75" s="2" t="s">
        <v>8</v>
      </c>
      <c r="J75" s="2" t="s">
        <v>8</v>
      </c>
      <c r="K75" s="2" t="s">
        <v>8</v>
      </c>
      <c r="L75" s="2" t="s">
        <v>8</v>
      </c>
      <c r="M75" s="2" t="s">
        <v>8</v>
      </c>
      <c r="N75" s="2" t="s">
        <v>8</v>
      </c>
      <c r="O75" s="23" t="s">
        <v>8</v>
      </c>
      <c r="P75" s="2" t="s">
        <v>8</v>
      </c>
      <c r="Q75" s="2" t="s">
        <v>8</v>
      </c>
      <c r="R75" s="2" t="s">
        <v>8</v>
      </c>
      <c r="S75" s="2" t="s">
        <v>8</v>
      </c>
      <c r="T75" s="2" t="s">
        <v>8</v>
      </c>
      <c r="U75" s="2" t="s">
        <v>8</v>
      </c>
      <c r="V75" s="23" t="s">
        <v>8</v>
      </c>
      <c r="W75" s="7" t="s">
        <v>8</v>
      </c>
      <c r="X75" s="7" t="s">
        <v>8</v>
      </c>
    </row>
    <row r="76" spans="1:24" ht="45" customHeight="1" x14ac:dyDescent="0.25">
      <c r="A76" t="str">
        <f t="shared" si="11"/>
        <v>Viitanen Enni Heini Marik</v>
      </c>
      <c r="B76" s="2" t="s">
        <v>8</v>
      </c>
      <c r="C76" s="2" t="s">
        <v>8</v>
      </c>
      <c r="D76" s="2" t="s">
        <v>8</v>
      </c>
      <c r="E76" s="2" t="s">
        <v>8</v>
      </c>
      <c r="F76" s="2" t="s">
        <v>8</v>
      </c>
      <c r="G76" s="2" t="s">
        <v>8</v>
      </c>
      <c r="H76" s="23" t="s">
        <v>8</v>
      </c>
      <c r="I76" s="2" t="s">
        <v>8</v>
      </c>
      <c r="J76" s="2" t="s">
        <v>8</v>
      </c>
      <c r="K76" s="2" t="s">
        <v>8</v>
      </c>
      <c r="L76" s="2" t="s">
        <v>8</v>
      </c>
      <c r="M76" s="2" t="s">
        <v>8</v>
      </c>
      <c r="N76" s="2" t="s">
        <v>8</v>
      </c>
      <c r="O76" s="23" t="s">
        <v>8</v>
      </c>
      <c r="P76" s="2" t="s">
        <v>8</v>
      </c>
      <c r="Q76" s="2" t="s">
        <v>8</v>
      </c>
      <c r="R76" s="2" t="s">
        <v>8</v>
      </c>
      <c r="S76" s="2" t="s">
        <v>8</v>
      </c>
      <c r="T76" s="2" t="s">
        <v>8</v>
      </c>
      <c r="U76" s="2" t="s">
        <v>8</v>
      </c>
      <c r="V76" s="23" t="s">
        <v>8</v>
      </c>
      <c r="W76" s="7" t="s">
        <v>8</v>
      </c>
      <c r="X76" s="7" t="s">
        <v>8</v>
      </c>
    </row>
    <row r="77" spans="1:24" ht="45" customHeight="1" x14ac:dyDescent="0.25">
      <c r="A77" t="s">
        <v>78</v>
      </c>
      <c r="B77" s="2" t="s">
        <v>36</v>
      </c>
      <c r="C77" s="2" t="s">
        <v>247</v>
      </c>
      <c r="D77" s="2" t="s">
        <v>246</v>
      </c>
      <c r="E77" s="2" t="s">
        <v>246</v>
      </c>
      <c r="F77" s="2" t="s">
        <v>43</v>
      </c>
      <c r="G77" s="2" t="s">
        <v>22</v>
      </c>
      <c r="H77" s="23" t="s">
        <v>22</v>
      </c>
      <c r="I77" s="2" t="s">
        <v>43</v>
      </c>
      <c r="J77" s="2" t="s">
        <v>80</v>
      </c>
      <c r="K77" s="2" t="s">
        <v>80</v>
      </c>
      <c r="L77" s="2" t="s">
        <v>80</v>
      </c>
      <c r="M77" s="2" t="s">
        <v>36</v>
      </c>
      <c r="N77" s="2" t="s">
        <v>79</v>
      </c>
      <c r="O77" s="23" t="s">
        <v>79</v>
      </c>
      <c r="P77" s="2" t="s">
        <v>36</v>
      </c>
      <c r="Q77" s="2" t="s">
        <v>246</v>
      </c>
      <c r="R77" s="2" t="s">
        <v>246</v>
      </c>
      <c r="S77" s="2" t="s">
        <v>246</v>
      </c>
      <c r="T77" s="2" t="s">
        <v>36</v>
      </c>
      <c r="U77" s="2" t="s">
        <v>79</v>
      </c>
      <c r="V77" s="23" t="s">
        <v>79</v>
      </c>
      <c r="W77" s="7">
        <v>21</v>
      </c>
      <c r="X77" s="7" t="s">
        <v>84</v>
      </c>
    </row>
    <row r="78" spans="1:24" ht="45" customHeight="1" x14ac:dyDescent="0.25">
      <c r="A78" t="str">
        <f t="shared" ref="A78:A81" si="12">A77</f>
        <v>Vuorinen Riikka Annukka</v>
      </c>
      <c r="B78" s="2" t="s">
        <v>8</v>
      </c>
      <c r="C78" s="2" t="s">
        <v>8</v>
      </c>
      <c r="D78" s="2" t="s">
        <v>8</v>
      </c>
      <c r="E78" s="2" t="s">
        <v>8</v>
      </c>
      <c r="F78" s="2" t="s">
        <v>8</v>
      </c>
      <c r="G78" s="2" t="s">
        <v>8</v>
      </c>
      <c r="H78" s="23" t="s">
        <v>8</v>
      </c>
      <c r="I78" s="2" t="s">
        <v>8</v>
      </c>
      <c r="J78" s="2" t="s">
        <v>8</v>
      </c>
      <c r="K78" s="2" t="s">
        <v>8</v>
      </c>
      <c r="L78" s="2" t="s">
        <v>8</v>
      </c>
      <c r="M78" s="2" t="s">
        <v>8</v>
      </c>
      <c r="N78" s="2" t="s">
        <v>8</v>
      </c>
      <c r="O78" s="23" t="s">
        <v>8</v>
      </c>
      <c r="P78" s="2" t="s">
        <v>8</v>
      </c>
      <c r="Q78" s="2" t="s">
        <v>8</v>
      </c>
      <c r="R78" s="2" t="s">
        <v>8</v>
      </c>
      <c r="S78" s="2" t="s">
        <v>8</v>
      </c>
      <c r="T78" s="2" t="s">
        <v>8</v>
      </c>
      <c r="U78" s="2" t="s">
        <v>8</v>
      </c>
      <c r="V78" s="23" t="s">
        <v>8</v>
      </c>
      <c r="W78" s="7" t="s">
        <v>8</v>
      </c>
      <c r="X78" s="7" t="s">
        <v>8</v>
      </c>
    </row>
    <row r="79" spans="1:24" ht="45" customHeight="1" x14ac:dyDescent="0.25">
      <c r="A79" t="str">
        <f t="shared" si="12"/>
        <v>Vuorinen Riikka Annukka</v>
      </c>
      <c r="B79" s="2" t="s">
        <v>8</v>
      </c>
      <c r="C79" s="2" t="s">
        <v>8</v>
      </c>
      <c r="D79" s="2" t="s">
        <v>8</v>
      </c>
      <c r="E79" s="2" t="s">
        <v>8</v>
      </c>
      <c r="F79" s="2" t="s">
        <v>8</v>
      </c>
      <c r="G79" s="2" t="s">
        <v>8</v>
      </c>
      <c r="H79" s="23" t="s">
        <v>8</v>
      </c>
      <c r="I79" s="2" t="s">
        <v>8</v>
      </c>
      <c r="J79" s="2" t="s">
        <v>8</v>
      </c>
      <c r="K79" s="2" t="s">
        <v>8</v>
      </c>
      <c r="L79" s="2" t="s">
        <v>8</v>
      </c>
      <c r="M79" s="2" t="s">
        <v>8</v>
      </c>
      <c r="N79" s="2" t="s">
        <v>8</v>
      </c>
      <c r="O79" s="23" t="s">
        <v>8</v>
      </c>
      <c r="P79" s="2" t="s">
        <v>8</v>
      </c>
      <c r="Q79" s="2" t="s">
        <v>8</v>
      </c>
      <c r="R79" s="2" t="s">
        <v>8</v>
      </c>
      <c r="S79" s="2" t="s">
        <v>8</v>
      </c>
      <c r="T79" s="2" t="s">
        <v>8</v>
      </c>
      <c r="U79" s="2" t="s">
        <v>8</v>
      </c>
      <c r="V79" s="23" t="s">
        <v>8</v>
      </c>
      <c r="W79" s="7" t="s">
        <v>8</v>
      </c>
      <c r="X79" s="7" t="s">
        <v>8</v>
      </c>
    </row>
    <row r="80" spans="1:24" ht="45" customHeight="1" x14ac:dyDescent="0.25">
      <c r="A80" t="str">
        <f t="shared" si="12"/>
        <v>Vuorinen Riikka Annukka</v>
      </c>
      <c r="B80" s="2" t="s">
        <v>8</v>
      </c>
      <c r="C80" s="2" t="s">
        <v>8</v>
      </c>
      <c r="D80" s="2" t="s">
        <v>8</v>
      </c>
      <c r="E80" s="2" t="s">
        <v>8</v>
      </c>
      <c r="F80" s="2" t="s">
        <v>8</v>
      </c>
      <c r="G80" s="2" t="s">
        <v>8</v>
      </c>
      <c r="H80" s="23" t="s">
        <v>8</v>
      </c>
      <c r="I80" s="2" t="s">
        <v>8</v>
      </c>
      <c r="J80" s="2" t="s">
        <v>8</v>
      </c>
      <c r="K80" s="2" t="s">
        <v>8</v>
      </c>
      <c r="L80" s="2" t="s">
        <v>8</v>
      </c>
      <c r="M80" s="2" t="s">
        <v>8</v>
      </c>
      <c r="N80" s="2" t="s">
        <v>8</v>
      </c>
      <c r="O80" s="23" t="s">
        <v>8</v>
      </c>
      <c r="P80" s="2" t="s">
        <v>8</v>
      </c>
      <c r="Q80" s="2" t="s">
        <v>8</v>
      </c>
      <c r="R80" s="2" t="s">
        <v>8</v>
      </c>
      <c r="S80" s="2" t="s">
        <v>8</v>
      </c>
      <c r="T80" s="2" t="s">
        <v>8</v>
      </c>
      <c r="U80" s="2" t="s">
        <v>8</v>
      </c>
      <c r="V80" s="23" t="s">
        <v>8</v>
      </c>
      <c r="W80" s="7" t="s">
        <v>8</v>
      </c>
      <c r="X80" s="7" t="s">
        <v>8</v>
      </c>
    </row>
    <row r="81" spans="1:24" ht="45" customHeight="1" x14ac:dyDescent="0.25">
      <c r="A81" t="str">
        <f t="shared" si="12"/>
        <v>Vuorinen Riikka Annukka</v>
      </c>
      <c r="B81" s="2" t="s">
        <v>8</v>
      </c>
      <c r="C81" s="2" t="s">
        <v>8</v>
      </c>
      <c r="D81" s="2" t="s">
        <v>8</v>
      </c>
      <c r="E81" s="2" t="s">
        <v>8</v>
      </c>
      <c r="F81" s="2" t="s">
        <v>8</v>
      </c>
      <c r="G81" s="2" t="s">
        <v>8</v>
      </c>
      <c r="H81" s="23" t="s">
        <v>8</v>
      </c>
      <c r="I81" s="2" t="s">
        <v>8</v>
      </c>
      <c r="J81" s="2" t="s">
        <v>8</v>
      </c>
      <c r="K81" s="2" t="s">
        <v>8</v>
      </c>
      <c r="L81" s="2" t="s">
        <v>8</v>
      </c>
      <c r="M81" s="2" t="s">
        <v>8</v>
      </c>
      <c r="N81" s="2" t="s">
        <v>8</v>
      </c>
      <c r="O81" s="23" t="s">
        <v>8</v>
      </c>
      <c r="P81" s="2" t="s">
        <v>8</v>
      </c>
      <c r="Q81" s="2" t="s">
        <v>8</v>
      </c>
      <c r="R81" s="2" t="s">
        <v>8</v>
      </c>
      <c r="S81" s="2" t="s">
        <v>8</v>
      </c>
      <c r="T81" s="2" t="s">
        <v>8</v>
      </c>
      <c r="U81" s="2" t="s">
        <v>8</v>
      </c>
      <c r="V81" s="23" t="s">
        <v>8</v>
      </c>
      <c r="W81" s="7" t="s">
        <v>8</v>
      </c>
      <c r="X81" s="7" t="s">
        <v>8</v>
      </c>
    </row>
    <row r="82" spans="1:24" ht="45" customHeight="1" x14ac:dyDescent="0.25">
      <c r="A82" t="s">
        <v>28</v>
      </c>
      <c r="B82" s="2" t="s">
        <v>36</v>
      </c>
      <c r="C82" s="2" t="s">
        <v>298</v>
      </c>
      <c r="D82" s="2" t="s">
        <v>278</v>
      </c>
      <c r="E82" s="2" t="s">
        <v>299</v>
      </c>
      <c r="F82" s="2" t="s">
        <v>36</v>
      </c>
      <c r="G82" s="2" t="s">
        <v>79</v>
      </c>
      <c r="H82" s="23" t="s">
        <v>79</v>
      </c>
      <c r="I82" s="2" t="s">
        <v>36</v>
      </c>
      <c r="J82" s="2" t="s">
        <v>50</v>
      </c>
      <c r="K82" s="2" t="s">
        <v>50</v>
      </c>
      <c r="L82" s="2" t="s">
        <v>50</v>
      </c>
      <c r="M82" s="2" t="s">
        <v>43</v>
      </c>
      <c r="N82" s="2" t="s">
        <v>22</v>
      </c>
      <c r="O82" s="23" t="s">
        <v>22</v>
      </c>
      <c r="P82" s="2" t="s">
        <v>23</v>
      </c>
      <c r="Q82" s="2" t="s">
        <v>23</v>
      </c>
      <c r="R82" s="2" t="s">
        <v>23</v>
      </c>
      <c r="S82" s="2" t="s">
        <v>23</v>
      </c>
      <c r="T82" s="2" t="s">
        <v>23</v>
      </c>
      <c r="U82" s="2" t="s">
        <v>23</v>
      </c>
      <c r="V82" s="23" t="s">
        <v>23</v>
      </c>
      <c r="W82" s="7">
        <v>14</v>
      </c>
      <c r="X82" s="7" t="s">
        <v>25</v>
      </c>
    </row>
    <row r="83" spans="1:24" ht="45" customHeight="1" x14ac:dyDescent="0.25">
      <c r="A83" t="str">
        <f t="shared" ref="A83:A88" si="13">A82</f>
        <v>Järvinen Piia Riikka Iren</v>
      </c>
      <c r="B83" s="2" t="s">
        <v>0</v>
      </c>
      <c r="C83" s="2" t="s">
        <v>0</v>
      </c>
      <c r="D83" s="2" t="s">
        <v>245</v>
      </c>
      <c r="E83" s="2" t="s">
        <v>0</v>
      </c>
      <c r="F83" s="2" t="s">
        <v>0</v>
      </c>
      <c r="G83" s="2" t="s">
        <v>0</v>
      </c>
      <c r="H83" s="23" t="s">
        <v>0</v>
      </c>
      <c r="I83" s="2" t="s">
        <v>0</v>
      </c>
      <c r="J83" s="2" t="s">
        <v>0</v>
      </c>
      <c r="K83" s="2" t="s">
        <v>0</v>
      </c>
      <c r="L83" s="2" t="s">
        <v>0</v>
      </c>
      <c r="M83" s="2" t="s">
        <v>0</v>
      </c>
      <c r="N83" s="2" t="s">
        <v>0</v>
      </c>
      <c r="O83" s="23" t="s">
        <v>0</v>
      </c>
      <c r="P83" s="2" t="s">
        <v>0</v>
      </c>
      <c r="Q83" s="2" t="s">
        <v>0</v>
      </c>
      <c r="R83" s="2" t="s">
        <v>0</v>
      </c>
      <c r="S83" s="2" t="s">
        <v>0</v>
      </c>
      <c r="T83" s="2" t="s">
        <v>0</v>
      </c>
      <c r="U83" s="2" t="s">
        <v>0</v>
      </c>
      <c r="V83" s="23" t="s">
        <v>0</v>
      </c>
      <c r="W83" s="7" t="s">
        <v>0</v>
      </c>
      <c r="X83" s="7" t="s">
        <v>8</v>
      </c>
    </row>
    <row r="84" spans="1:24" ht="45" customHeight="1" x14ac:dyDescent="0.25">
      <c r="A84" t="str">
        <f t="shared" si="13"/>
        <v>Järvinen Piia Riikka Iren</v>
      </c>
      <c r="B84" s="2" t="s">
        <v>0</v>
      </c>
      <c r="C84" s="2" t="s">
        <v>0</v>
      </c>
      <c r="D84" s="2" t="s">
        <v>300</v>
      </c>
      <c r="E84" s="2" t="s">
        <v>0</v>
      </c>
      <c r="F84" s="2" t="s">
        <v>0</v>
      </c>
      <c r="G84" s="2" t="s">
        <v>0</v>
      </c>
      <c r="H84" s="23" t="s">
        <v>0</v>
      </c>
      <c r="I84" s="2" t="s">
        <v>0</v>
      </c>
      <c r="J84" s="2" t="s">
        <v>0</v>
      </c>
      <c r="K84" s="2" t="s">
        <v>0</v>
      </c>
      <c r="L84" s="2" t="s">
        <v>0</v>
      </c>
      <c r="M84" s="2" t="s">
        <v>0</v>
      </c>
      <c r="N84" s="2" t="s">
        <v>0</v>
      </c>
      <c r="O84" s="23" t="s">
        <v>0</v>
      </c>
      <c r="P84" s="2" t="s">
        <v>0</v>
      </c>
      <c r="Q84" s="2" t="s">
        <v>0</v>
      </c>
      <c r="R84" s="2" t="s">
        <v>0</v>
      </c>
      <c r="S84" s="2" t="s">
        <v>0</v>
      </c>
      <c r="T84" s="2" t="s">
        <v>0</v>
      </c>
      <c r="U84" s="2" t="s">
        <v>0</v>
      </c>
      <c r="V84" s="23" t="s">
        <v>0</v>
      </c>
      <c r="W84" s="7" t="s">
        <v>0</v>
      </c>
      <c r="X84" s="7" t="s">
        <v>8</v>
      </c>
    </row>
    <row r="85" spans="1:24" ht="45" customHeight="1" x14ac:dyDescent="0.25">
      <c r="A85" t="str">
        <f t="shared" si="13"/>
        <v>Järvinen Piia Riikka Iren</v>
      </c>
      <c r="B85" s="2" t="s">
        <v>8</v>
      </c>
      <c r="C85" s="2" t="s">
        <v>8</v>
      </c>
      <c r="D85" s="2" t="s">
        <v>8</v>
      </c>
      <c r="E85" s="2" t="s">
        <v>8</v>
      </c>
      <c r="F85" s="2" t="s">
        <v>8</v>
      </c>
      <c r="G85" s="2" t="s">
        <v>8</v>
      </c>
      <c r="H85" s="23" t="s">
        <v>8</v>
      </c>
      <c r="I85" s="2" t="s">
        <v>8</v>
      </c>
      <c r="J85" s="2" t="s">
        <v>8</v>
      </c>
      <c r="K85" s="2" t="s">
        <v>8</v>
      </c>
      <c r="L85" s="2" t="s">
        <v>8</v>
      </c>
      <c r="M85" s="2" t="s">
        <v>8</v>
      </c>
      <c r="N85" s="2" t="s">
        <v>8</v>
      </c>
      <c r="O85" s="23" t="s">
        <v>8</v>
      </c>
      <c r="P85" s="2" t="s">
        <v>8</v>
      </c>
      <c r="Q85" s="2" t="s">
        <v>8</v>
      </c>
      <c r="R85" s="2" t="s">
        <v>8</v>
      </c>
      <c r="S85" s="2" t="s">
        <v>8</v>
      </c>
      <c r="T85" s="2" t="s">
        <v>8</v>
      </c>
      <c r="U85" s="2" t="s">
        <v>8</v>
      </c>
      <c r="V85" s="23" t="s">
        <v>8</v>
      </c>
      <c r="W85" s="7" t="s">
        <v>8</v>
      </c>
      <c r="X85" s="7" t="s">
        <v>8</v>
      </c>
    </row>
    <row r="86" spans="1:24" ht="45" customHeight="1" x14ac:dyDescent="0.25">
      <c r="A86" t="str">
        <f t="shared" si="13"/>
        <v>Järvinen Piia Riikka Iren</v>
      </c>
      <c r="B86" s="2" t="s">
        <v>8</v>
      </c>
      <c r="C86" s="2" t="s">
        <v>8</v>
      </c>
      <c r="D86" s="2" t="s">
        <v>8</v>
      </c>
      <c r="E86" s="2" t="s">
        <v>8</v>
      </c>
      <c r="F86" s="2" t="s">
        <v>8</v>
      </c>
      <c r="G86" s="2" t="s">
        <v>8</v>
      </c>
      <c r="H86" s="23" t="s">
        <v>8</v>
      </c>
      <c r="I86" s="2" t="s">
        <v>8</v>
      </c>
      <c r="J86" s="2" t="s">
        <v>8</v>
      </c>
      <c r="K86" s="2" t="s">
        <v>8</v>
      </c>
      <c r="L86" s="2" t="s">
        <v>8</v>
      </c>
      <c r="M86" s="2" t="s">
        <v>8</v>
      </c>
      <c r="N86" s="2" t="s">
        <v>8</v>
      </c>
      <c r="O86" s="23" t="s">
        <v>8</v>
      </c>
      <c r="P86" s="2" t="s">
        <v>8</v>
      </c>
      <c r="Q86" s="2" t="s">
        <v>8</v>
      </c>
      <c r="R86" s="2" t="s">
        <v>8</v>
      </c>
      <c r="S86" s="2" t="s">
        <v>8</v>
      </c>
      <c r="T86" s="2" t="s">
        <v>8</v>
      </c>
      <c r="U86" s="2" t="s">
        <v>8</v>
      </c>
      <c r="V86" s="23" t="s">
        <v>8</v>
      </c>
      <c r="W86" s="7" t="s">
        <v>8</v>
      </c>
      <c r="X86" s="7" t="s">
        <v>8</v>
      </c>
    </row>
    <row r="87" spans="1:24" ht="45" customHeight="1" x14ac:dyDescent="0.25">
      <c r="A87" t="str">
        <f t="shared" si="13"/>
        <v>Järvinen Piia Riikka Iren</v>
      </c>
      <c r="B87" s="2" t="s">
        <v>8</v>
      </c>
      <c r="C87" s="2" t="s">
        <v>8</v>
      </c>
      <c r="D87" s="2" t="s">
        <v>8</v>
      </c>
      <c r="E87" s="2" t="s">
        <v>8</v>
      </c>
      <c r="F87" s="2" t="s">
        <v>8</v>
      </c>
      <c r="G87" s="2" t="s">
        <v>8</v>
      </c>
      <c r="H87" s="23" t="s">
        <v>8</v>
      </c>
      <c r="I87" s="2" t="s">
        <v>8</v>
      </c>
      <c r="J87" s="2" t="s">
        <v>8</v>
      </c>
      <c r="K87" s="2" t="s">
        <v>8</v>
      </c>
      <c r="L87" s="2" t="s">
        <v>8</v>
      </c>
      <c r="M87" s="2" t="s">
        <v>8</v>
      </c>
      <c r="N87" s="2" t="s">
        <v>8</v>
      </c>
      <c r="O87" s="23" t="s">
        <v>8</v>
      </c>
      <c r="P87" s="2" t="s">
        <v>8</v>
      </c>
      <c r="Q87" s="2" t="s">
        <v>8</v>
      </c>
      <c r="R87" s="2" t="s">
        <v>8</v>
      </c>
      <c r="S87" s="2" t="s">
        <v>8</v>
      </c>
      <c r="T87" s="2" t="s">
        <v>8</v>
      </c>
      <c r="U87" s="2" t="s">
        <v>8</v>
      </c>
      <c r="V87" s="23" t="s">
        <v>8</v>
      </c>
      <c r="W87" s="7" t="s">
        <v>8</v>
      </c>
      <c r="X87" s="7" t="s">
        <v>8</v>
      </c>
    </row>
    <row r="88" spans="1:24" ht="45" customHeight="1" x14ac:dyDescent="0.25">
      <c r="A88" t="str">
        <f t="shared" si="13"/>
        <v>Järvinen Piia Riikka Iren</v>
      </c>
      <c r="B88" s="2" t="s">
        <v>8</v>
      </c>
      <c r="C88" s="2" t="s">
        <v>8</v>
      </c>
      <c r="D88" s="2" t="s">
        <v>8</v>
      </c>
      <c r="E88" s="2" t="s">
        <v>8</v>
      </c>
      <c r="F88" s="2" t="s">
        <v>8</v>
      </c>
      <c r="G88" s="2" t="s">
        <v>8</v>
      </c>
      <c r="H88" s="23" t="s">
        <v>8</v>
      </c>
      <c r="I88" s="2" t="s">
        <v>8</v>
      </c>
      <c r="J88" s="2" t="s">
        <v>8</v>
      </c>
      <c r="K88" s="2" t="s">
        <v>8</v>
      </c>
      <c r="L88" s="2" t="s">
        <v>8</v>
      </c>
      <c r="M88" s="2" t="s">
        <v>8</v>
      </c>
      <c r="N88" s="2" t="s">
        <v>8</v>
      </c>
      <c r="O88" s="23" t="s">
        <v>8</v>
      </c>
      <c r="P88" s="2" t="s">
        <v>8</v>
      </c>
      <c r="Q88" s="2" t="s">
        <v>8</v>
      </c>
      <c r="R88" s="2" t="s">
        <v>8</v>
      </c>
      <c r="S88" s="2" t="s">
        <v>8</v>
      </c>
      <c r="T88" s="2" t="s">
        <v>8</v>
      </c>
      <c r="U88" s="2" t="s">
        <v>8</v>
      </c>
      <c r="V88" s="23" t="s">
        <v>8</v>
      </c>
      <c r="W88" s="7" t="s">
        <v>8</v>
      </c>
      <c r="X88" s="7" t="s">
        <v>8</v>
      </c>
    </row>
    <row r="89" spans="1:24" ht="45" customHeight="1" x14ac:dyDescent="0.25">
      <c r="A89" t="s">
        <v>81</v>
      </c>
      <c r="B89" s="2" t="s">
        <v>76</v>
      </c>
      <c r="C89" s="2" t="s">
        <v>44</v>
      </c>
      <c r="D89" s="2" t="s">
        <v>44</v>
      </c>
      <c r="E89" s="2" t="s">
        <v>44</v>
      </c>
      <c r="F89" s="2" t="s">
        <v>82</v>
      </c>
      <c r="G89" s="2" t="s">
        <v>22</v>
      </c>
      <c r="H89" s="23" t="s">
        <v>22</v>
      </c>
      <c r="I89" s="2" t="s">
        <v>82</v>
      </c>
      <c r="J89" s="2" t="s">
        <v>44</v>
      </c>
      <c r="K89" s="2" t="s">
        <v>44</v>
      </c>
      <c r="L89" s="2" t="s">
        <v>44</v>
      </c>
      <c r="M89" s="2" t="s">
        <v>76</v>
      </c>
      <c r="N89" s="2" t="s">
        <v>22</v>
      </c>
      <c r="O89" s="23" t="s">
        <v>22</v>
      </c>
      <c r="P89" s="2" t="s">
        <v>23</v>
      </c>
      <c r="Q89" s="2" t="s">
        <v>23</v>
      </c>
      <c r="R89" s="2" t="s">
        <v>23</v>
      </c>
      <c r="S89" s="2" t="s">
        <v>23</v>
      </c>
      <c r="T89" s="2" t="s">
        <v>23</v>
      </c>
      <c r="U89" s="2" t="s">
        <v>23</v>
      </c>
      <c r="V89" s="23" t="s">
        <v>23</v>
      </c>
      <c r="W89" s="7">
        <v>14</v>
      </c>
      <c r="X89" s="7" t="s">
        <v>25</v>
      </c>
    </row>
    <row r="90" spans="1:24" ht="45" customHeight="1" x14ac:dyDescent="0.25">
      <c r="A90" t="str">
        <f t="shared" ref="A90:A93" si="14">A89</f>
        <v>Räty Merja Irene</v>
      </c>
      <c r="B90" s="2" t="s">
        <v>8</v>
      </c>
      <c r="C90" s="2" t="s">
        <v>8</v>
      </c>
      <c r="D90" s="2" t="s">
        <v>8</v>
      </c>
      <c r="E90" s="2" t="s">
        <v>8</v>
      </c>
      <c r="F90" s="2" t="s">
        <v>8</v>
      </c>
      <c r="G90" s="2" t="s">
        <v>8</v>
      </c>
      <c r="H90" s="23" t="s">
        <v>8</v>
      </c>
      <c r="I90" s="2" t="s">
        <v>8</v>
      </c>
      <c r="J90" s="2" t="s">
        <v>8</v>
      </c>
      <c r="K90" s="2" t="s">
        <v>8</v>
      </c>
      <c r="L90" s="2" t="s">
        <v>8</v>
      </c>
      <c r="M90" s="2" t="s">
        <v>8</v>
      </c>
      <c r="N90" s="2" t="s">
        <v>8</v>
      </c>
      <c r="O90" s="23" t="s">
        <v>8</v>
      </c>
      <c r="P90" s="2" t="s">
        <v>8</v>
      </c>
      <c r="Q90" s="2" t="s">
        <v>8</v>
      </c>
      <c r="R90" s="2" t="s">
        <v>8</v>
      </c>
      <c r="S90" s="2" t="s">
        <v>8</v>
      </c>
      <c r="T90" s="2" t="s">
        <v>8</v>
      </c>
      <c r="U90" s="2" t="s">
        <v>8</v>
      </c>
      <c r="V90" s="23" t="s">
        <v>8</v>
      </c>
      <c r="W90" s="7" t="s">
        <v>8</v>
      </c>
      <c r="X90" s="7" t="s">
        <v>8</v>
      </c>
    </row>
    <row r="91" spans="1:24" ht="45" customHeight="1" x14ac:dyDescent="0.25">
      <c r="A91" t="str">
        <f t="shared" si="14"/>
        <v>Räty Merja Irene</v>
      </c>
      <c r="B91" s="2" t="s">
        <v>8</v>
      </c>
      <c r="C91" s="2" t="s">
        <v>8</v>
      </c>
      <c r="D91" s="2" t="s">
        <v>8</v>
      </c>
      <c r="E91" s="2" t="s">
        <v>8</v>
      </c>
      <c r="F91" s="2" t="s">
        <v>8</v>
      </c>
      <c r="G91" s="2" t="s">
        <v>8</v>
      </c>
      <c r="H91" s="23" t="s">
        <v>8</v>
      </c>
      <c r="I91" s="2" t="s">
        <v>8</v>
      </c>
      <c r="J91" s="2" t="s">
        <v>8</v>
      </c>
      <c r="K91" s="2" t="s">
        <v>8</v>
      </c>
      <c r="L91" s="2" t="s">
        <v>8</v>
      </c>
      <c r="M91" s="2" t="s">
        <v>8</v>
      </c>
      <c r="N91" s="2" t="s">
        <v>8</v>
      </c>
      <c r="O91" s="23" t="s">
        <v>8</v>
      </c>
      <c r="P91" s="2" t="s">
        <v>8</v>
      </c>
      <c r="Q91" s="2" t="s">
        <v>8</v>
      </c>
      <c r="R91" s="2" t="s">
        <v>8</v>
      </c>
      <c r="S91" s="2" t="s">
        <v>8</v>
      </c>
      <c r="T91" s="2" t="s">
        <v>8</v>
      </c>
      <c r="U91" s="2" t="s">
        <v>8</v>
      </c>
      <c r="V91" s="23" t="s">
        <v>8</v>
      </c>
      <c r="W91" s="7" t="s">
        <v>8</v>
      </c>
      <c r="X91" s="7" t="s">
        <v>8</v>
      </c>
    </row>
    <row r="92" spans="1:24" ht="45" customHeight="1" x14ac:dyDescent="0.25">
      <c r="A92" t="str">
        <f t="shared" si="14"/>
        <v>Räty Merja Irene</v>
      </c>
      <c r="B92" s="2" t="s">
        <v>8</v>
      </c>
      <c r="C92" s="2" t="s">
        <v>8</v>
      </c>
      <c r="D92" s="2" t="s">
        <v>8</v>
      </c>
      <c r="E92" s="2" t="s">
        <v>8</v>
      </c>
      <c r="F92" s="2" t="s">
        <v>8</v>
      </c>
      <c r="G92" s="2" t="s">
        <v>8</v>
      </c>
      <c r="H92" s="23" t="s">
        <v>8</v>
      </c>
      <c r="I92" s="2" t="s">
        <v>8</v>
      </c>
      <c r="J92" s="2" t="s">
        <v>8</v>
      </c>
      <c r="K92" s="2" t="s">
        <v>8</v>
      </c>
      <c r="L92" s="2" t="s">
        <v>8</v>
      </c>
      <c r="M92" s="2" t="s">
        <v>8</v>
      </c>
      <c r="N92" s="2" t="s">
        <v>8</v>
      </c>
      <c r="O92" s="23" t="s">
        <v>8</v>
      </c>
      <c r="P92" s="2" t="s">
        <v>8</v>
      </c>
      <c r="Q92" s="2" t="s">
        <v>8</v>
      </c>
      <c r="R92" s="2" t="s">
        <v>8</v>
      </c>
      <c r="S92" s="2" t="s">
        <v>8</v>
      </c>
      <c r="T92" s="2" t="s">
        <v>8</v>
      </c>
      <c r="U92" s="2" t="s">
        <v>8</v>
      </c>
      <c r="V92" s="23" t="s">
        <v>8</v>
      </c>
      <c r="W92" s="7" t="s">
        <v>8</v>
      </c>
      <c r="X92" s="7" t="s">
        <v>8</v>
      </c>
    </row>
    <row r="93" spans="1:24" ht="45" customHeight="1" x14ac:dyDescent="0.25">
      <c r="A93" t="str">
        <f t="shared" si="14"/>
        <v>Räty Merja Irene</v>
      </c>
      <c r="B93" s="2" t="s">
        <v>8</v>
      </c>
      <c r="C93" s="2" t="s">
        <v>8</v>
      </c>
      <c r="D93" s="2" t="s">
        <v>8</v>
      </c>
      <c r="E93" s="2" t="s">
        <v>8</v>
      </c>
      <c r="F93" s="2" t="s">
        <v>8</v>
      </c>
      <c r="G93" s="2" t="s">
        <v>8</v>
      </c>
      <c r="H93" s="23" t="s">
        <v>8</v>
      </c>
      <c r="I93" s="2" t="s">
        <v>8</v>
      </c>
      <c r="J93" s="2" t="s">
        <v>8</v>
      </c>
      <c r="K93" s="2" t="s">
        <v>8</v>
      </c>
      <c r="L93" s="2" t="s">
        <v>8</v>
      </c>
      <c r="M93" s="2" t="s">
        <v>8</v>
      </c>
      <c r="N93" s="2" t="s">
        <v>8</v>
      </c>
      <c r="O93" s="23" t="s">
        <v>8</v>
      </c>
      <c r="P93" s="2" t="s">
        <v>8</v>
      </c>
      <c r="Q93" s="2" t="s">
        <v>8</v>
      </c>
      <c r="R93" s="2" t="s">
        <v>8</v>
      </c>
      <c r="S93" s="2" t="s">
        <v>8</v>
      </c>
      <c r="T93" s="2" t="s">
        <v>8</v>
      </c>
      <c r="U93" s="2" t="s">
        <v>8</v>
      </c>
      <c r="V93" s="23" t="s">
        <v>8</v>
      </c>
      <c r="W93" s="7" t="s">
        <v>8</v>
      </c>
      <c r="X93" s="7" t="s">
        <v>8</v>
      </c>
    </row>
    <row r="94" spans="1:24" ht="45" customHeight="1" x14ac:dyDescent="0.25">
      <c r="A94" t="s">
        <v>70</v>
      </c>
      <c r="B94" s="2" t="s">
        <v>23</v>
      </c>
      <c r="C94" s="2" t="s">
        <v>23</v>
      </c>
      <c r="D94" s="2" t="s">
        <v>23</v>
      </c>
      <c r="E94" s="2" t="s">
        <v>23</v>
      </c>
      <c r="F94" s="2" t="s">
        <v>23</v>
      </c>
      <c r="G94" s="2" t="s">
        <v>23</v>
      </c>
      <c r="H94" s="23" t="s">
        <v>23</v>
      </c>
      <c r="I94" s="2" t="s">
        <v>23</v>
      </c>
      <c r="J94" s="2" t="s">
        <v>23</v>
      </c>
      <c r="K94" s="2" t="s">
        <v>23</v>
      </c>
      <c r="L94" s="2" t="s">
        <v>23</v>
      </c>
      <c r="M94" s="2" t="s">
        <v>23</v>
      </c>
      <c r="N94" s="2" t="s">
        <v>23</v>
      </c>
      <c r="O94" s="23" t="s">
        <v>23</v>
      </c>
      <c r="P94" s="2" t="s">
        <v>23</v>
      </c>
      <c r="Q94" s="2" t="s">
        <v>23</v>
      </c>
      <c r="R94" s="2" t="s">
        <v>23</v>
      </c>
      <c r="S94" s="2" t="s">
        <v>23</v>
      </c>
      <c r="T94" s="2" t="s">
        <v>23</v>
      </c>
      <c r="U94" s="2" t="s">
        <v>23</v>
      </c>
      <c r="V94" s="23" t="s">
        <v>23</v>
      </c>
      <c r="W94" s="7">
        <v>0</v>
      </c>
      <c r="X94" s="7" t="s">
        <v>52</v>
      </c>
    </row>
    <row r="95" spans="1:24" ht="45" customHeight="1" x14ac:dyDescent="0.25">
      <c r="A95" t="str">
        <f t="shared" ref="A95:A98" si="15">A94</f>
        <v>Puurula Roosa Sofia</v>
      </c>
      <c r="B95" s="2" t="s">
        <v>8</v>
      </c>
      <c r="C95" s="2" t="s">
        <v>8</v>
      </c>
      <c r="D95" s="2" t="s">
        <v>8</v>
      </c>
      <c r="E95" s="2" t="s">
        <v>8</v>
      </c>
      <c r="F95" s="2" t="s">
        <v>8</v>
      </c>
      <c r="G95" s="2" t="s">
        <v>8</v>
      </c>
      <c r="H95" s="23" t="s">
        <v>8</v>
      </c>
      <c r="I95" s="2" t="s">
        <v>8</v>
      </c>
      <c r="J95" s="2" t="s">
        <v>8</v>
      </c>
      <c r="K95" s="2" t="s">
        <v>8</v>
      </c>
      <c r="L95" s="2" t="s">
        <v>8</v>
      </c>
      <c r="M95" s="2" t="s">
        <v>8</v>
      </c>
      <c r="N95" s="2" t="s">
        <v>8</v>
      </c>
      <c r="O95" s="23" t="s">
        <v>8</v>
      </c>
      <c r="P95" s="2" t="s">
        <v>8</v>
      </c>
      <c r="Q95" s="2" t="s">
        <v>8</v>
      </c>
      <c r="R95" s="2" t="s">
        <v>8</v>
      </c>
      <c r="S95" s="2" t="s">
        <v>8</v>
      </c>
      <c r="T95" s="2" t="s">
        <v>8</v>
      </c>
      <c r="U95" s="2" t="s">
        <v>8</v>
      </c>
      <c r="V95" s="23" t="s">
        <v>8</v>
      </c>
      <c r="W95" s="7" t="s">
        <v>8</v>
      </c>
      <c r="X95" s="7" t="s">
        <v>8</v>
      </c>
    </row>
    <row r="96" spans="1:24" ht="45" customHeight="1" x14ac:dyDescent="0.25">
      <c r="A96" t="str">
        <f t="shared" si="15"/>
        <v>Puurula Roosa Sofia</v>
      </c>
      <c r="B96" s="2" t="s">
        <v>8</v>
      </c>
      <c r="C96" s="2" t="s">
        <v>8</v>
      </c>
      <c r="D96" s="2" t="s">
        <v>8</v>
      </c>
      <c r="E96" s="2" t="s">
        <v>8</v>
      </c>
      <c r="F96" s="2" t="s">
        <v>8</v>
      </c>
      <c r="G96" s="2" t="s">
        <v>8</v>
      </c>
      <c r="H96" s="23" t="s">
        <v>8</v>
      </c>
      <c r="I96" s="2" t="s">
        <v>8</v>
      </c>
      <c r="J96" s="2" t="s">
        <v>8</v>
      </c>
      <c r="K96" s="2" t="s">
        <v>8</v>
      </c>
      <c r="L96" s="2" t="s">
        <v>8</v>
      </c>
      <c r="M96" s="2" t="s">
        <v>8</v>
      </c>
      <c r="N96" s="2" t="s">
        <v>8</v>
      </c>
      <c r="O96" s="23" t="s">
        <v>8</v>
      </c>
      <c r="P96" s="2" t="s">
        <v>8</v>
      </c>
      <c r="Q96" s="2" t="s">
        <v>8</v>
      </c>
      <c r="R96" s="2" t="s">
        <v>8</v>
      </c>
      <c r="S96" s="2" t="s">
        <v>8</v>
      </c>
      <c r="T96" s="2" t="s">
        <v>8</v>
      </c>
      <c r="U96" s="2" t="s">
        <v>8</v>
      </c>
      <c r="V96" s="23" t="s">
        <v>8</v>
      </c>
      <c r="W96" s="7" t="s">
        <v>8</v>
      </c>
      <c r="X96" s="7" t="s">
        <v>8</v>
      </c>
    </row>
    <row r="97" spans="1:24" ht="45" customHeight="1" x14ac:dyDescent="0.25">
      <c r="A97" t="str">
        <f t="shared" si="15"/>
        <v>Puurula Roosa Sofia</v>
      </c>
      <c r="B97" s="2" t="s">
        <v>8</v>
      </c>
      <c r="C97" s="2" t="s">
        <v>8</v>
      </c>
      <c r="D97" s="2" t="s">
        <v>8</v>
      </c>
      <c r="E97" s="2" t="s">
        <v>8</v>
      </c>
      <c r="F97" s="2" t="s">
        <v>8</v>
      </c>
      <c r="G97" s="2" t="s">
        <v>8</v>
      </c>
      <c r="H97" s="23" t="s">
        <v>8</v>
      </c>
      <c r="I97" s="2" t="s">
        <v>8</v>
      </c>
      <c r="J97" s="2" t="s">
        <v>8</v>
      </c>
      <c r="K97" s="2" t="s">
        <v>8</v>
      </c>
      <c r="L97" s="2" t="s">
        <v>8</v>
      </c>
      <c r="M97" s="2" t="s">
        <v>8</v>
      </c>
      <c r="N97" s="2" t="s">
        <v>8</v>
      </c>
      <c r="O97" s="23" t="s">
        <v>8</v>
      </c>
      <c r="P97" s="2" t="s">
        <v>8</v>
      </c>
      <c r="Q97" s="2" t="s">
        <v>8</v>
      </c>
      <c r="R97" s="2" t="s">
        <v>8</v>
      </c>
      <c r="S97" s="2" t="s">
        <v>8</v>
      </c>
      <c r="T97" s="2" t="s">
        <v>8</v>
      </c>
      <c r="U97" s="2" t="s">
        <v>8</v>
      </c>
      <c r="V97" s="23" t="s">
        <v>8</v>
      </c>
      <c r="W97" s="7" t="s">
        <v>8</v>
      </c>
      <c r="X97" s="7" t="s">
        <v>8</v>
      </c>
    </row>
    <row r="98" spans="1:24" ht="45" customHeight="1" x14ac:dyDescent="0.25">
      <c r="A98" t="str">
        <f t="shared" si="15"/>
        <v>Puurula Roosa Sofia</v>
      </c>
      <c r="B98" s="2" t="s">
        <v>8</v>
      </c>
      <c r="C98" s="2" t="s">
        <v>8</v>
      </c>
      <c r="D98" s="2" t="s">
        <v>8</v>
      </c>
      <c r="E98" s="2" t="s">
        <v>8</v>
      </c>
      <c r="F98" s="2" t="s">
        <v>8</v>
      </c>
      <c r="G98" s="2" t="s">
        <v>8</v>
      </c>
      <c r="H98" s="23" t="s">
        <v>8</v>
      </c>
      <c r="I98" s="2" t="s">
        <v>8</v>
      </c>
      <c r="J98" s="2" t="s">
        <v>8</v>
      </c>
      <c r="K98" s="2" t="s">
        <v>8</v>
      </c>
      <c r="L98" s="2" t="s">
        <v>8</v>
      </c>
      <c r="M98" s="2" t="s">
        <v>8</v>
      </c>
      <c r="N98" s="2" t="s">
        <v>8</v>
      </c>
      <c r="O98" s="23" t="s">
        <v>8</v>
      </c>
      <c r="P98" s="2" t="s">
        <v>8</v>
      </c>
      <c r="Q98" s="2" t="s">
        <v>8</v>
      </c>
      <c r="R98" s="2" t="s">
        <v>8</v>
      </c>
      <c r="S98" s="2" t="s">
        <v>8</v>
      </c>
      <c r="T98" s="2" t="s">
        <v>8</v>
      </c>
      <c r="U98" s="2" t="s">
        <v>8</v>
      </c>
      <c r="V98" s="23" t="s">
        <v>8</v>
      </c>
      <c r="W98" s="7" t="s">
        <v>8</v>
      </c>
      <c r="X98" s="7" t="s">
        <v>8</v>
      </c>
    </row>
    <row r="99" spans="1:24" ht="45" customHeight="1" x14ac:dyDescent="0.25">
      <c r="A99" t="s">
        <v>282</v>
      </c>
      <c r="B99" s="2" t="s">
        <v>37</v>
      </c>
      <c r="C99" s="2" t="s">
        <v>37</v>
      </c>
      <c r="D99" s="2" t="s">
        <v>0</v>
      </c>
      <c r="E99" s="2" t="s">
        <v>22</v>
      </c>
      <c r="F99" s="2" t="s">
        <v>279</v>
      </c>
      <c r="G99" s="2" t="s">
        <v>279</v>
      </c>
      <c r="H99" s="23" t="s">
        <v>22</v>
      </c>
      <c r="I99" s="2" t="s">
        <v>37</v>
      </c>
      <c r="J99" s="2" t="s">
        <v>37</v>
      </c>
      <c r="K99" s="2" t="s">
        <v>0</v>
      </c>
      <c r="L99" s="2" t="s">
        <v>37</v>
      </c>
      <c r="M99" s="2" t="s">
        <v>280</v>
      </c>
      <c r="N99" s="2" t="s">
        <v>280</v>
      </c>
      <c r="O99" s="23" t="s">
        <v>280</v>
      </c>
      <c r="P99" s="2" t="s">
        <v>280</v>
      </c>
      <c r="Q99" s="2" t="s">
        <v>280</v>
      </c>
      <c r="R99" s="2" t="s">
        <v>280</v>
      </c>
      <c r="S99" s="2" t="s">
        <v>280</v>
      </c>
      <c r="T99" s="2" t="s">
        <v>280</v>
      </c>
      <c r="U99" s="2" t="s">
        <v>0</v>
      </c>
      <c r="V99" s="23" t="s">
        <v>280</v>
      </c>
      <c r="W99" s="7">
        <v>12</v>
      </c>
      <c r="X99" s="7" t="s">
        <v>281</v>
      </c>
    </row>
    <row r="100" spans="1:24" x14ac:dyDescent="0.25">
      <c r="A100" t="str">
        <f t="shared" ref="A100:A163" si="16">A99</f>
        <v>Saine Maria CAmila</v>
      </c>
      <c r="B100" s="2" t="s">
        <v>8</v>
      </c>
      <c r="C100" s="2" t="s">
        <v>8</v>
      </c>
      <c r="D100" s="2" t="s">
        <v>8</v>
      </c>
      <c r="E100" s="2" t="s">
        <v>8</v>
      </c>
      <c r="F100" s="2" t="s">
        <v>8</v>
      </c>
      <c r="G100" s="2" t="s">
        <v>8</v>
      </c>
      <c r="H100" s="2" t="s">
        <v>8</v>
      </c>
      <c r="I100" s="2" t="s">
        <v>8</v>
      </c>
      <c r="J100" s="2" t="s">
        <v>8</v>
      </c>
      <c r="K100" s="2" t="s">
        <v>8</v>
      </c>
      <c r="L100" s="2" t="s">
        <v>8</v>
      </c>
      <c r="M100" s="2" t="s">
        <v>8</v>
      </c>
      <c r="N100" s="2" t="s">
        <v>8</v>
      </c>
      <c r="O100" s="2" t="s">
        <v>8</v>
      </c>
      <c r="P100" s="2" t="s">
        <v>8</v>
      </c>
      <c r="Q100" s="2" t="s">
        <v>8</v>
      </c>
      <c r="R100" s="2" t="s">
        <v>8</v>
      </c>
      <c r="S100" s="2" t="s">
        <v>8</v>
      </c>
      <c r="T100" s="2" t="s">
        <v>8</v>
      </c>
      <c r="U100" s="2" t="s">
        <v>8</v>
      </c>
      <c r="V100" s="2" t="s">
        <v>8</v>
      </c>
      <c r="W100" s="7" t="s">
        <v>8</v>
      </c>
      <c r="X100" s="7" t="s">
        <v>8</v>
      </c>
    </row>
    <row r="101" spans="1:24" x14ac:dyDescent="0.25">
      <c r="A101" t="str">
        <f t="shared" si="16"/>
        <v>Saine Maria CAmila</v>
      </c>
      <c r="B101" s="2" t="s">
        <v>8</v>
      </c>
      <c r="C101" s="2" t="s">
        <v>8</v>
      </c>
      <c r="D101" s="2" t="s">
        <v>8</v>
      </c>
      <c r="E101" s="2" t="s">
        <v>8</v>
      </c>
      <c r="F101" s="2" t="s">
        <v>8</v>
      </c>
      <c r="G101" s="2" t="s">
        <v>8</v>
      </c>
      <c r="H101" s="2" t="s">
        <v>8</v>
      </c>
      <c r="I101" s="2" t="s">
        <v>8</v>
      </c>
      <c r="J101" s="2" t="s">
        <v>8</v>
      </c>
      <c r="K101" s="2" t="s">
        <v>8</v>
      </c>
      <c r="L101" s="2" t="s">
        <v>8</v>
      </c>
      <c r="M101" s="2" t="s">
        <v>8</v>
      </c>
      <c r="N101" s="2" t="s">
        <v>8</v>
      </c>
      <c r="O101" s="2" t="s">
        <v>8</v>
      </c>
      <c r="P101" s="2" t="s">
        <v>8</v>
      </c>
      <c r="Q101" s="2" t="s">
        <v>8</v>
      </c>
      <c r="R101" s="2" t="s">
        <v>8</v>
      </c>
      <c r="S101" s="2" t="s">
        <v>8</v>
      </c>
      <c r="T101" s="2" t="s">
        <v>8</v>
      </c>
      <c r="U101" s="2" t="s">
        <v>8</v>
      </c>
      <c r="V101" s="2" t="s">
        <v>8</v>
      </c>
      <c r="W101" s="7" t="s">
        <v>8</v>
      </c>
      <c r="X101" s="7" t="s">
        <v>8</v>
      </c>
    </row>
    <row r="102" spans="1:24" x14ac:dyDescent="0.25">
      <c r="A102" t="str">
        <f t="shared" si="16"/>
        <v>Saine Maria CAmila</v>
      </c>
      <c r="B102" s="2" t="s">
        <v>8</v>
      </c>
      <c r="C102" s="2" t="s">
        <v>8</v>
      </c>
      <c r="D102" s="2" t="s">
        <v>8</v>
      </c>
      <c r="E102" s="2" t="s">
        <v>8</v>
      </c>
      <c r="F102" s="2" t="s">
        <v>8</v>
      </c>
      <c r="G102" s="2" t="s">
        <v>8</v>
      </c>
      <c r="H102" s="2" t="s">
        <v>8</v>
      </c>
      <c r="I102" s="2" t="s">
        <v>8</v>
      </c>
      <c r="J102" s="2" t="s">
        <v>8</v>
      </c>
      <c r="K102" s="2" t="s">
        <v>8</v>
      </c>
      <c r="L102" s="2" t="s">
        <v>8</v>
      </c>
      <c r="M102" s="2" t="s">
        <v>8</v>
      </c>
      <c r="N102" s="2" t="s">
        <v>8</v>
      </c>
      <c r="O102" s="2" t="s">
        <v>8</v>
      </c>
      <c r="P102" s="2" t="s">
        <v>8</v>
      </c>
      <c r="Q102" s="2" t="s">
        <v>8</v>
      </c>
      <c r="R102" s="2" t="s">
        <v>8</v>
      </c>
      <c r="S102" s="2" t="s">
        <v>8</v>
      </c>
      <c r="T102" s="2" t="s">
        <v>8</v>
      </c>
      <c r="U102" s="2" t="s">
        <v>8</v>
      </c>
      <c r="V102" s="2" t="s">
        <v>8</v>
      </c>
      <c r="W102" s="7" t="s">
        <v>8</v>
      </c>
      <c r="X102" s="7" t="s">
        <v>8</v>
      </c>
    </row>
    <row r="103" spans="1:24" x14ac:dyDescent="0.25">
      <c r="A103" t="str">
        <f t="shared" si="16"/>
        <v>Saine Maria CAmila</v>
      </c>
      <c r="B103" s="2" t="s">
        <v>8</v>
      </c>
      <c r="C103" s="2" t="s">
        <v>8</v>
      </c>
      <c r="D103" s="2" t="s">
        <v>8</v>
      </c>
      <c r="E103" s="2" t="s">
        <v>8</v>
      </c>
      <c r="F103" s="2" t="s">
        <v>8</v>
      </c>
      <c r="G103" s="2" t="s">
        <v>8</v>
      </c>
      <c r="H103" s="2" t="s">
        <v>8</v>
      </c>
      <c r="I103" s="2" t="s">
        <v>8</v>
      </c>
      <c r="J103" s="2" t="s">
        <v>8</v>
      </c>
      <c r="K103" s="2" t="s">
        <v>8</v>
      </c>
      <c r="L103" s="2" t="s">
        <v>8</v>
      </c>
      <c r="M103" s="2" t="s">
        <v>8</v>
      </c>
      <c r="N103" s="2" t="s">
        <v>8</v>
      </c>
      <c r="O103" s="2" t="s">
        <v>8</v>
      </c>
      <c r="P103" s="2" t="s">
        <v>8</v>
      </c>
      <c r="Q103" s="2" t="s">
        <v>8</v>
      </c>
      <c r="R103" s="2" t="s">
        <v>8</v>
      </c>
      <c r="S103" s="2" t="s">
        <v>8</v>
      </c>
      <c r="T103" s="2" t="s">
        <v>8</v>
      </c>
      <c r="U103" s="2" t="s">
        <v>8</v>
      </c>
      <c r="V103" s="2" t="s">
        <v>8</v>
      </c>
      <c r="W103" s="7" t="s">
        <v>8</v>
      </c>
      <c r="X103" s="7" t="s">
        <v>8</v>
      </c>
    </row>
    <row r="104" spans="1:24" x14ac:dyDescent="0.25">
      <c r="A104" t="str">
        <f t="shared" si="16"/>
        <v>Saine Maria CAmila</v>
      </c>
      <c r="B104" s="2" t="s">
        <v>8</v>
      </c>
      <c r="C104" s="2" t="s">
        <v>8</v>
      </c>
      <c r="D104" s="2" t="s">
        <v>8</v>
      </c>
      <c r="E104" s="2" t="s">
        <v>8</v>
      </c>
      <c r="F104" s="2" t="s">
        <v>8</v>
      </c>
      <c r="G104" s="2" t="s">
        <v>8</v>
      </c>
      <c r="H104" s="2" t="s">
        <v>8</v>
      </c>
      <c r="I104" s="2" t="s">
        <v>8</v>
      </c>
      <c r="J104" s="2" t="s">
        <v>8</v>
      </c>
      <c r="K104" s="2" t="s">
        <v>8</v>
      </c>
      <c r="L104" s="2" t="s">
        <v>8</v>
      </c>
      <c r="M104" s="2" t="s">
        <v>8</v>
      </c>
      <c r="N104" s="2" t="s">
        <v>8</v>
      </c>
      <c r="O104" s="2" t="s">
        <v>8</v>
      </c>
      <c r="P104" s="2" t="s">
        <v>8</v>
      </c>
      <c r="Q104" s="2" t="s">
        <v>8</v>
      </c>
      <c r="R104" s="2" t="s">
        <v>8</v>
      </c>
      <c r="S104" s="2" t="s">
        <v>8</v>
      </c>
      <c r="T104" s="2" t="s">
        <v>8</v>
      </c>
      <c r="U104" s="2" t="s">
        <v>8</v>
      </c>
      <c r="V104" s="2" t="s">
        <v>8</v>
      </c>
      <c r="W104" s="7" t="s">
        <v>8</v>
      </c>
      <c r="X104" s="7" t="s">
        <v>8</v>
      </c>
    </row>
    <row r="105" spans="1:24" x14ac:dyDescent="0.25">
      <c r="A105" t="str">
        <f t="shared" si="16"/>
        <v>Saine Maria CAmila</v>
      </c>
      <c r="B105" s="2" t="s">
        <v>8</v>
      </c>
      <c r="C105" s="2" t="s">
        <v>8</v>
      </c>
      <c r="D105" s="2" t="s">
        <v>8</v>
      </c>
      <c r="E105" s="2" t="s">
        <v>8</v>
      </c>
      <c r="F105" s="2" t="s">
        <v>8</v>
      </c>
      <c r="G105" s="2" t="s">
        <v>8</v>
      </c>
      <c r="H105" s="2" t="s">
        <v>8</v>
      </c>
      <c r="I105" s="2" t="s">
        <v>8</v>
      </c>
      <c r="J105" s="2" t="s">
        <v>8</v>
      </c>
      <c r="K105" s="2" t="s">
        <v>8</v>
      </c>
      <c r="L105" s="2" t="s">
        <v>8</v>
      </c>
      <c r="M105" s="2" t="s">
        <v>8</v>
      </c>
      <c r="N105" s="2" t="s">
        <v>8</v>
      </c>
      <c r="O105" s="2" t="s">
        <v>8</v>
      </c>
      <c r="P105" s="2" t="s">
        <v>8</v>
      </c>
      <c r="Q105" s="2" t="s">
        <v>8</v>
      </c>
      <c r="R105" s="2" t="s">
        <v>8</v>
      </c>
      <c r="S105" s="2" t="s">
        <v>8</v>
      </c>
      <c r="T105" s="2" t="s">
        <v>8</v>
      </c>
      <c r="U105" s="2" t="s">
        <v>8</v>
      </c>
      <c r="V105" s="2" t="s">
        <v>8</v>
      </c>
      <c r="W105" s="7" t="s">
        <v>8</v>
      </c>
      <c r="X105" s="7" t="s">
        <v>8</v>
      </c>
    </row>
    <row r="106" spans="1:24" x14ac:dyDescent="0.25">
      <c r="A106" t="str">
        <f t="shared" si="16"/>
        <v>Saine Maria CAmila</v>
      </c>
      <c r="B106" s="2" t="s">
        <v>8</v>
      </c>
      <c r="C106" s="2" t="s">
        <v>8</v>
      </c>
      <c r="D106" s="2" t="s">
        <v>8</v>
      </c>
      <c r="E106" s="2" t="s">
        <v>8</v>
      </c>
      <c r="F106" s="2" t="s">
        <v>8</v>
      </c>
      <c r="G106" s="2" t="s">
        <v>8</v>
      </c>
      <c r="H106" s="2" t="s">
        <v>8</v>
      </c>
      <c r="I106" s="2" t="s">
        <v>8</v>
      </c>
      <c r="J106" s="2" t="s">
        <v>8</v>
      </c>
      <c r="K106" s="2" t="s">
        <v>8</v>
      </c>
      <c r="L106" s="2" t="s">
        <v>8</v>
      </c>
      <c r="M106" s="2" t="s">
        <v>8</v>
      </c>
      <c r="N106" s="2" t="s">
        <v>8</v>
      </c>
      <c r="O106" s="2" t="s">
        <v>8</v>
      </c>
      <c r="P106" s="2" t="s">
        <v>8</v>
      </c>
      <c r="Q106" s="2" t="s">
        <v>8</v>
      </c>
      <c r="R106" s="2" t="s">
        <v>8</v>
      </c>
      <c r="S106" s="2" t="s">
        <v>8</v>
      </c>
      <c r="T106" s="2" t="s">
        <v>8</v>
      </c>
      <c r="U106" s="2" t="s">
        <v>8</v>
      </c>
      <c r="V106" s="2" t="s">
        <v>8</v>
      </c>
      <c r="W106" s="7" t="s">
        <v>8</v>
      </c>
      <c r="X106" s="7" t="s">
        <v>8</v>
      </c>
    </row>
    <row r="107" spans="1:24" x14ac:dyDescent="0.25">
      <c r="A107" t="str">
        <f t="shared" si="16"/>
        <v>Saine Maria CAmila</v>
      </c>
      <c r="B107" s="2" t="s">
        <v>8</v>
      </c>
      <c r="C107" s="2" t="s">
        <v>8</v>
      </c>
      <c r="D107" s="2" t="s">
        <v>8</v>
      </c>
      <c r="E107" s="2" t="s">
        <v>8</v>
      </c>
      <c r="F107" s="2" t="s">
        <v>8</v>
      </c>
      <c r="G107" s="2" t="s">
        <v>8</v>
      </c>
      <c r="H107" s="2" t="s">
        <v>8</v>
      </c>
      <c r="I107" s="2" t="s">
        <v>8</v>
      </c>
      <c r="J107" s="2" t="s">
        <v>8</v>
      </c>
      <c r="K107" s="2" t="s">
        <v>8</v>
      </c>
      <c r="L107" s="2" t="s">
        <v>8</v>
      </c>
      <c r="M107" s="2" t="s">
        <v>8</v>
      </c>
      <c r="N107" s="2" t="s">
        <v>8</v>
      </c>
      <c r="O107" s="2" t="s">
        <v>8</v>
      </c>
      <c r="P107" s="2" t="s">
        <v>8</v>
      </c>
      <c r="Q107" s="2" t="s">
        <v>8</v>
      </c>
      <c r="R107" s="2" t="s">
        <v>8</v>
      </c>
      <c r="S107" s="2" t="s">
        <v>8</v>
      </c>
      <c r="T107" s="2" t="s">
        <v>8</v>
      </c>
      <c r="U107" s="2" t="s">
        <v>8</v>
      </c>
      <c r="V107" s="2" t="s">
        <v>8</v>
      </c>
      <c r="W107" s="7" t="s">
        <v>8</v>
      </c>
      <c r="X107" s="7" t="s">
        <v>8</v>
      </c>
    </row>
    <row r="108" spans="1:24" x14ac:dyDescent="0.25">
      <c r="A108" t="str">
        <f t="shared" si="16"/>
        <v>Saine Maria CAmila</v>
      </c>
      <c r="B108" s="2" t="s">
        <v>8</v>
      </c>
      <c r="C108" s="2" t="s">
        <v>8</v>
      </c>
      <c r="D108" s="2" t="s">
        <v>8</v>
      </c>
      <c r="E108" s="2" t="s">
        <v>8</v>
      </c>
      <c r="F108" s="2" t="s">
        <v>8</v>
      </c>
      <c r="G108" s="2" t="s">
        <v>8</v>
      </c>
      <c r="H108" s="2" t="s">
        <v>8</v>
      </c>
      <c r="I108" s="2" t="s">
        <v>8</v>
      </c>
      <c r="J108" s="2" t="s">
        <v>8</v>
      </c>
      <c r="K108" s="2" t="s">
        <v>8</v>
      </c>
      <c r="L108" s="2" t="s">
        <v>8</v>
      </c>
      <c r="M108" s="2" t="s">
        <v>8</v>
      </c>
      <c r="N108" s="2" t="s">
        <v>8</v>
      </c>
      <c r="O108" s="2" t="s">
        <v>8</v>
      </c>
      <c r="P108" s="2" t="s">
        <v>8</v>
      </c>
      <c r="Q108" s="2" t="s">
        <v>8</v>
      </c>
      <c r="R108" s="2" t="s">
        <v>8</v>
      </c>
      <c r="S108" s="2" t="s">
        <v>8</v>
      </c>
      <c r="T108" s="2" t="s">
        <v>8</v>
      </c>
      <c r="U108" s="2" t="s">
        <v>8</v>
      </c>
      <c r="V108" s="2" t="s">
        <v>8</v>
      </c>
      <c r="W108" s="7" t="s">
        <v>8</v>
      </c>
      <c r="X108" s="7" t="s">
        <v>8</v>
      </c>
    </row>
    <row r="109" spans="1:24" x14ac:dyDescent="0.25">
      <c r="A109" t="str">
        <f t="shared" si="16"/>
        <v>Saine Maria CAmila</v>
      </c>
      <c r="B109" s="2" t="s">
        <v>8</v>
      </c>
      <c r="C109" s="2" t="s">
        <v>8</v>
      </c>
      <c r="D109" s="2" t="s">
        <v>8</v>
      </c>
      <c r="E109" s="2" t="s">
        <v>8</v>
      </c>
      <c r="F109" s="2" t="s">
        <v>8</v>
      </c>
      <c r="G109" s="2" t="s">
        <v>8</v>
      </c>
      <c r="H109" s="2" t="s">
        <v>8</v>
      </c>
      <c r="I109" s="2" t="s">
        <v>8</v>
      </c>
      <c r="J109" s="2" t="s">
        <v>8</v>
      </c>
      <c r="K109" s="2" t="s">
        <v>8</v>
      </c>
      <c r="L109" s="2" t="s">
        <v>8</v>
      </c>
      <c r="M109" s="2" t="s">
        <v>8</v>
      </c>
      <c r="N109" s="2" t="s">
        <v>8</v>
      </c>
      <c r="O109" s="2" t="s">
        <v>8</v>
      </c>
      <c r="P109" s="2" t="s">
        <v>8</v>
      </c>
      <c r="Q109" s="2" t="s">
        <v>8</v>
      </c>
      <c r="R109" s="2" t="s">
        <v>8</v>
      </c>
      <c r="S109" s="2" t="s">
        <v>8</v>
      </c>
      <c r="T109" s="2" t="s">
        <v>8</v>
      </c>
      <c r="U109" s="2" t="s">
        <v>8</v>
      </c>
      <c r="V109" s="2" t="s">
        <v>8</v>
      </c>
      <c r="W109" s="7" t="s">
        <v>8</v>
      </c>
      <c r="X109" s="7" t="s">
        <v>8</v>
      </c>
    </row>
    <row r="110" spans="1:24" x14ac:dyDescent="0.25">
      <c r="A110" t="str">
        <f t="shared" si="16"/>
        <v>Saine Maria CAmila</v>
      </c>
      <c r="B110" s="2" t="s">
        <v>8</v>
      </c>
      <c r="C110" s="2" t="s">
        <v>8</v>
      </c>
      <c r="D110" s="2" t="s">
        <v>8</v>
      </c>
      <c r="E110" s="2" t="s">
        <v>8</v>
      </c>
      <c r="F110" s="2" t="s">
        <v>8</v>
      </c>
      <c r="G110" s="2" t="s">
        <v>8</v>
      </c>
      <c r="H110" s="2" t="s">
        <v>8</v>
      </c>
      <c r="I110" s="2" t="s">
        <v>8</v>
      </c>
      <c r="J110" s="2" t="s">
        <v>8</v>
      </c>
      <c r="K110" s="2" t="s">
        <v>8</v>
      </c>
      <c r="L110" s="2" t="s">
        <v>8</v>
      </c>
      <c r="M110" s="2" t="s">
        <v>8</v>
      </c>
      <c r="N110" s="2" t="s">
        <v>8</v>
      </c>
      <c r="O110" s="2" t="s">
        <v>8</v>
      </c>
      <c r="P110" s="2" t="s">
        <v>8</v>
      </c>
      <c r="Q110" s="2" t="s">
        <v>8</v>
      </c>
      <c r="R110" s="2" t="s">
        <v>8</v>
      </c>
      <c r="S110" s="2" t="s">
        <v>8</v>
      </c>
      <c r="T110" s="2" t="s">
        <v>8</v>
      </c>
      <c r="U110" s="2" t="s">
        <v>8</v>
      </c>
      <c r="V110" s="2" t="s">
        <v>8</v>
      </c>
      <c r="W110" s="7" t="s">
        <v>8</v>
      </c>
      <c r="X110" s="7" t="s">
        <v>8</v>
      </c>
    </row>
    <row r="111" spans="1:24" x14ac:dyDescent="0.25">
      <c r="A111" t="str">
        <f t="shared" si="16"/>
        <v>Saine Maria CAmila</v>
      </c>
      <c r="B111" s="2" t="s">
        <v>8</v>
      </c>
      <c r="C111" s="2" t="s">
        <v>8</v>
      </c>
      <c r="D111" s="2" t="s">
        <v>8</v>
      </c>
      <c r="E111" s="2" t="s">
        <v>8</v>
      </c>
      <c r="F111" s="2" t="s">
        <v>8</v>
      </c>
      <c r="G111" s="2" t="s">
        <v>8</v>
      </c>
      <c r="H111" s="2" t="s">
        <v>8</v>
      </c>
      <c r="I111" s="2" t="s">
        <v>8</v>
      </c>
      <c r="J111" s="2" t="s">
        <v>8</v>
      </c>
      <c r="K111" s="2" t="s">
        <v>8</v>
      </c>
      <c r="L111" s="2" t="s">
        <v>8</v>
      </c>
      <c r="M111" s="2" t="s">
        <v>8</v>
      </c>
      <c r="N111" s="2" t="s">
        <v>8</v>
      </c>
      <c r="O111" s="2" t="s">
        <v>8</v>
      </c>
      <c r="P111" s="2" t="s">
        <v>8</v>
      </c>
      <c r="Q111" s="2" t="s">
        <v>8</v>
      </c>
      <c r="R111" s="2" t="s">
        <v>8</v>
      </c>
      <c r="S111" s="2" t="s">
        <v>8</v>
      </c>
      <c r="T111" s="2" t="s">
        <v>8</v>
      </c>
      <c r="U111" s="2" t="s">
        <v>8</v>
      </c>
      <c r="V111" s="2" t="s">
        <v>8</v>
      </c>
      <c r="W111" s="7" t="s">
        <v>8</v>
      </c>
      <c r="X111" s="7" t="s">
        <v>8</v>
      </c>
    </row>
    <row r="112" spans="1:24" x14ac:dyDescent="0.25">
      <c r="A112" t="str">
        <f t="shared" si="16"/>
        <v>Saine Maria CAmila</v>
      </c>
      <c r="B112" s="2" t="s">
        <v>8</v>
      </c>
      <c r="C112" s="2" t="s">
        <v>8</v>
      </c>
      <c r="D112" s="2" t="s">
        <v>8</v>
      </c>
      <c r="E112" s="2" t="s">
        <v>8</v>
      </c>
      <c r="F112" s="2" t="s">
        <v>8</v>
      </c>
      <c r="G112" s="2" t="s">
        <v>8</v>
      </c>
      <c r="H112" s="2" t="s">
        <v>8</v>
      </c>
      <c r="I112" s="2" t="s">
        <v>8</v>
      </c>
      <c r="J112" s="2" t="s">
        <v>8</v>
      </c>
      <c r="K112" s="2" t="s">
        <v>8</v>
      </c>
      <c r="L112" s="2" t="s">
        <v>8</v>
      </c>
      <c r="M112" s="2" t="s">
        <v>8</v>
      </c>
      <c r="N112" s="2" t="s">
        <v>8</v>
      </c>
      <c r="O112" s="2" t="s">
        <v>8</v>
      </c>
      <c r="P112" s="2" t="s">
        <v>8</v>
      </c>
      <c r="Q112" s="2" t="s">
        <v>8</v>
      </c>
      <c r="R112" s="2" t="s">
        <v>8</v>
      </c>
      <c r="S112" s="2" t="s">
        <v>8</v>
      </c>
      <c r="T112" s="2" t="s">
        <v>8</v>
      </c>
      <c r="U112" s="2" t="s">
        <v>8</v>
      </c>
      <c r="V112" s="2" t="s">
        <v>8</v>
      </c>
      <c r="W112" s="7" t="s">
        <v>8</v>
      </c>
      <c r="X112" s="7" t="s">
        <v>8</v>
      </c>
    </row>
    <row r="113" spans="1:24" x14ac:dyDescent="0.25">
      <c r="A113" t="str">
        <f t="shared" si="16"/>
        <v>Saine Maria CAmila</v>
      </c>
      <c r="B113" s="2" t="s">
        <v>8</v>
      </c>
      <c r="C113" s="2" t="s">
        <v>8</v>
      </c>
      <c r="D113" s="2" t="s">
        <v>8</v>
      </c>
      <c r="E113" s="2" t="s">
        <v>8</v>
      </c>
      <c r="F113" s="2" t="s">
        <v>8</v>
      </c>
      <c r="G113" s="2" t="s">
        <v>8</v>
      </c>
      <c r="H113" s="2" t="s">
        <v>8</v>
      </c>
      <c r="I113" s="2" t="s">
        <v>8</v>
      </c>
      <c r="J113" s="2" t="s">
        <v>8</v>
      </c>
      <c r="K113" s="2" t="s">
        <v>8</v>
      </c>
      <c r="L113" s="2" t="s">
        <v>8</v>
      </c>
      <c r="M113" s="2" t="s">
        <v>8</v>
      </c>
      <c r="N113" s="2" t="s">
        <v>8</v>
      </c>
      <c r="O113" s="2" t="s">
        <v>8</v>
      </c>
      <c r="P113" s="2" t="s">
        <v>8</v>
      </c>
      <c r="Q113" s="2" t="s">
        <v>8</v>
      </c>
      <c r="R113" s="2" t="s">
        <v>8</v>
      </c>
      <c r="S113" s="2" t="s">
        <v>8</v>
      </c>
      <c r="T113" s="2" t="s">
        <v>8</v>
      </c>
      <c r="U113" s="2" t="s">
        <v>8</v>
      </c>
      <c r="V113" s="2" t="s">
        <v>8</v>
      </c>
      <c r="W113" s="7" t="s">
        <v>8</v>
      </c>
      <c r="X113" s="7" t="s">
        <v>8</v>
      </c>
    </row>
    <row r="114" spans="1:24" x14ac:dyDescent="0.25">
      <c r="A114" t="str">
        <f t="shared" si="16"/>
        <v>Saine Maria CAmila</v>
      </c>
      <c r="B114" s="2" t="s">
        <v>8</v>
      </c>
      <c r="C114" s="2" t="s">
        <v>8</v>
      </c>
      <c r="D114" s="2" t="s">
        <v>8</v>
      </c>
      <c r="E114" s="2" t="s">
        <v>8</v>
      </c>
      <c r="F114" s="2" t="s">
        <v>8</v>
      </c>
      <c r="G114" s="2" t="s">
        <v>8</v>
      </c>
      <c r="H114" s="2" t="s">
        <v>8</v>
      </c>
      <c r="I114" s="2" t="s">
        <v>8</v>
      </c>
      <c r="J114" s="2" t="s">
        <v>8</v>
      </c>
      <c r="K114" s="2" t="s">
        <v>8</v>
      </c>
      <c r="L114" s="2" t="s">
        <v>8</v>
      </c>
      <c r="M114" s="2" t="s">
        <v>8</v>
      </c>
      <c r="N114" s="2" t="s">
        <v>8</v>
      </c>
      <c r="O114" s="2" t="s">
        <v>8</v>
      </c>
      <c r="P114" s="2" t="s">
        <v>8</v>
      </c>
      <c r="Q114" s="2" t="s">
        <v>8</v>
      </c>
      <c r="R114" s="2" t="s">
        <v>8</v>
      </c>
      <c r="S114" s="2" t="s">
        <v>8</v>
      </c>
      <c r="T114" s="2" t="s">
        <v>8</v>
      </c>
      <c r="U114" s="2" t="s">
        <v>8</v>
      </c>
      <c r="V114" s="2" t="s">
        <v>8</v>
      </c>
      <c r="W114" s="7" t="s">
        <v>8</v>
      </c>
      <c r="X114" s="7" t="s">
        <v>8</v>
      </c>
    </row>
    <row r="115" spans="1:24" x14ac:dyDescent="0.25">
      <c r="A115" t="str">
        <f t="shared" si="16"/>
        <v>Saine Maria CAmila</v>
      </c>
      <c r="B115" s="2" t="s">
        <v>8</v>
      </c>
      <c r="C115" s="2" t="s">
        <v>8</v>
      </c>
      <c r="D115" s="2" t="s">
        <v>8</v>
      </c>
      <c r="E115" s="2" t="s">
        <v>8</v>
      </c>
      <c r="F115" s="2" t="s">
        <v>8</v>
      </c>
      <c r="G115" s="2" t="s">
        <v>8</v>
      </c>
      <c r="H115" s="2" t="s">
        <v>8</v>
      </c>
      <c r="I115" s="2" t="s">
        <v>8</v>
      </c>
      <c r="J115" s="2" t="s">
        <v>8</v>
      </c>
      <c r="K115" s="2" t="s">
        <v>8</v>
      </c>
      <c r="L115" s="2" t="s">
        <v>8</v>
      </c>
      <c r="M115" s="2" t="s">
        <v>8</v>
      </c>
      <c r="N115" s="2" t="s">
        <v>8</v>
      </c>
      <c r="O115" s="2" t="s">
        <v>8</v>
      </c>
      <c r="P115" s="2" t="s">
        <v>8</v>
      </c>
      <c r="Q115" s="2" t="s">
        <v>8</v>
      </c>
      <c r="R115" s="2" t="s">
        <v>8</v>
      </c>
      <c r="S115" s="2" t="s">
        <v>8</v>
      </c>
      <c r="T115" s="2" t="s">
        <v>8</v>
      </c>
      <c r="U115" s="2" t="s">
        <v>8</v>
      </c>
      <c r="V115" s="2" t="s">
        <v>8</v>
      </c>
      <c r="W115" s="7" t="s">
        <v>8</v>
      </c>
      <c r="X115" s="7" t="s">
        <v>8</v>
      </c>
    </row>
    <row r="116" spans="1:24" x14ac:dyDescent="0.25">
      <c r="A116" t="str">
        <f t="shared" si="16"/>
        <v>Saine Maria CAmila</v>
      </c>
      <c r="B116" s="2" t="s">
        <v>8</v>
      </c>
      <c r="C116" s="2" t="s">
        <v>8</v>
      </c>
      <c r="D116" s="2" t="s">
        <v>8</v>
      </c>
      <c r="E116" s="2" t="s">
        <v>8</v>
      </c>
      <c r="F116" s="2" t="s">
        <v>8</v>
      </c>
      <c r="G116" s="2" t="s">
        <v>8</v>
      </c>
      <c r="H116" s="2" t="s">
        <v>8</v>
      </c>
      <c r="I116" s="2" t="s">
        <v>8</v>
      </c>
      <c r="J116" s="2" t="s">
        <v>8</v>
      </c>
      <c r="K116" s="2" t="s">
        <v>8</v>
      </c>
      <c r="L116" s="2" t="s">
        <v>8</v>
      </c>
      <c r="M116" s="2" t="s">
        <v>8</v>
      </c>
      <c r="N116" s="2" t="s">
        <v>8</v>
      </c>
      <c r="O116" s="2" t="s">
        <v>8</v>
      </c>
      <c r="P116" s="2" t="s">
        <v>8</v>
      </c>
      <c r="Q116" s="2" t="s">
        <v>8</v>
      </c>
      <c r="R116" s="2" t="s">
        <v>8</v>
      </c>
      <c r="S116" s="2" t="s">
        <v>8</v>
      </c>
      <c r="T116" s="2" t="s">
        <v>8</v>
      </c>
      <c r="U116" s="2" t="s">
        <v>8</v>
      </c>
      <c r="V116" s="2" t="s">
        <v>8</v>
      </c>
      <c r="W116" s="7" t="s">
        <v>8</v>
      </c>
      <c r="X116" s="7" t="s">
        <v>8</v>
      </c>
    </row>
    <row r="117" spans="1:24" x14ac:dyDescent="0.25">
      <c r="A117" t="str">
        <f t="shared" si="16"/>
        <v>Saine Maria CAmila</v>
      </c>
      <c r="B117" s="2" t="s">
        <v>8</v>
      </c>
      <c r="C117" s="2" t="s">
        <v>8</v>
      </c>
      <c r="D117" s="2" t="s">
        <v>8</v>
      </c>
      <c r="E117" s="2" t="s">
        <v>8</v>
      </c>
      <c r="F117" s="2" t="s">
        <v>8</v>
      </c>
      <c r="G117" s="2" t="s">
        <v>8</v>
      </c>
      <c r="H117" s="2" t="s">
        <v>8</v>
      </c>
      <c r="I117" s="2" t="s">
        <v>8</v>
      </c>
      <c r="J117" s="2" t="s">
        <v>8</v>
      </c>
      <c r="K117" s="2" t="s">
        <v>8</v>
      </c>
      <c r="L117" s="2" t="s">
        <v>8</v>
      </c>
      <c r="M117" s="2" t="s">
        <v>8</v>
      </c>
      <c r="N117" s="2" t="s">
        <v>8</v>
      </c>
      <c r="O117" s="2" t="s">
        <v>8</v>
      </c>
      <c r="P117" s="2" t="s">
        <v>8</v>
      </c>
      <c r="Q117" s="2" t="s">
        <v>8</v>
      </c>
      <c r="R117" s="2" t="s">
        <v>8</v>
      </c>
      <c r="S117" s="2" t="s">
        <v>8</v>
      </c>
      <c r="T117" s="2" t="s">
        <v>8</v>
      </c>
      <c r="U117" s="2" t="s">
        <v>8</v>
      </c>
      <c r="V117" s="2" t="s">
        <v>8</v>
      </c>
      <c r="W117" s="7" t="s">
        <v>8</v>
      </c>
      <c r="X117" s="7" t="s">
        <v>8</v>
      </c>
    </row>
    <row r="118" spans="1:24" x14ac:dyDescent="0.25">
      <c r="A118" t="str">
        <f t="shared" si="16"/>
        <v>Saine Maria CAmila</v>
      </c>
      <c r="B118" s="2" t="s">
        <v>8</v>
      </c>
      <c r="C118" s="2" t="s">
        <v>8</v>
      </c>
      <c r="D118" s="2" t="s">
        <v>8</v>
      </c>
      <c r="E118" s="2" t="s">
        <v>8</v>
      </c>
      <c r="F118" s="2" t="s">
        <v>8</v>
      </c>
      <c r="G118" s="2" t="s">
        <v>8</v>
      </c>
      <c r="H118" s="2" t="s">
        <v>8</v>
      </c>
      <c r="I118" s="2" t="s">
        <v>8</v>
      </c>
      <c r="J118" s="2" t="s">
        <v>8</v>
      </c>
      <c r="K118" s="2" t="s">
        <v>8</v>
      </c>
      <c r="L118" s="2" t="s">
        <v>8</v>
      </c>
      <c r="M118" s="2" t="s">
        <v>8</v>
      </c>
      <c r="N118" s="2" t="s">
        <v>8</v>
      </c>
      <c r="O118" s="2" t="s">
        <v>8</v>
      </c>
      <c r="P118" s="2" t="s">
        <v>8</v>
      </c>
      <c r="Q118" s="2" t="s">
        <v>8</v>
      </c>
      <c r="R118" s="2" t="s">
        <v>8</v>
      </c>
      <c r="S118" s="2" t="s">
        <v>8</v>
      </c>
      <c r="T118" s="2" t="s">
        <v>8</v>
      </c>
      <c r="U118" s="2" t="s">
        <v>8</v>
      </c>
      <c r="V118" s="2" t="s">
        <v>8</v>
      </c>
      <c r="W118" s="7" t="s">
        <v>8</v>
      </c>
      <c r="X118" s="7" t="s">
        <v>8</v>
      </c>
    </row>
    <row r="119" spans="1:24" x14ac:dyDescent="0.25">
      <c r="A119" t="str">
        <f t="shared" si="16"/>
        <v>Saine Maria CAmila</v>
      </c>
      <c r="B119" s="2" t="s">
        <v>8</v>
      </c>
      <c r="C119" s="2" t="s">
        <v>8</v>
      </c>
      <c r="D119" s="2" t="s">
        <v>8</v>
      </c>
      <c r="E119" s="2" t="s">
        <v>8</v>
      </c>
      <c r="F119" s="2" t="s">
        <v>8</v>
      </c>
      <c r="G119" s="2" t="s">
        <v>8</v>
      </c>
      <c r="H119" s="2" t="s">
        <v>8</v>
      </c>
      <c r="I119" s="2" t="s">
        <v>8</v>
      </c>
      <c r="J119" s="2" t="s">
        <v>8</v>
      </c>
      <c r="K119" s="2" t="s">
        <v>8</v>
      </c>
      <c r="L119" s="2" t="s">
        <v>8</v>
      </c>
      <c r="M119" s="2" t="s">
        <v>8</v>
      </c>
      <c r="N119" s="2" t="s">
        <v>8</v>
      </c>
      <c r="O119" s="2" t="s">
        <v>8</v>
      </c>
      <c r="P119" s="2" t="s">
        <v>8</v>
      </c>
      <c r="Q119" s="2" t="s">
        <v>8</v>
      </c>
      <c r="R119" s="2" t="s">
        <v>8</v>
      </c>
      <c r="S119" s="2" t="s">
        <v>8</v>
      </c>
      <c r="T119" s="2" t="s">
        <v>8</v>
      </c>
      <c r="U119" s="2" t="s">
        <v>8</v>
      </c>
      <c r="V119" s="2" t="s">
        <v>8</v>
      </c>
      <c r="W119" s="7" t="s">
        <v>8</v>
      </c>
      <c r="X119" s="7" t="s">
        <v>8</v>
      </c>
    </row>
    <row r="120" spans="1:24" x14ac:dyDescent="0.25">
      <c r="A120" t="str">
        <f t="shared" si="16"/>
        <v>Saine Maria CAmila</v>
      </c>
      <c r="B120" s="2" t="s">
        <v>8</v>
      </c>
      <c r="C120" s="2" t="s">
        <v>8</v>
      </c>
      <c r="D120" s="2" t="s">
        <v>8</v>
      </c>
      <c r="E120" s="2" t="s">
        <v>8</v>
      </c>
      <c r="F120" s="2" t="s">
        <v>8</v>
      </c>
      <c r="G120" s="2" t="s">
        <v>8</v>
      </c>
      <c r="H120" s="2" t="s">
        <v>8</v>
      </c>
      <c r="I120" s="2" t="s">
        <v>8</v>
      </c>
      <c r="J120" s="2" t="s">
        <v>8</v>
      </c>
      <c r="K120" s="2" t="s">
        <v>8</v>
      </c>
      <c r="L120" s="2" t="s">
        <v>8</v>
      </c>
      <c r="M120" s="2" t="s">
        <v>8</v>
      </c>
      <c r="N120" s="2" t="s">
        <v>8</v>
      </c>
      <c r="O120" s="2" t="s">
        <v>8</v>
      </c>
      <c r="P120" s="2" t="s">
        <v>8</v>
      </c>
      <c r="Q120" s="2" t="s">
        <v>8</v>
      </c>
      <c r="R120" s="2" t="s">
        <v>8</v>
      </c>
      <c r="S120" s="2" t="s">
        <v>8</v>
      </c>
      <c r="T120" s="2" t="s">
        <v>8</v>
      </c>
      <c r="U120" s="2" t="s">
        <v>8</v>
      </c>
      <c r="V120" s="2" t="s">
        <v>8</v>
      </c>
      <c r="W120" s="7" t="s">
        <v>8</v>
      </c>
      <c r="X120" s="7" t="s">
        <v>8</v>
      </c>
    </row>
    <row r="121" spans="1:24" x14ac:dyDescent="0.25">
      <c r="A121" t="str">
        <f t="shared" si="16"/>
        <v>Saine Maria CAmila</v>
      </c>
      <c r="B121" s="2" t="s">
        <v>8</v>
      </c>
      <c r="C121" s="2" t="s">
        <v>8</v>
      </c>
      <c r="D121" s="2" t="s">
        <v>8</v>
      </c>
      <c r="E121" s="2" t="s">
        <v>8</v>
      </c>
      <c r="F121" s="2" t="s">
        <v>8</v>
      </c>
      <c r="G121" s="2" t="s">
        <v>8</v>
      </c>
      <c r="H121" s="2" t="s">
        <v>8</v>
      </c>
      <c r="I121" s="2" t="s">
        <v>8</v>
      </c>
      <c r="J121" s="2" t="s">
        <v>8</v>
      </c>
      <c r="K121" s="2" t="s">
        <v>8</v>
      </c>
      <c r="L121" s="2" t="s">
        <v>8</v>
      </c>
      <c r="M121" s="2" t="s">
        <v>8</v>
      </c>
      <c r="N121" s="2" t="s">
        <v>8</v>
      </c>
      <c r="O121" s="2" t="s">
        <v>8</v>
      </c>
      <c r="P121" s="2" t="s">
        <v>8</v>
      </c>
      <c r="Q121" s="2" t="s">
        <v>8</v>
      </c>
      <c r="R121" s="2" t="s">
        <v>8</v>
      </c>
      <c r="S121" s="2" t="s">
        <v>8</v>
      </c>
      <c r="T121" s="2" t="s">
        <v>8</v>
      </c>
      <c r="U121" s="2" t="s">
        <v>8</v>
      </c>
      <c r="V121" s="2" t="s">
        <v>8</v>
      </c>
      <c r="W121" s="7" t="s">
        <v>8</v>
      </c>
      <c r="X121" s="7" t="s">
        <v>8</v>
      </c>
    </row>
    <row r="122" spans="1:24" x14ac:dyDescent="0.25">
      <c r="A122" t="str">
        <f t="shared" si="16"/>
        <v>Saine Maria CAmila</v>
      </c>
      <c r="B122" s="2" t="s">
        <v>8</v>
      </c>
      <c r="C122" s="2" t="s">
        <v>8</v>
      </c>
      <c r="D122" s="2" t="s">
        <v>8</v>
      </c>
      <c r="E122" s="2" t="s">
        <v>8</v>
      </c>
      <c r="F122" s="2" t="s">
        <v>8</v>
      </c>
      <c r="G122" s="2" t="s">
        <v>8</v>
      </c>
      <c r="H122" s="2" t="s">
        <v>8</v>
      </c>
      <c r="I122" s="2" t="s">
        <v>8</v>
      </c>
      <c r="J122" s="2" t="s">
        <v>8</v>
      </c>
      <c r="K122" s="2" t="s">
        <v>8</v>
      </c>
      <c r="L122" s="2" t="s">
        <v>8</v>
      </c>
      <c r="M122" s="2" t="s">
        <v>8</v>
      </c>
      <c r="N122" s="2" t="s">
        <v>8</v>
      </c>
      <c r="O122" s="2" t="s">
        <v>8</v>
      </c>
      <c r="P122" s="2" t="s">
        <v>8</v>
      </c>
      <c r="Q122" s="2" t="s">
        <v>8</v>
      </c>
      <c r="R122" s="2" t="s">
        <v>8</v>
      </c>
      <c r="S122" s="2" t="s">
        <v>8</v>
      </c>
      <c r="T122" s="2" t="s">
        <v>8</v>
      </c>
      <c r="U122" s="2" t="s">
        <v>8</v>
      </c>
      <c r="V122" s="2" t="s">
        <v>8</v>
      </c>
      <c r="W122" s="7" t="s">
        <v>8</v>
      </c>
      <c r="X122" s="7" t="s">
        <v>8</v>
      </c>
    </row>
    <row r="123" spans="1:24" x14ac:dyDescent="0.25">
      <c r="A123" t="str">
        <f t="shared" si="16"/>
        <v>Saine Maria CAmila</v>
      </c>
      <c r="B123" s="2" t="s">
        <v>8</v>
      </c>
      <c r="C123" s="2" t="s">
        <v>8</v>
      </c>
      <c r="D123" s="2" t="s">
        <v>8</v>
      </c>
      <c r="E123" s="2" t="s">
        <v>8</v>
      </c>
      <c r="F123" s="2" t="s">
        <v>8</v>
      </c>
      <c r="G123" s="2" t="s">
        <v>8</v>
      </c>
      <c r="H123" s="2" t="s">
        <v>8</v>
      </c>
      <c r="I123" s="2" t="s">
        <v>8</v>
      </c>
      <c r="J123" s="2" t="s">
        <v>8</v>
      </c>
      <c r="K123" s="2" t="s">
        <v>8</v>
      </c>
      <c r="L123" s="2" t="s">
        <v>8</v>
      </c>
      <c r="M123" s="2" t="s">
        <v>8</v>
      </c>
      <c r="N123" s="2" t="s">
        <v>8</v>
      </c>
      <c r="O123" s="2" t="s">
        <v>8</v>
      </c>
      <c r="P123" s="2" t="s">
        <v>8</v>
      </c>
      <c r="Q123" s="2" t="s">
        <v>8</v>
      </c>
      <c r="R123" s="2" t="s">
        <v>8</v>
      </c>
      <c r="S123" s="2" t="s">
        <v>8</v>
      </c>
      <c r="T123" s="2" t="s">
        <v>8</v>
      </c>
      <c r="U123" s="2" t="s">
        <v>8</v>
      </c>
      <c r="V123" s="2" t="s">
        <v>8</v>
      </c>
      <c r="W123" s="7" t="s">
        <v>8</v>
      </c>
      <c r="X123" s="7" t="s">
        <v>8</v>
      </c>
    </row>
    <row r="124" spans="1:24" x14ac:dyDescent="0.25">
      <c r="A124" t="str">
        <f t="shared" si="16"/>
        <v>Saine Maria CAmila</v>
      </c>
      <c r="B124" s="2" t="s">
        <v>8</v>
      </c>
      <c r="C124" s="2" t="s">
        <v>8</v>
      </c>
      <c r="D124" s="2" t="s">
        <v>8</v>
      </c>
      <c r="E124" s="2" t="s">
        <v>8</v>
      </c>
      <c r="F124" s="2" t="s">
        <v>8</v>
      </c>
      <c r="G124" s="2" t="s">
        <v>8</v>
      </c>
      <c r="H124" s="2" t="s">
        <v>8</v>
      </c>
      <c r="I124" s="2" t="s">
        <v>8</v>
      </c>
      <c r="J124" s="2" t="s">
        <v>8</v>
      </c>
      <c r="K124" s="2" t="s">
        <v>8</v>
      </c>
      <c r="L124" s="2" t="s">
        <v>8</v>
      </c>
      <c r="M124" s="2" t="s">
        <v>8</v>
      </c>
      <c r="N124" s="2" t="s">
        <v>8</v>
      </c>
      <c r="O124" s="2" t="s">
        <v>8</v>
      </c>
      <c r="P124" s="2" t="s">
        <v>8</v>
      </c>
      <c r="Q124" s="2" t="s">
        <v>8</v>
      </c>
      <c r="R124" s="2" t="s">
        <v>8</v>
      </c>
      <c r="S124" s="2" t="s">
        <v>8</v>
      </c>
      <c r="T124" s="2" t="s">
        <v>8</v>
      </c>
      <c r="U124" s="2" t="s">
        <v>8</v>
      </c>
      <c r="V124" s="2" t="s">
        <v>8</v>
      </c>
      <c r="W124" s="7" t="s">
        <v>8</v>
      </c>
      <c r="X124" s="7" t="s">
        <v>8</v>
      </c>
    </row>
    <row r="125" spans="1:24" x14ac:dyDescent="0.25">
      <c r="A125" t="str">
        <f t="shared" si="16"/>
        <v>Saine Maria CAmila</v>
      </c>
      <c r="B125" s="2" t="s">
        <v>8</v>
      </c>
      <c r="C125" s="2" t="s">
        <v>8</v>
      </c>
      <c r="D125" s="2" t="s">
        <v>8</v>
      </c>
      <c r="E125" s="2" t="s">
        <v>8</v>
      </c>
      <c r="F125" s="2" t="s">
        <v>8</v>
      </c>
      <c r="G125" s="2" t="s">
        <v>8</v>
      </c>
      <c r="H125" s="2" t="s">
        <v>8</v>
      </c>
      <c r="I125" s="2" t="s">
        <v>8</v>
      </c>
      <c r="J125" s="2" t="s">
        <v>8</v>
      </c>
      <c r="K125" s="2" t="s">
        <v>8</v>
      </c>
      <c r="L125" s="2" t="s">
        <v>8</v>
      </c>
      <c r="M125" s="2" t="s">
        <v>8</v>
      </c>
      <c r="N125" s="2" t="s">
        <v>8</v>
      </c>
      <c r="O125" s="2" t="s">
        <v>8</v>
      </c>
      <c r="P125" s="2" t="s">
        <v>8</v>
      </c>
      <c r="Q125" s="2" t="s">
        <v>8</v>
      </c>
      <c r="R125" s="2" t="s">
        <v>8</v>
      </c>
      <c r="S125" s="2" t="s">
        <v>8</v>
      </c>
      <c r="T125" s="2" t="s">
        <v>8</v>
      </c>
      <c r="U125" s="2" t="s">
        <v>8</v>
      </c>
      <c r="V125" s="2" t="s">
        <v>8</v>
      </c>
      <c r="W125" s="7" t="s">
        <v>8</v>
      </c>
      <c r="X125" s="7" t="s">
        <v>8</v>
      </c>
    </row>
    <row r="126" spans="1:24" x14ac:dyDescent="0.25">
      <c r="A126" t="str">
        <f t="shared" si="16"/>
        <v>Saine Maria CAmila</v>
      </c>
      <c r="B126" s="2" t="s">
        <v>8</v>
      </c>
      <c r="C126" s="2" t="s">
        <v>8</v>
      </c>
      <c r="D126" s="2" t="s">
        <v>8</v>
      </c>
      <c r="E126" s="2" t="s">
        <v>8</v>
      </c>
      <c r="F126" s="2" t="s">
        <v>8</v>
      </c>
      <c r="G126" s="2" t="s">
        <v>8</v>
      </c>
      <c r="H126" s="2" t="s">
        <v>8</v>
      </c>
      <c r="I126" s="2" t="s">
        <v>8</v>
      </c>
      <c r="J126" s="2" t="s">
        <v>8</v>
      </c>
      <c r="K126" s="2" t="s">
        <v>8</v>
      </c>
      <c r="L126" s="2" t="s">
        <v>8</v>
      </c>
      <c r="M126" s="2" t="s">
        <v>8</v>
      </c>
      <c r="N126" s="2" t="s">
        <v>8</v>
      </c>
      <c r="O126" s="2" t="s">
        <v>8</v>
      </c>
      <c r="P126" s="2" t="s">
        <v>8</v>
      </c>
      <c r="Q126" s="2" t="s">
        <v>8</v>
      </c>
      <c r="R126" s="2" t="s">
        <v>8</v>
      </c>
      <c r="S126" s="2" t="s">
        <v>8</v>
      </c>
      <c r="T126" s="2" t="s">
        <v>8</v>
      </c>
      <c r="U126" s="2" t="s">
        <v>8</v>
      </c>
      <c r="V126" s="2" t="s">
        <v>8</v>
      </c>
      <c r="W126" s="7" t="s">
        <v>8</v>
      </c>
      <c r="X126" s="7" t="s">
        <v>8</v>
      </c>
    </row>
    <row r="127" spans="1:24" x14ac:dyDescent="0.25">
      <c r="A127" t="str">
        <f t="shared" si="16"/>
        <v>Saine Maria CAmila</v>
      </c>
      <c r="B127" s="2" t="s">
        <v>8</v>
      </c>
      <c r="C127" s="2" t="s">
        <v>8</v>
      </c>
      <c r="D127" s="2" t="s">
        <v>8</v>
      </c>
      <c r="E127" s="2" t="s">
        <v>8</v>
      </c>
      <c r="F127" s="2" t="s">
        <v>8</v>
      </c>
      <c r="G127" s="2" t="s">
        <v>8</v>
      </c>
      <c r="H127" s="2" t="s">
        <v>8</v>
      </c>
      <c r="I127" s="2" t="s">
        <v>8</v>
      </c>
      <c r="J127" s="2" t="s">
        <v>8</v>
      </c>
      <c r="K127" s="2" t="s">
        <v>8</v>
      </c>
      <c r="L127" s="2" t="s">
        <v>8</v>
      </c>
      <c r="M127" s="2" t="s">
        <v>8</v>
      </c>
      <c r="N127" s="2" t="s">
        <v>8</v>
      </c>
      <c r="O127" s="2" t="s">
        <v>8</v>
      </c>
      <c r="P127" s="2" t="s">
        <v>8</v>
      </c>
      <c r="Q127" s="2" t="s">
        <v>8</v>
      </c>
      <c r="R127" s="2" t="s">
        <v>8</v>
      </c>
      <c r="S127" s="2" t="s">
        <v>8</v>
      </c>
      <c r="T127" s="2" t="s">
        <v>8</v>
      </c>
      <c r="U127" s="2" t="s">
        <v>8</v>
      </c>
      <c r="V127" s="2" t="s">
        <v>8</v>
      </c>
      <c r="W127" s="7" t="s">
        <v>8</v>
      </c>
      <c r="X127" s="7" t="s">
        <v>8</v>
      </c>
    </row>
    <row r="128" spans="1:24" x14ac:dyDescent="0.25">
      <c r="A128" t="str">
        <f t="shared" si="16"/>
        <v>Saine Maria CAmila</v>
      </c>
      <c r="B128" s="2" t="s">
        <v>8</v>
      </c>
      <c r="C128" s="2" t="s">
        <v>8</v>
      </c>
      <c r="D128" s="2" t="s">
        <v>8</v>
      </c>
      <c r="E128" s="2" t="s">
        <v>8</v>
      </c>
      <c r="F128" s="2" t="s">
        <v>8</v>
      </c>
      <c r="G128" s="2" t="s">
        <v>8</v>
      </c>
      <c r="H128" s="2" t="s">
        <v>8</v>
      </c>
      <c r="I128" s="2" t="s">
        <v>8</v>
      </c>
      <c r="J128" s="2" t="s">
        <v>8</v>
      </c>
      <c r="K128" s="2" t="s">
        <v>8</v>
      </c>
      <c r="L128" s="2" t="s">
        <v>8</v>
      </c>
      <c r="M128" s="2" t="s">
        <v>8</v>
      </c>
      <c r="N128" s="2" t="s">
        <v>8</v>
      </c>
      <c r="O128" s="2" t="s">
        <v>8</v>
      </c>
      <c r="P128" s="2" t="s">
        <v>8</v>
      </c>
      <c r="Q128" s="2" t="s">
        <v>8</v>
      </c>
      <c r="R128" s="2" t="s">
        <v>8</v>
      </c>
      <c r="S128" s="2" t="s">
        <v>8</v>
      </c>
      <c r="T128" s="2" t="s">
        <v>8</v>
      </c>
      <c r="U128" s="2" t="s">
        <v>8</v>
      </c>
      <c r="V128" s="2" t="s">
        <v>8</v>
      </c>
      <c r="W128" s="7" t="s">
        <v>8</v>
      </c>
      <c r="X128" s="7" t="s">
        <v>8</v>
      </c>
    </row>
    <row r="129" spans="1:24" x14ac:dyDescent="0.25">
      <c r="A129" t="str">
        <f t="shared" si="16"/>
        <v>Saine Maria CAmila</v>
      </c>
      <c r="B129" s="2" t="s">
        <v>8</v>
      </c>
      <c r="C129" s="2" t="s">
        <v>8</v>
      </c>
      <c r="D129" s="2" t="s">
        <v>8</v>
      </c>
      <c r="E129" s="2" t="s">
        <v>8</v>
      </c>
      <c r="F129" s="2" t="s">
        <v>8</v>
      </c>
      <c r="G129" s="2" t="s">
        <v>8</v>
      </c>
      <c r="H129" s="2" t="s">
        <v>8</v>
      </c>
      <c r="I129" s="2" t="s">
        <v>8</v>
      </c>
      <c r="J129" s="2" t="s">
        <v>8</v>
      </c>
      <c r="K129" s="2" t="s">
        <v>8</v>
      </c>
      <c r="L129" s="2" t="s">
        <v>8</v>
      </c>
      <c r="M129" s="2" t="s">
        <v>8</v>
      </c>
      <c r="N129" s="2" t="s">
        <v>8</v>
      </c>
      <c r="O129" s="2" t="s">
        <v>8</v>
      </c>
      <c r="P129" s="2" t="s">
        <v>8</v>
      </c>
      <c r="Q129" s="2" t="s">
        <v>8</v>
      </c>
      <c r="R129" s="2" t="s">
        <v>8</v>
      </c>
      <c r="S129" s="2" t="s">
        <v>8</v>
      </c>
      <c r="T129" s="2" t="s">
        <v>8</v>
      </c>
      <c r="U129" s="2" t="s">
        <v>8</v>
      </c>
      <c r="V129" s="2" t="s">
        <v>8</v>
      </c>
      <c r="W129" s="7" t="s">
        <v>8</v>
      </c>
      <c r="X129" s="7" t="s">
        <v>8</v>
      </c>
    </row>
    <row r="130" spans="1:24" x14ac:dyDescent="0.25">
      <c r="A130" t="str">
        <f t="shared" si="16"/>
        <v>Saine Maria CAmila</v>
      </c>
      <c r="B130" s="2" t="s">
        <v>8</v>
      </c>
      <c r="C130" s="2" t="s">
        <v>8</v>
      </c>
      <c r="D130" s="2" t="s">
        <v>8</v>
      </c>
      <c r="E130" s="2" t="s">
        <v>8</v>
      </c>
      <c r="F130" s="2" t="s">
        <v>8</v>
      </c>
      <c r="G130" s="2" t="s">
        <v>8</v>
      </c>
      <c r="H130" s="2" t="s">
        <v>8</v>
      </c>
      <c r="I130" s="2" t="s">
        <v>8</v>
      </c>
      <c r="J130" s="2" t="s">
        <v>8</v>
      </c>
      <c r="K130" s="2" t="s">
        <v>8</v>
      </c>
      <c r="L130" s="2" t="s">
        <v>8</v>
      </c>
      <c r="M130" s="2" t="s">
        <v>8</v>
      </c>
      <c r="N130" s="2" t="s">
        <v>8</v>
      </c>
      <c r="O130" s="2" t="s">
        <v>8</v>
      </c>
      <c r="P130" s="2" t="s">
        <v>8</v>
      </c>
      <c r="Q130" s="2" t="s">
        <v>8</v>
      </c>
      <c r="R130" s="2" t="s">
        <v>8</v>
      </c>
      <c r="S130" s="2" t="s">
        <v>8</v>
      </c>
      <c r="T130" s="2" t="s">
        <v>8</v>
      </c>
      <c r="U130" s="2" t="s">
        <v>8</v>
      </c>
      <c r="V130" s="2" t="s">
        <v>8</v>
      </c>
      <c r="W130" s="7" t="s">
        <v>8</v>
      </c>
      <c r="X130" s="7" t="s">
        <v>8</v>
      </c>
    </row>
    <row r="131" spans="1:24" x14ac:dyDescent="0.25">
      <c r="A131" t="str">
        <f t="shared" si="16"/>
        <v>Saine Maria CAmila</v>
      </c>
      <c r="B131" s="2" t="s">
        <v>8</v>
      </c>
      <c r="C131" s="2" t="s">
        <v>8</v>
      </c>
      <c r="D131" s="2" t="s">
        <v>8</v>
      </c>
      <c r="E131" s="2" t="s">
        <v>8</v>
      </c>
      <c r="F131" s="2" t="s">
        <v>8</v>
      </c>
      <c r="G131" s="2" t="s">
        <v>8</v>
      </c>
      <c r="H131" s="2" t="s">
        <v>8</v>
      </c>
      <c r="I131" s="2" t="s">
        <v>8</v>
      </c>
      <c r="J131" s="2" t="s">
        <v>8</v>
      </c>
      <c r="K131" s="2" t="s">
        <v>8</v>
      </c>
      <c r="L131" s="2" t="s">
        <v>8</v>
      </c>
      <c r="M131" s="2" t="s">
        <v>8</v>
      </c>
      <c r="N131" s="2" t="s">
        <v>8</v>
      </c>
      <c r="O131" s="2" t="s">
        <v>8</v>
      </c>
      <c r="P131" s="2" t="s">
        <v>8</v>
      </c>
      <c r="Q131" s="2" t="s">
        <v>8</v>
      </c>
      <c r="R131" s="2" t="s">
        <v>8</v>
      </c>
      <c r="S131" s="2" t="s">
        <v>8</v>
      </c>
      <c r="T131" s="2" t="s">
        <v>8</v>
      </c>
      <c r="U131" s="2" t="s">
        <v>8</v>
      </c>
      <c r="V131" s="2" t="s">
        <v>8</v>
      </c>
      <c r="W131" s="7" t="s">
        <v>8</v>
      </c>
      <c r="X131" s="7" t="s">
        <v>8</v>
      </c>
    </row>
    <row r="132" spans="1:24" x14ac:dyDescent="0.25">
      <c r="A132" t="str">
        <f t="shared" si="16"/>
        <v>Saine Maria CAmila</v>
      </c>
      <c r="B132" s="2" t="s">
        <v>8</v>
      </c>
      <c r="C132" s="2" t="s">
        <v>8</v>
      </c>
      <c r="D132" s="2" t="s">
        <v>8</v>
      </c>
      <c r="E132" s="2" t="s">
        <v>8</v>
      </c>
      <c r="F132" s="2" t="s">
        <v>8</v>
      </c>
      <c r="G132" s="2" t="s">
        <v>8</v>
      </c>
      <c r="H132" s="2" t="s">
        <v>8</v>
      </c>
      <c r="I132" s="2" t="s">
        <v>8</v>
      </c>
      <c r="J132" s="2" t="s">
        <v>8</v>
      </c>
      <c r="K132" s="2" t="s">
        <v>8</v>
      </c>
      <c r="L132" s="2" t="s">
        <v>8</v>
      </c>
      <c r="M132" s="2" t="s">
        <v>8</v>
      </c>
      <c r="N132" s="2" t="s">
        <v>8</v>
      </c>
      <c r="O132" s="2" t="s">
        <v>8</v>
      </c>
      <c r="P132" s="2" t="s">
        <v>8</v>
      </c>
      <c r="Q132" s="2" t="s">
        <v>8</v>
      </c>
      <c r="R132" s="2" t="s">
        <v>8</v>
      </c>
      <c r="S132" s="2" t="s">
        <v>8</v>
      </c>
      <c r="T132" s="2" t="s">
        <v>8</v>
      </c>
      <c r="U132" s="2" t="s">
        <v>8</v>
      </c>
      <c r="V132" s="2" t="s">
        <v>8</v>
      </c>
      <c r="W132" s="7" t="s">
        <v>8</v>
      </c>
      <c r="X132" s="7" t="s">
        <v>8</v>
      </c>
    </row>
    <row r="133" spans="1:24" x14ac:dyDescent="0.25">
      <c r="A133" t="str">
        <f t="shared" si="16"/>
        <v>Saine Maria CAmila</v>
      </c>
      <c r="B133" s="2" t="s">
        <v>8</v>
      </c>
      <c r="C133" s="2" t="s">
        <v>8</v>
      </c>
      <c r="D133" s="2" t="s">
        <v>8</v>
      </c>
      <c r="E133" s="2" t="s">
        <v>8</v>
      </c>
      <c r="F133" s="2" t="s">
        <v>8</v>
      </c>
      <c r="G133" s="2" t="s">
        <v>8</v>
      </c>
      <c r="H133" s="2" t="s">
        <v>8</v>
      </c>
      <c r="I133" s="2" t="s">
        <v>8</v>
      </c>
      <c r="J133" s="2" t="s">
        <v>8</v>
      </c>
      <c r="K133" s="2" t="s">
        <v>8</v>
      </c>
      <c r="L133" s="2" t="s">
        <v>8</v>
      </c>
      <c r="M133" s="2" t="s">
        <v>8</v>
      </c>
      <c r="N133" s="2" t="s">
        <v>8</v>
      </c>
      <c r="O133" s="2" t="s">
        <v>8</v>
      </c>
      <c r="P133" s="2" t="s">
        <v>8</v>
      </c>
      <c r="Q133" s="2" t="s">
        <v>8</v>
      </c>
      <c r="R133" s="2" t="s">
        <v>8</v>
      </c>
      <c r="S133" s="2" t="s">
        <v>8</v>
      </c>
      <c r="T133" s="2" t="s">
        <v>8</v>
      </c>
      <c r="U133" s="2" t="s">
        <v>8</v>
      </c>
      <c r="V133" s="2" t="s">
        <v>8</v>
      </c>
      <c r="W133" s="7" t="s">
        <v>8</v>
      </c>
      <c r="X133" s="7" t="s">
        <v>8</v>
      </c>
    </row>
    <row r="134" spans="1:24" x14ac:dyDescent="0.25">
      <c r="A134" t="str">
        <f t="shared" si="16"/>
        <v>Saine Maria CAmila</v>
      </c>
      <c r="B134" s="2" t="s">
        <v>8</v>
      </c>
      <c r="C134" s="2" t="s">
        <v>8</v>
      </c>
      <c r="D134" s="2" t="s">
        <v>8</v>
      </c>
      <c r="E134" s="2" t="s">
        <v>8</v>
      </c>
      <c r="F134" s="2" t="s">
        <v>8</v>
      </c>
      <c r="G134" s="2" t="s">
        <v>8</v>
      </c>
      <c r="H134" s="2" t="s">
        <v>8</v>
      </c>
      <c r="I134" s="2" t="s">
        <v>8</v>
      </c>
      <c r="J134" s="2" t="s">
        <v>8</v>
      </c>
      <c r="K134" s="2" t="s">
        <v>8</v>
      </c>
      <c r="L134" s="2" t="s">
        <v>8</v>
      </c>
      <c r="M134" s="2" t="s">
        <v>8</v>
      </c>
      <c r="N134" s="2" t="s">
        <v>8</v>
      </c>
      <c r="O134" s="2" t="s">
        <v>8</v>
      </c>
      <c r="P134" s="2" t="s">
        <v>8</v>
      </c>
      <c r="Q134" s="2" t="s">
        <v>8</v>
      </c>
      <c r="R134" s="2" t="s">
        <v>8</v>
      </c>
      <c r="S134" s="2" t="s">
        <v>8</v>
      </c>
      <c r="T134" s="2" t="s">
        <v>8</v>
      </c>
      <c r="U134" s="2" t="s">
        <v>8</v>
      </c>
      <c r="V134" s="2" t="s">
        <v>8</v>
      </c>
      <c r="W134" s="7" t="s">
        <v>8</v>
      </c>
      <c r="X134" s="7" t="s">
        <v>8</v>
      </c>
    </row>
    <row r="135" spans="1:24" x14ac:dyDescent="0.25">
      <c r="A135" t="str">
        <f t="shared" si="16"/>
        <v>Saine Maria CAmila</v>
      </c>
      <c r="B135" s="2" t="s">
        <v>8</v>
      </c>
      <c r="C135" s="2" t="s">
        <v>8</v>
      </c>
      <c r="D135" s="2" t="s">
        <v>8</v>
      </c>
      <c r="E135" s="2" t="s">
        <v>8</v>
      </c>
      <c r="F135" s="2" t="s">
        <v>8</v>
      </c>
      <c r="G135" s="2" t="s">
        <v>8</v>
      </c>
      <c r="H135" s="2" t="s">
        <v>8</v>
      </c>
      <c r="I135" s="2" t="s">
        <v>8</v>
      </c>
      <c r="J135" s="2" t="s">
        <v>8</v>
      </c>
      <c r="K135" s="2" t="s">
        <v>8</v>
      </c>
      <c r="L135" s="2" t="s">
        <v>8</v>
      </c>
      <c r="M135" s="2" t="s">
        <v>8</v>
      </c>
      <c r="N135" s="2" t="s">
        <v>8</v>
      </c>
      <c r="O135" s="2" t="s">
        <v>8</v>
      </c>
      <c r="P135" s="2" t="s">
        <v>8</v>
      </c>
      <c r="Q135" s="2" t="s">
        <v>8</v>
      </c>
      <c r="R135" s="2" t="s">
        <v>8</v>
      </c>
      <c r="S135" s="2" t="s">
        <v>8</v>
      </c>
      <c r="T135" s="2" t="s">
        <v>8</v>
      </c>
      <c r="U135" s="2" t="s">
        <v>8</v>
      </c>
      <c r="V135" s="2" t="s">
        <v>8</v>
      </c>
      <c r="W135" s="7" t="s">
        <v>8</v>
      </c>
      <c r="X135" s="7" t="s">
        <v>8</v>
      </c>
    </row>
    <row r="136" spans="1:24" x14ac:dyDescent="0.25">
      <c r="A136" t="str">
        <f t="shared" si="16"/>
        <v>Saine Maria CAmila</v>
      </c>
      <c r="B136" s="2" t="s">
        <v>8</v>
      </c>
      <c r="C136" s="2" t="s">
        <v>8</v>
      </c>
      <c r="D136" s="2" t="s">
        <v>8</v>
      </c>
      <c r="E136" s="2" t="s">
        <v>8</v>
      </c>
      <c r="F136" s="2" t="s">
        <v>8</v>
      </c>
      <c r="G136" s="2" t="s">
        <v>8</v>
      </c>
      <c r="H136" s="2" t="s">
        <v>8</v>
      </c>
      <c r="I136" s="2" t="s">
        <v>8</v>
      </c>
      <c r="J136" s="2" t="s">
        <v>8</v>
      </c>
      <c r="K136" s="2" t="s">
        <v>8</v>
      </c>
      <c r="L136" s="2" t="s">
        <v>8</v>
      </c>
      <c r="M136" s="2" t="s">
        <v>8</v>
      </c>
      <c r="N136" s="2" t="s">
        <v>8</v>
      </c>
      <c r="O136" s="2" t="s">
        <v>8</v>
      </c>
      <c r="P136" s="2" t="s">
        <v>8</v>
      </c>
      <c r="Q136" s="2" t="s">
        <v>8</v>
      </c>
      <c r="R136" s="2" t="s">
        <v>8</v>
      </c>
      <c r="S136" s="2" t="s">
        <v>8</v>
      </c>
      <c r="T136" s="2" t="s">
        <v>8</v>
      </c>
      <c r="U136" s="2" t="s">
        <v>8</v>
      </c>
      <c r="V136" s="2" t="s">
        <v>8</v>
      </c>
      <c r="W136" s="7" t="s">
        <v>8</v>
      </c>
      <c r="X136" s="7" t="s">
        <v>8</v>
      </c>
    </row>
    <row r="137" spans="1:24" x14ac:dyDescent="0.25">
      <c r="A137" t="str">
        <f t="shared" si="16"/>
        <v>Saine Maria CAmila</v>
      </c>
      <c r="B137" s="2" t="s">
        <v>8</v>
      </c>
      <c r="C137" s="2" t="s">
        <v>8</v>
      </c>
      <c r="D137" s="2" t="s">
        <v>8</v>
      </c>
      <c r="E137" s="2" t="s">
        <v>8</v>
      </c>
      <c r="F137" s="2" t="s">
        <v>8</v>
      </c>
      <c r="G137" s="2" t="s">
        <v>8</v>
      </c>
      <c r="H137" s="2" t="s">
        <v>8</v>
      </c>
      <c r="I137" s="2" t="s">
        <v>8</v>
      </c>
      <c r="J137" s="2" t="s">
        <v>8</v>
      </c>
      <c r="K137" s="2" t="s">
        <v>8</v>
      </c>
      <c r="L137" s="2" t="s">
        <v>8</v>
      </c>
      <c r="M137" s="2" t="s">
        <v>8</v>
      </c>
      <c r="N137" s="2" t="s">
        <v>8</v>
      </c>
      <c r="O137" s="2" t="s">
        <v>8</v>
      </c>
      <c r="P137" s="2" t="s">
        <v>8</v>
      </c>
      <c r="Q137" s="2" t="s">
        <v>8</v>
      </c>
      <c r="R137" s="2" t="s">
        <v>8</v>
      </c>
      <c r="S137" s="2" t="s">
        <v>8</v>
      </c>
      <c r="T137" s="2" t="s">
        <v>8</v>
      </c>
      <c r="U137" s="2" t="s">
        <v>8</v>
      </c>
      <c r="V137" s="2" t="s">
        <v>8</v>
      </c>
      <c r="W137" s="7" t="s">
        <v>8</v>
      </c>
      <c r="X137" s="7" t="s">
        <v>8</v>
      </c>
    </row>
    <row r="138" spans="1:24" x14ac:dyDescent="0.25">
      <c r="A138" t="str">
        <f t="shared" si="16"/>
        <v>Saine Maria CAmila</v>
      </c>
      <c r="B138" s="2" t="s">
        <v>8</v>
      </c>
      <c r="C138" s="2" t="s">
        <v>8</v>
      </c>
      <c r="D138" s="2" t="s">
        <v>8</v>
      </c>
      <c r="E138" s="2" t="s">
        <v>8</v>
      </c>
      <c r="F138" s="2" t="s">
        <v>8</v>
      </c>
      <c r="G138" s="2" t="s">
        <v>8</v>
      </c>
      <c r="H138" s="2" t="s">
        <v>8</v>
      </c>
      <c r="I138" s="2" t="s">
        <v>8</v>
      </c>
      <c r="J138" s="2" t="s">
        <v>8</v>
      </c>
      <c r="K138" s="2" t="s">
        <v>8</v>
      </c>
      <c r="L138" s="2" t="s">
        <v>8</v>
      </c>
      <c r="M138" s="2" t="s">
        <v>8</v>
      </c>
      <c r="N138" s="2" t="s">
        <v>8</v>
      </c>
      <c r="O138" s="2" t="s">
        <v>8</v>
      </c>
      <c r="P138" s="2" t="s">
        <v>8</v>
      </c>
      <c r="Q138" s="2" t="s">
        <v>8</v>
      </c>
      <c r="R138" s="2" t="s">
        <v>8</v>
      </c>
      <c r="S138" s="2" t="s">
        <v>8</v>
      </c>
      <c r="T138" s="2" t="s">
        <v>8</v>
      </c>
      <c r="U138" s="2" t="s">
        <v>8</v>
      </c>
      <c r="V138" s="2" t="s">
        <v>8</v>
      </c>
      <c r="W138" s="7" t="s">
        <v>8</v>
      </c>
      <c r="X138" s="7" t="s">
        <v>8</v>
      </c>
    </row>
    <row r="139" spans="1:24" x14ac:dyDescent="0.25">
      <c r="A139" t="str">
        <f t="shared" si="16"/>
        <v>Saine Maria CAmila</v>
      </c>
      <c r="B139" s="2" t="s">
        <v>8</v>
      </c>
      <c r="C139" s="2" t="s">
        <v>8</v>
      </c>
      <c r="D139" s="2" t="s">
        <v>8</v>
      </c>
      <c r="E139" s="2" t="s">
        <v>8</v>
      </c>
      <c r="F139" s="2" t="s">
        <v>8</v>
      </c>
      <c r="G139" s="2" t="s">
        <v>8</v>
      </c>
      <c r="H139" s="2" t="s">
        <v>8</v>
      </c>
      <c r="I139" s="2" t="s">
        <v>8</v>
      </c>
      <c r="J139" s="2" t="s">
        <v>8</v>
      </c>
      <c r="K139" s="2" t="s">
        <v>8</v>
      </c>
      <c r="L139" s="2" t="s">
        <v>8</v>
      </c>
      <c r="M139" s="2" t="s">
        <v>8</v>
      </c>
      <c r="N139" s="2" t="s">
        <v>8</v>
      </c>
      <c r="O139" s="2" t="s">
        <v>8</v>
      </c>
      <c r="P139" s="2" t="s">
        <v>8</v>
      </c>
      <c r="Q139" s="2" t="s">
        <v>8</v>
      </c>
      <c r="R139" s="2" t="s">
        <v>8</v>
      </c>
      <c r="S139" s="2" t="s">
        <v>8</v>
      </c>
      <c r="T139" s="2" t="s">
        <v>8</v>
      </c>
      <c r="U139" s="2" t="s">
        <v>8</v>
      </c>
      <c r="V139" s="2" t="s">
        <v>8</v>
      </c>
      <c r="W139" s="7" t="s">
        <v>8</v>
      </c>
      <c r="X139" s="7" t="s">
        <v>8</v>
      </c>
    </row>
    <row r="140" spans="1:24" x14ac:dyDescent="0.25">
      <c r="A140" t="str">
        <f t="shared" si="16"/>
        <v>Saine Maria CAmila</v>
      </c>
      <c r="B140" s="2" t="s">
        <v>8</v>
      </c>
      <c r="C140" s="2" t="s">
        <v>8</v>
      </c>
      <c r="D140" s="2" t="s">
        <v>8</v>
      </c>
      <c r="E140" s="2" t="s">
        <v>8</v>
      </c>
      <c r="F140" s="2" t="s">
        <v>8</v>
      </c>
      <c r="G140" s="2" t="s">
        <v>8</v>
      </c>
      <c r="H140" s="2" t="s">
        <v>8</v>
      </c>
      <c r="I140" s="2" t="s">
        <v>8</v>
      </c>
      <c r="J140" s="2" t="s">
        <v>8</v>
      </c>
      <c r="K140" s="2" t="s">
        <v>8</v>
      </c>
      <c r="L140" s="2" t="s">
        <v>8</v>
      </c>
      <c r="M140" s="2" t="s">
        <v>8</v>
      </c>
      <c r="N140" s="2" t="s">
        <v>8</v>
      </c>
      <c r="O140" s="2" t="s">
        <v>8</v>
      </c>
      <c r="P140" s="2" t="s">
        <v>8</v>
      </c>
      <c r="Q140" s="2" t="s">
        <v>8</v>
      </c>
      <c r="R140" s="2" t="s">
        <v>8</v>
      </c>
      <c r="S140" s="2" t="s">
        <v>8</v>
      </c>
      <c r="T140" s="2" t="s">
        <v>8</v>
      </c>
      <c r="U140" s="2" t="s">
        <v>8</v>
      </c>
      <c r="V140" s="2" t="s">
        <v>8</v>
      </c>
      <c r="W140" s="7" t="s">
        <v>8</v>
      </c>
      <c r="X140" s="7" t="s">
        <v>8</v>
      </c>
    </row>
    <row r="141" spans="1:24" x14ac:dyDescent="0.25">
      <c r="A141" t="str">
        <f t="shared" si="16"/>
        <v>Saine Maria CAmila</v>
      </c>
      <c r="B141" s="2" t="s">
        <v>8</v>
      </c>
      <c r="C141" s="2" t="s">
        <v>8</v>
      </c>
      <c r="D141" s="2" t="s">
        <v>8</v>
      </c>
      <c r="E141" s="2" t="s">
        <v>8</v>
      </c>
      <c r="F141" s="2" t="s">
        <v>8</v>
      </c>
      <c r="G141" s="2" t="s">
        <v>8</v>
      </c>
      <c r="H141" s="2" t="s">
        <v>8</v>
      </c>
      <c r="I141" s="2" t="s">
        <v>8</v>
      </c>
      <c r="J141" s="2" t="s">
        <v>8</v>
      </c>
      <c r="K141" s="2" t="s">
        <v>8</v>
      </c>
      <c r="L141" s="2" t="s">
        <v>8</v>
      </c>
      <c r="M141" s="2" t="s">
        <v>8</v>
      </c>
      <c r="N141" s="2" t="s">
        <v>8</v>
      </c>
      <c r="O141" s="2" t="s">
        <v>8</v>
      </c>
      <c r="P141" s="2" t="s">
        <v>8</v>
      </c>
      <c r="Q141" s="2" t="s">
        <v>8</v>
      </c>
      <c r="R141" s="2" t="s">
        <v>8</v>
      </c>
      <c r="S141" s="2" t="s">
        <v>8</v>
      </c>
      <c r="T141" s="2" t="s">
        <v>8</v>
      </c>
      <c r="U141" s="2" t="s">
        <v>8</v>
      </c>
      <c r="V141" s="2" t="s">
        <v>8</v>
      </c>
      <c r="W141" s="7" t="s">
        <v>8</v>
      </c>
      <c r="X141" s="7" t="s">
        <v>8</v>
      </c>
    </row>
    <row r="142" spans="1:24" x14ac:dyDescent="0.25">
      <c r="A142" t="str">
        <f t="shared" si="16"/>
        <v>Saine Maria CAmila</v>
      </c>
      <c r="B142" s="2" t="s">
        <v>8</v>
      </c>
      <c r="C142" s="2" t="s">
        <v>8</v>
      </c>
      <c r="D142" s="2" t="s">
        <v>8</v>
      </c>
      <c r="E142" s="2" t="s">
        <v>8</v>
      </c>
      <c r="F142" s="2" t="s">
        <v>8</v>
      </c>
      <c r="G142" s="2" t="s">
        <v>8</v>
      </c>
      <c r="H142" s="2" t="s">
        <v>8</v>
      </c>
      <c r="I142" s="2" t="s">
        <v>8</v>
      </c>
      <c r="J142" s="2" t="s">
        <v>8</v>
      </c>
      <c r="K142" s="2" t="s">
        <v>8</v>
      </c>
      <c r="L142" s="2" t="s">
        <v>8</v>
      </c>
      <c r="M142" s="2" t="s">
        <v>8</v>
      </c>
      <c r="N142" s="2" t="s">
        <v>8</v>
      </c>
      <c r="O142" s="2" t="s">
        <v>8</v>
      </c>
      <c r="P142" s="2" t="s">
        <v>8</v>
      </c>
      <c r="Q142" s="2" t="s">
        <v>8</v>
      </c>
      <c r="R142" s="2" t="s">
        <v>8</v>
      </c>
      <c r="S142" s="2" t="s">
        <v>8</v>
      </c>
      <c r="T142" s="2" t="s">
        <v>8</v>
      </c>
      <c r="U142" s="2" t="s">
        <v>8</v>
      </c>
      <c r="V142" s="2" t="s">
        <v>8</v>
      </c>
      <c r="W142" s="7" t="s">
        <v>8</v>
      </c>
      <c r="X142" s="7" t="s">
        <v>8</v>
      </c>
    </row>
    <row r="143" spans="1:24" x14ac:dyDescent="0.25">
      <c r="A143" t="str">
        <f t="shared" si="16"/>
        <v>Saine Maria CAmila</v>
      </c>
      <c r="B143" s="2" t="s">
        <v>8</v>
      </c>
      <c r="C143" s="2" t="s">
        <v>8</v>
      </c>
      <c r="D143" s="2" t="s">
        <v>8</v>
      </c>
      <c r="E143" s="2" t="s">
        <v>8</v>
      </c>
      <c r="F143" s="2" t="s">
        <v>8</v>
      </c>
      <c r="G143" s="2" t="s">
        <v>8</v>
      </c>
      <c r="H143" s="2" t="s">
        <v>8</v>
      </c>
      <c r="I143" s="2" t="s">
        <v>8</v>
      </c>
      <c r="J143" s="2" t="s">
        <v>8</v>
      </c>
      <c r="K143" s="2" t="s">
        <v>8</v>
      </c>
      <c r="L143" s="2" t="s">
        <v>8</v>
      </c>
      <c r="M143" s="2" t="s">
        <v>8</v>
      </c>
      <c r="N143" s="2" t="s">
        <v>8</v>
      </c>
      <c r="O143" s="2" t="s">
        <v>8</v>
      </c>
      <c r="P143" s="2" t="s">
        <v>8</v>
      </c>
      <c r="Q143" s="2" t="s">
        <v>8</v>
      </c>
      <c r="R143" s="2" t="s">
        <v>8</v>
      </c>
      <c r="S143" s="2" t="s">
        <v>8</v>
      </c>
      <c r="T143" s="2" t="s">
        <v>8</v>
      </c>
      <c r="U143" s="2" t="s">
        <v>8</v>
      </c>
      <c r="V143" s="2" t="s">
        <v>8</v>
      </c>
      <c r="W143" s="7" t="s">
        <v>8</v>
      </c>
      <c r="X143" s="7" t="s">
        <v>8</v>
      </c>
    </row>
    <row r="144" spans="1:24" x14ac:dyDescent="0.25">
      <c r="A144" t="str">
        <f t="shared" si="16"/>
        <v>Saine Maria CAmila</v>
      </c>
      <c r="B144" s="2" t="s">
        <v>8</v>
      </c>
      <c r="C144" s="2" t="s">
        <v>8</v>
      </c>
      <c r="D144" s="2" t="s">
        <v>8</v>
      </c>
      <c r="E144" s="2" t="s">
        <v>8</v>
      </c>
      <c r="F144" s="2" t="s">
        <v>8</v>
      </c>
      <c r="G144" s="2" t="s">
        <v>8</v>
      </c>
      <c r="H144" s="2" t="s">
        <v>8</v>
      </c>
      <c r="I144" s="2" t="s">
        <v>8</v>
      </c>
      <c r="J144" s="2" t="s">
        <v>8</v>
      </c>
      <c r="K144" s="2" t="s">
        <v>8</v>
      </c>
      <c r="L144" s="2" t="s">
        <v>8</v>
      </c>
      <c r="M144" s="2" t="s">
        <v>8</v>
      </c>
      <c r="N144" s="2" t="s">
        <v>8</v>
      </c>
      <c r="O144" s="2" t="s">
        <v>8</v>
      </c>
      <c r="P144" s="2" t="s">
        <v>8</v>
      </c>
      <c r="Q144" s="2" t="s">
        <v>8</v>
      </c>
      <c r="R144" s="2" t="s">
        <v>8</v>
      </c>
      <c r="S144" s="2" t="s">
        <v>8</v>
      </c>
      <c r="T144" s="2" t="s">
        <v>8</v>
      </c>
      <c r="U144" s="2" t="s">
        <v>8</v>
      </c>
      <c r="V144" s="2" t="s">
        <v>8</v>
      </c>
      <c r="W144" s="7" t="s">
        <v>8</v>
      </c>
      <c r="X144" s="7" t="s">
        <v>8</v>
      </c>
    </row>
    <row r="145" spans="1:24" x14ac:dyDescent="0.25">
      <c r="A145" t="str">
        <f t="shared" si="16"/>
        <v>Saine Maria CAmila</v>
      </c>
      <c r="B145" s="2" t="s">
        <v>8</v>
      </c>
      <c r="C145" s="2" t="s">
        <v>8</v>
      </c>
      <c r="D145" s="2" t="s">
        <v>8</v>
      </c>
      <c r="E145" s="2" t="s">
        <v>8</v>
      </c>
      <c r="F145" s="2" t="s">
        <v>8</v>
      </c>
      <c r="G145" s="2" t="s">
        <v>8</v>
      </c>
      <c r="H145" s="2" t="s">
        <v>8</v>
      </c>
      <c r="I145" s="2" t="s">
        <v>8</v>
      </c>
      <c r="J145" s="2" t="s">
        <v>8</v>
      </c>
      <c r="K145" s="2" t="s">
        <v>8</v>
      </c>
      <c r="L145" s="2" t="s">
        <v>8</v>
      </c>
      <c r="M145" s="2" t="s">
        <v>8</v>
      </c>
      <c r="N145" s="2" t="s">
        <v>8</v>
      </c>
      <c r="O145" s="2" t="s">
        <v>8</v>
      </c>
      <c r="P145" s="2" t="s">
        <v>8</v>
      </c>
      <c r="Q145" s="2" t="s">
        <v>8</v>
      </c>
      <c r="R145" s="2" t="s">
        <v>8</v>
      </c>
      <c r="S145" s="2" t="s">
        <v>8</v>
      </c>
      <c r="T145" s="2" t="s">
        <v>8</v>
      </c>
      <c r="U145" s="2" t="s">
        <v>8</v>
      </c>
      <c r="V145" s="2" t="s">
        <v>8</v>
      </c>
      <c r="W145" s="7" t="s">
        <v>8</v>
      </c>
      <c r="X145" s="7" t="s">
        <v>8</v>
      </c>
    </row>
    <row r="146" spans="1:24" x14ac:dyDescent="0.25">
      <c r="A146" t="str">
        <f t="shared" si="16"/>
        <v>Saine Maria CAmila</v>
      </c>
      <c r="B146" s="2" t="s">
        <v>8</v>
      </c>
      <c r="C146" s="2" t="s">
        <v>8</v>
      </c>
      <c r="D146" s="2" t="s">
        <v>8</v>
      </c>
      <c r="E146" s="2" t="s">
        <v>8</v>
      </c>
      <c r="F146" s="2" t="s">
        <v>8</v>
      </c>
      <c r="G146" s="2" t="s">
        <v>8</v>
      </c>
      <c r="H146" s="2" t="s">
        <v>8</v>
      </c>
      <c r="I146" s="2" t="s">
        <v>8</v>
      </c>
      <c r="J146" s="2" t="s">
        <v>8</v>
      </c>
      <c r="K146" s="2" t="s">
        <v>8</v>
      </c>
      <c r="L146" s="2" t="s">
        <v>8</v>
      </c>
      <c r="M146" s="2" t="s">
        <v>8</v>
      </c>
      <c r="N146" s="2" t="s">
        <v>8</v>
      </c>
      <c r="O146" s="2" t="s">
        <v>8</v>
      </c>
      <c r="P146" s="2" t="s">
        <v>8</v>
      </c>
      <c r="Q146" s="2" t="s">
        <v>8</v>
      </c>
      <c r="R146" s="2" t="s">
        <v>8</v>
      </c>
      <c r="S146" s="2" t="s">
        <v>8</v>
      </c>
      <c r="T146" s="2" t="s">
        <v>8</v>
      </c>
      <c r="U146" s="2" t="s">
        <v>8</v>
      </c>
      <c r="V146" s="2" t="s">
        <v>8</v>
      </c>
      <c r="W146" s="7" t="s">
        <v>8</v>
      </c>
      <c r="X146" s="7" t="s">
        <v>8</v>
      </c>
    </row>
    <row r="147" spans="1:24" x14ac:dyDescent="0.25">
      <c r="A147" t="str">
        <f t="shared" si="16"/>
        <v>Saine Maria CAmila</v>
      </c>
      <c r="B147" s="2" t="s">
        <v>8</v>
      </c>
      <c r="C147" s="2" t="s">
        <v>8</v>
      </c>
      <c r="D147" s="2" t="s">
        <v>8</v>
      </c>
      <c r="E147" s="2" t="s">
        <v>8</v>
      </c>
      <c r="F147" s="2" t="s">
        <v>8</v>
      </c>
      <c r="G147" s="2" t="s">
        <v>8</v>
      </c>
      <c r="H147" s="2" t="s">
        <v>8</v>
      </c>
      <c r="I147" s="2" t="s">
        <v>8</v>
      </c>
      <c r="J147" s="2" t="s">
        <v>8</v>
      </c>
      <c r="K147" s="2" t="s">
        <v>8</v>
      </c>
      <c r="L147" s="2" t="s">
        <v>8</v>
      </c>
      <c r="M147" s="2" t="s">
        <v>8</v>
      </c>
      <c r="N147" s="2" t="s">
        <v>8</v>
      </c>
      <c r="O147" s="2" t="s">
        <v>8</v>
      </c>
      <c r="P147" s="2" t="s">
        <v>8</v>
      </c>
      <c r="Q147" s="2" t="s">
        <v>8</v>
      </c>
      <c r="R147" s="2" t="s">
        <v>8</v>
      </c>
      <c r="S147" s="2" t="s">
        <v>8</v>
      </c>
      <c r="T147" s="2" t="s">
        <v>8</v>
      </c>
      <c r="U147" s="2" t="s">
        <v>8</v>
      </c>
      <c r="V147" s="2" t="s">
        <v>8</v>
      </c>
      <c r="W147" s="7" t="s">
        <v>8</v>
      </c>
      <c r="X147" s="7" t="s">
        <v>8</v>
      </c>
    </row>
    <row r="148" spans="1:24" x14ac:dyDescent="0.25">
      <c r="A148" t="str">
        <f t="shared" si="16"/>
        <v>Saine Maria CAmila</v>
      </c>
      <c r="B148" s="2" t="s">
        <v>8</v>
      </c>
      <c r="C148" s="2" t="s">
        <v>8</v>
      </c>
      <c r="D148" s="2" t="s">
        <v>8</v>
      </c>
      <c r="E148" s="2" t="s">
        <v>8</v>
      </c>
      <c r="F148" s="2" t="s">
        <v>8</v>
      </c>
      <c r="G148" s="2" t="s">
        <v>8</v>
      </c>
      <c r="H148" s="2" t="s">
        <v>8</v>
      </c>
      <c r="I148" s="2" t="s">
        <v>8</v>
      </c>
      <c r="J148" s="2" t="s">
        <v>8</v>
      </c>
      <c r="K148" s="2" t="s">
        <v>8</v>
      </c>
      <c r="L148" s="2" t="s">
        <v>8</v>
      </c>
      <c r="M148" s="2" t="s">
        <v>8</v>
      </c>
      <c r="N148" s="2" t="s">
        <v>8</v>
      </c>
      <c r="O148" s="2" t="s">
        <v>8</v>
      </c>
      <c r="P148" s="2" t="s">
        <v>8</v>
      </c>
      <c r="Q148" s="2" t="s">
        <v>8</v>
      </c>
      <c r="R148" s="2" t="s">
        <v>8</v>
      </c>
      <c r="S148" s="2" t="s">
        <v>8</v>
      </c>
      <c r="T148" s="2" t="s">
        <v>8</v>
      </c>
      <c r="U148" s="2" t="s">
        <v>8</v>
      </c>
      <c r="V148" s="2" t="s">
        <v>8</v>
      </c>
      <c r="W148" s="7" t="s">
        <v>8</v>
      </c>
      <c r="X148" s="7" t="s">
        <v>8</v>
      </c>
    </row>
    <row r="149" spans="1:24" x14ac:dyDescent="0.25">
      <c r="A149" t="str">
        <f t="shared" si="16"/>
        <v>Saine Maria CAmila</v>
      </c>
      <c r="B149" s="2" t="s">
        <v>8</v>
      </c>
      <c r="C149" s="2" t="s">
        <v>8</v>
      </c>
      <c r="D149" s="2" t="s">
        <v>8</v>
      </c>
      <c r="E149" s="2" t="s">
        <v>8</v>
      </c>
      <c r="F149" s="2" t="s">
        <v>8</v>
      </c>
      <c r="G149" s="2" t="s">
        <v>8</v>
      </c>
      <c r="H149" s="2" t="s">
        <v>8</v>
      </c>
      <c r="I149" s="2" t="s">
        <v>8</v>
      </c>
      <c r="J149" s="2" t="s">
        <v>8</v>
      </c>
      <c r="K149" s="2" t="s">
        <v>8</v>
      </c>
      <c r="L149" s="2" t="s">
        <v>8</v>
      </c>
      <c r="M149" s="2" t="s">
        <v>8</v>
      </c>
      <c r="N149" s="2" t="s">
        <v>8</v>
      </c>
      <c r="O149" s="2" t="s">
        <v>8</v>
      </c>
      <c r="P149" s="2" t="s">
        <v>8</v>
      </c>
      <c r="Q149" s="2" t="s">
        <v>8</v>
      </c>
      <c r="R149" s="2" t="s">
        <v>8</v>
      </c>
      <c r="S149" s="2" t="s">
        <v>8</v>
      </c>
      <c r="T149" s="2" t="s">
        <v>8</v>
      </c>
      <c r="U149" s="2" t="s">
        <v>8</v>
      </c>
      <c r="V149" s="2" t="s">
        <v>8</v>
      </c>
      <c r="W149" s="7" t="s">
        <v>8</v>
      </c>
      <c r="X149" s="7" t="s">
        <v>8</v>
      </c>
    </row>
    <row r="150" spans="1:24" x14ac:dyDescent="0.25">
      <c r="A150" t="str">
        <f t="shared" si="16"/>
        <v>Saine Maria CAmila</v>
      </c>
      <c r="B150" s="2" t="s">
        <v>8</v>
      </c>
      <c r="C150" s="2" t="s">
        <v>8</v>
      </c>
      <c r="D150" s="2" t="s">
        <v>8</v>
      </c>
      <c r="E150" s="2" t="s">
        <v>8</v>
      </c>
      <c r="F150" s="2" t="s">
        <v>8</v>
      </c>
      <c r="G150" s="2" t="s">
        <v>8</v>
      </c>
      <c r="H150" s="2" t="s">
        <v>8</v>
      </c>
      <c r="I150" s="2" t="s">
        <v>8</v>
      </c>
      <c r="J150" s="2" t="s">
        <v>8</v>
      </c>
      <c r="K150" s="2" t="s">
        <v>8</v>
      </c>
      <c r="L150" s="2" t="s">
        <v>8</v>
      </c>
      <c r="M150" s="2" t="s">
        <v>8</v>
      </c>
      <c r="N150" s="2" t="s">
        <v>8</v>
      </c>
      <c r="O150" s="2" t="s">
        <v>8</v>
      </c>
      <c r="P150" s="2" t="s">
        <v>8</v>
      </c>
      <c r="Q150" s="2" t="s">
        <v>8</v>
      </c>
      <c r="R150" s="2" t="s">
        <v>8</v>
      </c>
      <c r="S150" s="2" t="s">
        <v>8</v>
      </c>
      <c r="T150" s="2" t="s">
        <v>8</v>
      </c>
      <c r="U150" s="2" t="s">
        <v>8</v>
      </c>
      <c r="V150" s="2" t="s">
        <v>8</v>
      </c>
      <c r="W150" s="7" t="s">
        <v>8</v>
      </c>
      <c r="X150" s="7" t="s">
        <v>8</v>
      </c>
    </row>
    <row r="151" spans="1:24" x14ac:dyDescent="0.25">
      <c r="A151" t="str">
        <f t="shared" si="16"/>
        <v>Saine Maria CAmila</v>
      </c>
      <c r="B151" s="2" t="s">
        <v>8</v>
      </c>
      <c r="C151" s="2" t="s">
        <v>8</v>
      </c>
      <c r="D151" s="2" t="s">
        <v>8</v>
      </c>
      <c r="E151" s="2" t="s">
        <v>8</v>
      </c>
      <c r="F151" s="2" t="s">
        <v>8</v>
      </c>
      <c r="G151" s="2" t="s">
        <v>8</v>
      </c>
      <c r="H151" s="2" t="s">
        <v>8</v>
      </c>
      <c r="I151" s="2" t="s">
        <v>8</v>
      </c>
      <c r="J151" s="2" t="s">
        <v>8</v>
      </c>
      <c r="K151" s="2" t="s">
        <v>8</v>
      </c>
      <c r="L151" s="2" t="s">
        <v>8</v>
      </c>
      <c r="M151" s="2" t="s">
        <v>8</v>
      </c>
      <c r="N151" s="2" t="s">
        <v>8</v>
      </c>
      <c r="O151" s="2" t="s">
        <v>8</v>
      </c>
      <c r="P151" s="2" t="s">
        <v>8</v>
      </c>
      <c r="Q151" s="2" t="s">
        <v>8</v>
      </c>
      <c r="R151" s="2" t="s">
        <v>8</v>
      </c>
      <c r="S151" s="2" t="s">
        <v>8</v>
      </c>
      <c r="T151" s="2" t="s">
        <v>8</v>
      </c>
      <c r="U151" s="2" t="s">
        <v>8</v>
      </c>
      <c r="V151" s="2" t="s">
        <v>8</v>
      </c>
      <c r="W151" s="7" t="s">
        <v>8</v>
      </c>
      <c r="X151" s="7" t="s">
        <v>8</v>
      </c>
    </row>
    <row r="152" spans="1:24" x14ac:dyDescent="0.25">
      <c r="A152" t="str">
        <f t="shared" si="16"/>
        <v>Saine Maria CAmila</v>
      </c>
      <c r="B152" s="2" t="s">
        <v>8</v>
      </c>
      <c r="C152" s="2" t="s">
        <v>8</v>
      </c>
      <c r="D152" s="2" t="s">
        <v>8</v>
      </c>
      <c r="E152" s="2" t="s">
        <v>8</v>
      </c>
      <c r="F152" s="2" t="s">
        <v>8</v>
      </c>
      <c r="G152" s="2" t="s">
        <v>8</v>
      </c>
      <c r="H152" s="2" t="s">
        <v>8</v>
      </c>
      <c r="I152" s="2" t="s">
        <v>8</v>
      </c>
      <c r="J152" s="2" t="s">
        <v>8</v>
      </c>
      <c r="K152" s="2" t="s">
        <v>8</v>
      </c>
      <c r="L152" s="2" t="s">
        <v>8</v>
      </c>
      <c r="M152" s="2" t="s">
        <v>8</v>
      </c>
      <c r="N152" s="2" t="s">
        <v>8</v>
      </c>
      <c r="O152" s="2" t="s">
        <v>8</v>
      </c>
      <c r="P152" s="2" t="s">
        <v>8</v>
      </c>
      <c r="Q152" s="2" t="s">
        <v>8</v>
      </c>
      <c r="R152" s="2" t="s">
        <v>8</v>
      </c>
      <c r="S152" s="2" t="s">
        <v>8</v>
      </c>
      <c r="T152" s="2" t="s">
        <v>8</v>
      </c>
      <c r="U152" s="2" t="s">
        <v>8</v>
      </c>
      <c r="V152" s="2" t="s">
        <v>8</v>
      </c>
      <c r="W152" s="7" t="s">
        <v>8</v>
      </c>
      <c r="X152" s="7" t="s">
        <v>8</v>
      </c>
    </row>
    <row r="153" spans="1:24" x14ac:dyDescent="0.25">
      <c r="A153" t="str">
        <f t="shared" si="16"/>
        <v>Saine Maria CAmila</v>
      </c>
      <c r="B153" s="2" t="s">
        <v>8</v>
      </c>
      <c r="C153" s="2" t="s">
        <v>8</v>
      </c>
      <c r="D153" s="2" t="s">
        <v>8</v>
      </c>
      <c r="E153" s="2" t="s">
        <v>8</v>
      </c>
      <c r="F153" s="2" t="s">
        <v>8</v>
      </c>
      <c r="G153" s="2" t="s">
        <v>8</v>
      </c>
      <c r="H153" s="2" t="s">
        <v>8</v>
      </c>
      <c r="I153" s="2" t="s">
        <v>8</v>
      </c>
      <c r="J153" s="2" t="s">
        <v>8</v>
      </c>
      <c r="K153" s="2" t="s">
        <v>8</v>
      </c>
      <c r="L153" s="2" t="s">
        <v>8</v>
      </c>
      <c r="M153" s="2" t="s">
        <v>8</v>
      </c>
      <c r="N153" s="2" t="s">
        <v>8</v>
      </c>
      <c r="O153" s="2" t="s">
        <v>8</v>
      </c>
      <c r="P153" s="2" t="s">
        <v>8</v>
      </c>
      <c r="Q153" s="2" t="s">
        <v>8</v>
      </c>
      <c r="R153" s="2" t="s">
        <v>8</v>
      </c>
      <c r="S153" s="2" t="s">
        <v>8</v>
      </c>
      <c r="T153" s="2" t="s">
        <v>8</v>
      </c>
      <c r="U153" s="2" t="s">
        <v>8</v>
      </c>
      <c r="V153" s="2" t="s">
        <v>8</v>
      </c>
      <c r="W153" s="7" t="s">
        <v>8</v>
      </c>
      <c r="X153" s="7" t="s">
        <v>8</v>
      </c>
    </row>
    <row r="154" spans="1:24" x14ac:dyDescent="0.25">
      <c r="A154" t="str">
        <f t="shared" si="16"/>
        <v>Saine Maria CAmila</v>
      </c>
    </row>
    <row r="155" spans="1:24" x14ac:dyDescent="0.25">
      <c r="A155" t="str">
        <f t="shared" si="16"/>
        <v>Saine Maria CAmila</v>
      </c>
    </row>
    <row r="156" spans="1:24" x14ac:dyDescent="0.25">
      <c r="A156" t="str">
        <f t="shared" si="16"/>
        <v>Saine Maria CAmila</v>
      </c>
    </row>
    <row r="157" spans="1:24" x14ac:dyDescent="0.25">
      <c r="A157" t="str">
        <f t="shared" si="16"/>
        <v>Saine Maria CAmila</v>
      </c>
    </row>
    <row r="158" spans="1:24" x14ac:dyDescent="0.25">
      <c r="A158" t="str">
        <f t="shared" si="16"/>
        <v>Saine Maria CAmila</v>
      </c>
    </row>
    <row r="159" spans="1:24" x14ac:dyDescent="0.25">
      <c r="A159" t="str">
        <f t="shared" si="16"/>
        <v>Saine Maria CAmila</v>
      </c>
    </row>
    <row r="160" spans="1:24" x14ac:dyDescent="0.25">
      <c r="A160" t="str">
        <f t="shared" si="16"/>
        <v>Saine Maria CAmila</v>
      </c>
    </row>
    <row r="161" spans="1:1" x14ac:dyDescent="0.25">
      <c r="A161" t="str">
        <f t="shared" si="16"/>
        <v>Saine Maria CAmila</v>
      </c>
    </row>
    <row r="162" spans="1:1" x14ac:dyDescent="0.25">
      <c r="A162" t="str">
        <f t="shared" si="16"/>
        <v>Saine Maria CAmila</v>
      </c>
    </row>
    <row r="163" spans="1:1" x14ac:dyDescent="0.25">
      <c r="A163" t="str">
        <f t="shared" si="16"/>
        <v>Saine Maria CAmila</v>
      </c>
    </row>
    <row r="164" spans="1:1" x14ac:dyDescent="0.25">
      <c r="A164" t="str">
        <f t="shared" ref="A164:A227" si="17">A163</f>
        <v>Saine Maria CAmila</v>
      </c>
    </row>
    <row r="165" spans="1:1" x14ac:dyDescent="0.25">
      <c r="A165" t="str">
        <f t="shared" si="17"/>
        <v>Saine Maria CAmila</v>
      </c>
    </row>
    <row r="166" spans="1:1" x14ac:dyDescent="0.25">
      <c r="A166" t="str">
        <f t="shared" si="17"/>
        <v>Saine Maria CAmila</v>
      </c>
    </row>
    <row r="167" spans="1:1" x14ac:dyDescent="0.25">
      <c r="A167" t="str">
        <f t="shared" si="17"/>
        <v>Saine Maria CAmila</v>
      </c>
    </row>
    <row r="168" spans="1:1" x14ac:dyDescent="0.25">
      <c r="A168" t="str">
        <f t="shared" si="17"/>
        <v>Saine Maria CAmila</v>
      </c>
    </row>
    <row r="169" spans="1:1" x14ac:dyDescent="0.25">
      <c r="A169" t="str">
        <f t="shared" si="17"/>
        <v>Saine Maria CAmila</v>
      </c>
    </row>
    <row r="170" spans="1:1" x14ac:dyDescent="0.25">
      <c r="A170" t="str">
        <f t="shared" si="17"/>
        <v>Saine Maria CAmila</v>
      </c>
    </row>
    <row r="171" spans="1:1" x14ac:dyDescent="0.25">
      <c r="A171" t="str">
        <f t="shared" si="17"/>
        <v>Saine Maria CAmila</v>
      </c>
    </row>
    <row r="172" spans="1:1" x14ac:dyDescent="0.25">
      <c r="A172" t="str">
        <f t="shared" si="17"/>
        <v>Saine Maria CAmila</v>
      </c>
    </row>
    <row r="173" spans="1:1" x14ac:dyDescent="0.25">
      <c r="A173" t="str">
        <f t="shared" si="17"/>
        <v>Saine Maria CAmila</v>
      </c>
    </row>
    <row r="174" spans="1:1" x14ac:dyDescent="0.25">
      <c r="A174" t="str">
        <f t="shared" si="17"/>
        <v>Saine Maria CAmila</v>
      </c>
    </row>
    <row r="175" spans="1:1" x14ac:dyDescent="0.25">
      <c r="A175" t="str">
        <f t="shared" si="17"/>
        <v>Saine Maria CAmila</v>
      </c>
    </row>
    <row r="176" spans="1:1" x14ac:dyDescent="0.25">
      <c r="A176" t="str">
        <f t="shared" si="17"/>
        <v>Saine Maria CAmila</v>
      </c>
    </row>
    <row r="177" spans="1:1" x14ac:dyDescent="0.25">
      <c r="A177" t="str">
        <f t="shared" si="17"/>
        <v>Saine Maria CAmila</v>
      </c>
    </row>
    <row r="178" spans="1:1" x14ac:dyDescent="0.25">
      <c r="A178" t="str">
        <f t="shared" si="17"/>
        <v>Saine Maria CAmila</v>
      </c>
    </row>
    <row r="179" spans="1:1" x14ac:dyDescent="0.25">
      <c r="A179" t="str">
        <f t="shared" si="17"/>
        <v>Saine Maria CAmila</v>
      </c>
    </row>
    <row r="180" spans="1:1" x14ac:dyDescent="0.25">
      <c r="A180" t="str">
        <f t="shared" si="17"/>
        <v>Saine Maria CAmila</v>
      </c>
    </row>
    <row r="181" spans="1:1" x14ac:dyDescent="0.25">
      <c r="A181" t="str">
        <f t="shared" si="17"/>
        <v>Saine Maria CAmila</v>
      </c>
    </row>
    <row r="182" spans="1:1" x14ac:dyDescent="0.25">
      <c r="A182" t="str">
        <f t="shared" si="17"/>
        <v>Saine Maria CAmila</v>
      </c>
    </row>
    <row r="183" spans="1:1" x14ac:dyDescent="0.25">
      <c r="A183" t="str">
        <f t="shared" si="17"/>
        <v>Saine Maria CAmila</v>
      </c>
    </row>
    <row r="184" spans="1:1" x14ac:dyDescent="0.25">
      <c r="A184" t="str">
        <f t="shared" si="17"/>
        <v>Saine Maria CAmila</v>
      </c>
    </row>
    <row r="185" spans="1:1" x14ac:dyDescent="0.25">
      <c r="A185" t="str">
        <f t="shared" si="17"/>
        <v>Saine Maria CAmila</v>
      </c>
    </row>
    <row r="186" spans="1:1" x14ac:dyDescent="0.25">
      <c r="A186" t="str">
        <f t="shared" si="17"/>
        <v>Saine Maria CAmila</v>
      </c>
    </row>
    <row r="187" spans="1:1" x14ac:dyDescent="0.25">
      <c r="A187" t="str">
        <f t="shared" si="17"/>
        <v>Saine Maria CAmila</v>
      </c>
    </row>
    <row r="188" spans="1:1" x14ac:dyDescent="0.25">
      <c r="A188" t="str">
        <f t="shared" si="17"/>
        <v>Saine Maria CAmila</v>
      </c>
    </row>
    <row r="189" spans="1:1" x14ac:dyDescent="0.25">
      <c r="A189" t="str">
        <f t="shared" si="17"/>
        <v>Saine Maria CAmila</v>
      </c>
    </row>
    <row r="190" spans="1:1" x14ac:dyDescent="0.25">
      <c r="A190" t="str">
        <f t="shared" si="17"/>
        <v>Saine Maria CAmila</v>
      </c>
    </row>
    <row r="191" spans="1:1" x14ac:dyDescent="0.25">
      <c r="A191" t="str">
        <f t="shared" si="17"/>
        <v>Saine Maria CAmila</v>
      </c>
    </row>
    <row r="192" spans="1:1" x14ac:dyDescent="0.25">
      <c r="A192" t="str">
        <f t="shared" si="17"/>
        <v>Saine Maria CAmila</v>
      </c>
    </row>
    <row r="193" spans="1:1" x14ac:dyDescent="0.25">
      <c r="A193" t="str">
        <f t="shared" si="17"/>
        <v>Saine Maria CAmila</v>
      </c>
    </row>
    <row r="194" spans="1:1" x14ac:dyDescent="0.25">
      <c r="A194" t="str">
        <f t="shared" si="17"/>
        <v>Saine Maria CAmila</v>
      </c>
    </row>
    <row r="195" spans="1:1" x14ac:dyDescent="0.25">
      <c r="A195" t="str">
        <f t="shared" si="17"/>
        <v>Saine Maria CAmila</v>
      </c>
    </row>
    <row r="196" spans="1:1" x14ac:dyDescent="0.25">
      <c r="A196" t="str">
        <f t="shared" si="17"/>
        <v>Saine Maria CAmila</v>
      </c>
    </row>
    <row r="197" spans="1:1" x14ac:dyDescent="0.25">
      <c r="A197" t="str">
        <f t="shared" si="17"/>
        <v>Saine Maria CAmila</v>
      </c>
    </row>
    <row r="198" spans="1:1" x14ac:dyDescent="0.25">
      <c r="A198" t="str">
        <f t="shared" si="17"/>
        <v>Saine Maria CAmila</v>
      </c>
    </row>
    <row r="199" spans="1:1" x14ac:dyDescent="0.25">
      <c r="A199" t="str">
        <f t="shared" si="17"/>
        <v>Saine Maria CAmila</v>
      </c>
    </row>
    <row r="200" spans="1:1" x14ac:dyDescent="0.25">
      <c r="A200" t="str">
        <f t="shared" si="17"/>
        <v>Saine Maria CAmila</v>
      </c>
    </row>
    <row r="201" spans="1:1" x14ac:dyDescent="0.25">
      <c r="A201" t="str">
        <f t="shared" si="17"/>
        <v>Saine Maria CAmila</v>
      </c>
    </row>
    <row r="202" spans="1:1" x14ac:dyDescent="0.25">
      <c r="A202" t="str">
        <f t="shared" si="17"/>
        <v>Saine Maria CAmila</v>
      </c>
    </row>
    <row r="203" spans="1:1" x14ac:dyDescent="0.25">
      <c r="A203" t="str">
        <f t="shared" si="17"/>
        <v>Saine Maria CAmila</v>
      </c>
    </row>
    <row r="204" spans="1:1" x14ac:dyDescent="0.25">
      <c r="A204" t="str">
        <f t="shared" si="17"/>
        <v>Saine Maria CAmila</v>
      </c>
    </row>
    <row r="205" spans="1:1" x14ac:dyDescent="0.25">
      <c r="A205" t="str">
        <f t="shared" si="17"/>
        <v>Saine Maria CAmila</v>
      </c>
    </row>
    <row r="206" spans="1:1" x14ac:dyDescent="0.25">
      <c r="A206" t="str">
        <f t="shared" si="17"/>
        <v>Saine Maria CAmila</v>
      </c>
    </row>
    <row r="207" spans="1:1" x14ac:dyDescent="0.25">
      <c r="A207" t="str">
        <f t="shared" si="17"/>
        <v>Saine Maria CAmila</v>
      </c>
    </row>
    <row r="208" spans="1:1" x14ac:dyDescent="0.25">
      <c r="A208" t="str">
        <f t="shared" si="17"/>
        <v>Saine Maria CAmila</v>
      </c>
    </row>
    <row r="209" spans="1:1" x14ac:dyDescent="0.25">
      <c r="A209" t="str">
        <f t="shared" si="17"/>
        <v>Saine Maria CAmila</v>
      </c>
    </row>
    <row r="210" spans="1:1" x14ac:dyDescent="0.25">
      <c r="A210" t="str">
        <f t="shared" si="17"/>
        <v>Saine Maria CAmila</v>
      </c>
    </row>
    <row r="211" spans="1:1" x14ac:dyDescent="0.25">
      <c r="A211" t="str">
        <f t="shared" si="17"/>
        <v>Saine Maria CAmila</v>
      </c>
    </row>
    <row r="212" spans="1:1" x14ac:dyDescent="0.25">
      <c r="A212" t="str">
        <f t="shared" si="17"/>
        <v>Saine Maria CAmila</v>
      </c>
    </row>
    <row r="213" spans="1:1" x14ac:dyDescent="0.25">
      <c r="A213" t="str">
        <f t="shared" si="17"/>
        <v>Saine Maria CAmila</v>
      </c>
    </row>
    <row r="214" spans="1:1" x14ac:dyDescent="0.25">
      <c r="A214" t="str">
        <f t="shared" si="17"/>
        <v>Saine Maria CAmila</v>
      </c>
    </row>
    <row r="215" spans="1:1" x14ac:dyDescent="0.25">
      <c r="A215" t="str">
        <f t="shared" si="17"/>
        <v>Saine Maria CAmila</v>
      </c>
    </row>
    <row r="216" spans="1:1" x14ac:dyDescent="0.25">
      <c r="A216" t="str">
        <f t="shared" si="17"/>
        <v>Saine Maria CAmila</v>
      </c>
    </row>
    <row r="217" spans="1:1" x14ac:dyDescent="0.25">
      <c r="A217" t="str">
        <f t="shared" si="17"/>
        <v>Saine Maria CAmila</v>
      </c>
    </row>
    <row r="218" spans="1:1" x14ac:dyDescent="0.25">
      <c r="A218" t="str">
        <f t="shared" si="17"/>
        <v>Saine Maria CAmila</v>
      </c>
    </row>
    <row r="219" spans="1:1" x14ac:dyDescent="0.25">
      <c r="A219" t="str">
        <f t="shared" si="17"/>
        <v>Saine Maria CAmila</v>
      </c>
    </row>
    <row r="220" spans="1:1" x14ac:dyDescent="0.25">
      <c r="A220" t="str">
        <f t="shared" si="17"/>
        <v>Saine Maria CAmila</v>
      </c>
    </row>
    <row r="221" spans="1:1" x14ac:dyDescent="0.25">
      <c r="A221" t="str">
        <f t="shared" si="17"/>
        <v>Saine Maria CAmila</v>
      </c>
    </row>
    <row r="222" spans="1:1" x14ac:dyDescent="0.25">
      <c r="A222" t="str">
        <f t="shared" si="17"/>
        <v>Saine Maria CAmila</v>
      </c>
    </row>
    <row r="223" spans="1:1" x14ac:dyDescent="0.25">
      <c r="A223" t="str">
        <f t="shared" si="17"/>
        <v>Saine Maria CAmila</v>
      </c>
    </row>
    <row r="224" spans="1:1" x14ac:dyDescent="0.25">
      <c r="A224" t="str">
        <f t="shared" si="17"/>
        <v>Saine Maria CAmila</v>
      </c>
    </row>
    <row r="225" spans="1:1" x14ac:dyDescent="0.25">
      <c r="A225" t="str">
        <f t="shared" si="17"/>
        <v>Saine Maria CAmila</v>
      </c>
    </row>
    <row r="226" spans="1:1" x14ac:dyDescent="0.25">
      <c r="A226" t="str">
        <f t="shared" si="17"/>
        <v>Saine Maria CAmila</v>
      </c>
    </row>
    <row r="227" spans="1:1" x14ac:dyDescent="0.25">
      <c r="A227" t="str">
        <f t="shared" si="17"/>
        <v>Saine Maria CAmila</v>
      </c>
    </row>
    <row r="228" spans="1:1" x14ac:dyDescent="0.25">
      <c r="A228" t="str">
        <f t="shared" ref="A228:A291" si="18">A227</f>
        <v>Saine Maria CAmila</v>
      </c>
    </row>
    <row r="229" spans="1:1" x14ac:dyDescent="0.25">
      <c r="A229" t="str">
        <f t="shared" si="18"/>
        <v>Saine Maria CAmila</v>
      </c>
    </row>
    <row r="230" spans="1:1" x14ac:dyDescent="0.25">
      <c r="A230" t="str">
        <f t="shared" si="18"/>
        <v>Saine Maria CAmila</v>
      </c>
    </row>
    <row r="231" spans="1:1" x14ac:dyDescent="0.25">
      <c r="A231" t="str">
        <f t="shared" si="18"/>
        <v>Saine Maria CAmila</v>
      </c>
    </row>
    <row r="232" spans="1:1" x14ac:dyDescent="0.25">
      <c r="A232" t="str">
        <f t="shared" si="18"/>
        <v>Saine Maria CAmila</v>
      </c>
    </row>
    <row r="233" spans="1:1" x14ac:dyDescent="0.25">
      <c r="A233" t="str">
        <f t="shared" si="18"/>
        <v>Saine Maria CAmila</v>
      </c>
    </row>
    <row r="234" spans="1:1" x14ac:dyDescent="0.25">
      <c r="A234" t="str">
        <f t="shared" si="18"/>
        <v>Saine Maria CAmila</v>
      </c>
    </row>
    <row r="235" spans="1:1" x14ac:dyDescent="0.25">
      <c r="A235" t="str">
        <f t="shared" si="18"/>
        <v>Saine Maria CAmila</v>
      </c>
    </row>
    <row r="236" spans="1:1" x14ac:dyDescent="0.25">
      <c r="A236" t="str">
        <f t="shared" si="18"/>
        <v>Saine Maria CAmila</v>
      </c>
    </row>
    <row r="237" spans="1:1" x14ac:dyDescent="0.25">
      <c r="A237" t="str">
        <f t="shared" si="18"/>
        <v>Saine Maria CAmila</v>
      </c>
    </row>
    <row r="238" spans="1:1" x14ac:dyDescent="0.25">
      <c r="A238" t="str">
        <f t="shared" si="18"/>
        <v>Saine Maria CAmila</v>
      </c>
    </row>
    <row r="239" spans="1:1" x14ac:dyDescent="0.25">
      <c r="A239" t="str">
        <f t="shared" si="18"/>
        <v>Saine Maria CAmila</v>
      </c>
    </row>
    <row r="240" spans="1:1" x14ac:dyDescent="0.25">
      <c r="A240" t="str">
        <f t="shared" si="18"/>
        <v>Saine Maria CAmila</v>
      </c>
    </row>
    <row r="241" spans="1:1" x14ac:dyDescent="0.25">
      <c r="A241" t="str">
        <f t="shared" si="18"/>
        <v>Saine Maria CAmila</v>
      </c>
    </row>
    <row r="242" spans="1:1" x14ac:dyDescent="0.25">
      <c r="A242" t="str">
        <f t="shared" si="18"/>
        <v>Saine Maria CAmila</v>
      </c>
    </row>
    <row r="243" spans="1:1" x14ac:dyDescent="0.25">
      <c r="A243" t="str">
        <f t="shared" si="18"/>
        <v>Saine Maria CAmila</v>
      </c>
    </row>
    <row r="244" spans="1:1" x14ac:dyDescent="0.25">
      <c r="A244" t="str">
        <f t="shared" si="18"/>
        <v>Saine Maria CAmila</v>
      </c>
    </row>
    <row r="245" spans="1:1" x14ac:dyDescent="0.25">
      <c r="A245" t="str">
        <f t="shared" si="18"/>
        <v>Saine Maria CAmila</v>
      </c>
    </row>
    <row r="246" spans="1:1" x14ac:dyDescent="0.25">
      <c r="A246" t="str">
        <f t="shared" si="18"/>
        <v>Saine Maria CAmila</v>
      </c>
    </row>
    <row r="247" spans="1:1" x14ac:dyDescent="0.25">
      <c r="A247" t="str">
        <f t="shared" si="18"/>
        <v>Saine Maria CAmila</v>
      </c>
    </row>
    <row r="248" spans="1:1" x14ac:dyDescent="0.25">
      <c r="A248" t="str">
        <f t="shared" si="18"/>
        <v>Saine Maria CAmila</v>
      </c>
    </row>
    <row r="249" spans="1:1" x14ac:dyDescent="0.25">
      <c r="A249" t="str">
        <f t="shared" si="18"/>
        <v>Saine Maria CAmila</v>
      </c>
    </row>
    <row r="250" spans="1:1" x14ac:dyDescent="0.25">
      <c r="A250" t="str">
        <f t="shared" si="18"/>
        <v>Saine Maria CAmila</v>
      </c>
    </row>
    <row r="251" spans="1:1" x14ac:dyDescent="0.25">
      <c r="A251" t="str">
        <f t="shared" si="18"/>
        <v>Saine Maria CAmila</v>
      </c>
    </row>
    <row r="252" spans="1:1" x14ac:dyDescent="0.25">
      <c r="A252" t="str">
        <f t="shared" si="18"/>
        <v>Saine Maria CAmila</v>
      </c>
    </row>
    <row r="253" spans="1:1" x14ac:dyDescent="0.25">
      <c r="A253" t="str">
        <f t="shared" si="18"/>
        <v>Saine Maria CAmila</v>
      </c>
    </row>
    <row r="254" spans="1:1" x14ac:dyDescent="0.25">
      <c r="A254" t="str">
        <f t="shared" si="18"/>
        <v>Saine Maria CAmila</v>
      </c>
    </row>
    <row r="255" spans="1:1" x14ac:dyDescent="0.25">
      <c r="A255" t="str">
        <f t="shared" si="18"/>
        <v>Saine Maria CAmila</v>
      </c>
    </row>
    <row r="256" spans="1:1" x14ac:dyDescent="0.25">
      <c r="A256" t="str">
        <f t="shared" si="18"/>
        <v>Saine Maria CAmila</v>
      </c>
    </row>
    <row r="257" spans="1:1" x14ac:dyDescent="0.25">
      <c r="A257" t="str">
        <f t="shared" si="18"/>
        <v>Saine Maria CAmila</v>
      </c>
    </row>
    <row r="258" spans="1:1" x14ac:dyDescent="0.25">
      <c r="A258" t="str">
        <f t="shared" si="18"/>
        <v>Saine Maria CAmila</v>
      </c>
    </row>
    <row r="259" spans="1:1" x14ac:dyDescent="0.25">
      <c r="A259" t="str">
        <f t="shared" si="18"/>
        <v>Saine Maria CAmila</v>
      </c>
    </row>
    <row r="260" spans="1:1" x14ac:dyDescent="0.25">
      <c r="A260" t="str">
        <f t="shared" si="18"/>
        <v>Saine Maria CAmila</v>
      </c>
    </row>
    <row r="261" spans="1:1" x14ac:dyDescent="0.25">
      <c r="A261" t="str">
        <f t="shared" si="18"/>
        <v>Saine Maria CAmila</v>
      </c>
    </row>
    <row r="262" spans="1:1" x14ac:dyDescent="0.25">
      <c r="A262" t="str">
        <f t="shared" si="18"/>
        <v>Saine Maria CAmila</v>
      </c>
    </row>
    <row r="263" spans="1:1" x14ac:dyDescent="0.25">
      <c r="A263" t="str">
        <f t="shared" si="18"/>
        <v>Saine Maria CAmila</v>
      </c>
    </row>
    <row r="264" spans="1:1" x14ac:dyDescent="0.25">
      <c r="A264" t="str">
        <f t="shared" si="18"/>
        <v>Saine Maria CAmila</v>
      </c>
    </row>
    <row r="265" spans="1:1" x14ac:dyDescent="0.25">
      <c r="A265" t="str">
        <f t="shared" si="18"/>
        <v>Saine Maria CAmila</v>
      </c>
    </row>
    <row r="266" spans="1:1" x14ac:dyDescent="0.25">
      <c r="A266" t="str">
        <f t="shared" si="18"/>
        <v>Saine Maria CAmila</v>
      </c>
    </row>
    <row r="267" spans="1:1" x14ac:dyDescent="0.25">
      <c r="A267" t="str">
        <f t="shared" si="18"/>
        <v>Saine Maria CAmila</v>
      </c>
    </row>
    <row r="268" spans="1:1" x14ac:dyDescent="0.25">
      <c r="A268" t="str">
        <f t="shared" si="18"/>
        <v>Saine Maria CAmila</v>
      </c>
    </row>
    <row r="269" spans="1:1" x14ac:dyDescent="0.25">
      <c r="A269" t="str">
        <f t="shared" si="18"/>
        <v>Saine Maria CAmila</v>
      </c>
    </row>
    <row r="270" spans="1:1" x14ac:dyDescent="0.25">
      <c r="A270" t="str">
        <f t="shared" si="18"/>
        <v>Saine Maria CAmila</v>
      </c>
    </row>
    <row r="271" spans="1:1" x14ac:dyDescent="0.25">
      <c r="A271" t="str">
        <f t="shared" si="18"/>
        <v>Saine Maria CAmila</v>
      </c>
    </row>
    <row r="272" spans="1:1" x14ac:dyDescent="0.25">
      <c r="A272" t="str">
        <f t="shared" si="18"/>
        <v>Saine Maria CAmila</v>
      </c>
    </row>
    <row r="273" spans="1:1" x14ac:dyDescent="0.25">
      <c r="A273" t="str">
        <f t="shared" si="18"/>
        <v>Saine Maria CAmila</v>
      </c>
    </row>
    <row r="274" spans="1:1" x14ac:dyDescent="0.25">
      <c r="A274" t="str">
        <f t="shared" si="18"/>
        <v>Saine Maria CAmila</v>
      </c>
    </row>
    <row r="275" spans="1:1" x14ac:dyDescent="0.25">
      <c r="A275" t="str">
        <f t="shared" si="18"/>
        <v>Saine Maria CAmila</v>
      </c>
    </row>
    <row r="276" spans="1:1" x14ac:dyDescent="0.25">
      <c r="A276" t="str">
        <f t="shared" si="18"/>
        <v>Saine Maria CAmila</v>
      </c>
    </row>
    <row r="277" spans="1:1" x14ac:dyDescent="0.25">
      <c r="A277" t="str">
        <f t="shared" si="18"/>
        <v>Saine Maria CAmila</v>
      </c>
    </row>
    <row r="278" spans="1:1" x14ac:dyDescent="0.25">
      <c r="A278" t="str">
        <f t="shared" si="18"/>
        <v>Saine Maria CAmila</v>
      </c>
    </row>
    <row r="279" spans="1:1" x14ac:dyDescent="0.25">
      <c r="A279" t="str">
        <f t="shared" si="18"/>
        <v>Saine Maria CAmila</v>
      </c>
    </row>
    <row r="280" spans="1:1" x14ac:dyDescent="0.25">
      <c r="A280" t="str">
        <f t="shared" si="18"/>
        <v>Saine Maria CAmila</v>
      </c>
    </row>
    <row r="281" spans="1:1" x14ac:dyDescent="0.25">
      <c r="A281" t="str">
        <f t="shared" si="18"/>
        <v>Saine Maria CAmila</v>
      </c>
    </row>
    <row r="282" spans="1:1" x14ac:dyDescent="0.25">
      <c r="A282" t="str">
        <f t="shared" si="18"/>
        <v>Saine Maria CAmila</v>
      </c>
    </row>
    <row r="283" spans="1:1" x14ac:dyDescent="0.25">
      <c r="A283" t="str">
        <f t="shared" si="18"/>
        <v>Saine Maria CAmila</v>
      </c>
    </row>
    <row r="284" spans="1:1" x14ac:dyDescent="0.25">
      <c r="A284" t="str">
        <f t="shared" si="18"/>
        <v>Saine Maria CAmila</v>
      </c>
    </row>
    <row r="285" spans="1:1" x14ac:dyDescent="0.25">
      <c r="A285" t="str">
        <f t="shared" si="18"/>
        <v>Saine Maria CAmila</v>
      </c>
    </row>
    <row r="286" spans="1:1" x14ac:dyDescent="0.25">
      <c r="A286" t="str">
        <f t="shared" si="18"/>
        <v>Saine Maria CAmila</v>
      </c>
    </row>
    <row r="287" spans="1:1" x14ac:dyDescent="0.25">
      <c r="A287" t="str">
        <f t="shared" si="18"/>
        <v>Saine Maria CAmila</v>
      </c>
    </row>
    <row r="288" spans="1:1" x14ac:dyDescent="0.25">
      <c r="A288" t="str">
        <f t="shared" si="18"/>
        <v>Saine Maria CAmila</v>
      </c>
    </row>
    <row r="289" spans="1:1" x14ac:dyDescent="0.25">
      <c r="A289" t="str">
        <f t="shared" si="18"/>
        <v>Saine Maria CAmila</v>
      </c>
    </row>
    <row r="290" spans="1:1" x14ac:dyDescent="0.25">
      <c r="A290" t="str">
        <f t="shared" si="18"/>
        <v>Saine Maria CAmila</v>
      </c>
    </row>
    <row r="291" spans="1:1" x14ac:dyDescent="0.25">
      <c r="A291" t="str">
        <f t="shared" si="18"/>
        <v>Saine Maria CAmila</v>
      </c>
    </row>
    <row r="292" spans="1:1" x14ac:dyDescent="0.25">
      <c r="A292" t="str">
        <f t="shared" ref="A292:A345" si="19">A291</f>
        <v>Saine Maria CAmila</v>
      </c>
    </row>
    <row r="293" spans="1:1" x14ac:dyDescent="0.25">
      <c r="A293" t="str">
        <f t="shared" si="19"/>
        <v>Saine Maria CAmila</v>
      </c>
    </row>
    <row r="294" spans="1:1" x14ac:dyDescent="0.25">
      <c r="A294" t="str">
        <f t="shared" si="19"/>
        <v>Saine Maria CAmila</v>
      </c>
    </row>
    <row r="295" spans="1:1" x14ac:dyDescent="0.25">
      <c r="A295" t="str">
        <f t="shared" si="19"/>
        <v>Saine Maria CAmila</v>
      </c>
    </row>
    <row r="296" spans="1:1" x14ac:dyDescent="0.25">
      <c r="A296" t="str">
        <f t="shared" si="19"/>
        <v>Saine Maria CAmila</v>
      </c>
    </row>
    <row r="297" spans="1:1" x14ac:dyDescent="0.25">
      <c r="A297" t="str">
        <f t="shared" si="19"/>
        <v>Saine Maria CAmila</v>
      </c>
    </row>
    <row r="298" spans="1:1" x14ac:dyDescent="0.25">
      <c r="A298" t="str">
        <f t="shared" si="19"/>
        <v>Saine Maria CAmila</v>
      </c>
    </row>
    <row r="299" spans="1:1" x14ac:dyDescent="0.25">
      <c r="A299" t="str">
        <f t="shared" si="19"/>
        <v>Saine Maria CAmila</v>
      </c>
    </row>
    <row r="300" spans="1:1" x14ac:dyDescent="0.25">
      <c r="A300" t="str">
        <f t="shared" si="19"/>
        <v>Saine Maria CAmila</v>
      </c>
    </row>
    <row r="301" spans="1:1" x14ac:dyDescent="0.25">
      <c r="A301" t="str">
        <f t="shared" si="19"/>
        <v>Saine Maria CAmila</v>
      </c>
    </row>
    <row r="302" spans="1:1" x14ac:dyDescent="0.25">
      <c r="A302" t="str">
        <f t="shared" si="19"/>
        <v>Saine Maria CAmila</v>
      </c>
    </row>
    <row r="303" spans="1:1" x14ac:dyDescent="0.25">
      <c r="A303" t="str">
        <f t="shared" si="19"/>
        <v>Saine Maria CAmila</v>
      </c>
    </row>
    <row r="304" spans="1:1" x14ac:dyDescent="0.25">
      <c r="A304" t="str">
        <f t="shared" si="19"/>
        <v>Saine Maria CAmila</v>
      </c>
    </row>
    <row r="305" spans="1:1" x14ac:dyDescent="0.25">
      <c r="A305" t="str">
        <f t="shared" si="19"/>
        <v>Saine Maria CAmila</v>
      </c>
    </row>
    <row r="306" spans="1:1" x14ac:dyDescent="0.25">
      <c r="A306" t="str">
        <f t="shared" si="19"/>
        <v>Saine Maria CAmila</v>
      </c>
    </row>
    <row r="307" spans="1:1" x14ac:dyDescent="0.25">
      <c r="A307" t="str">
        <f t="shared" si="19"/>
        <v>Saine Maria CAmila</v>
      </c>
    </row>
    <row r="308" spans="1:1" x14ac:dyDescent="0.25">
      <c r="A308" t="str">
        <f t="shared" si="19"/>
        <v>Saine Maria CAmila</v>
      </c>
    </row>
    <row r="309" spans="1:1" x14ac:dyDescent="0.25">
      <c r="A309" t="str">
        <f t="shared" si="19"/>
        <v>Saine Maria CAmila</v>
      </c>
    </row>
    <row r="310" spans="1:1" x14ac:dyDescent="0.25">
      <c r="A310" t="str">
        <f t="shared" si="19"/>
        <v>Saine Maria CAmila</v>
      </c>
    </row>
    <row r="311" spans="1:1" x14ac:dyDescent="0.25">
      <c r="A311" t="str">
        <f t="shared" si="19"/>
        <v>Saine Maria CAmila</v>
      </c>
    </row>
    <row r="312" spans="1:1" x14ac:dyDescent="0.25">
      <c r="A312" t="str">
        <f t="shared" si="19"/>
        <v>Saine Maria CAmila</v>
      </c>
    </row>
    <row r="313" spans="1:1" x14ac:dyDescent="0.25">
      <c r="A313" t="str">
        <f t="shared" si="19"/>
        <v>Saine Maria CAmila</v>
      </c>
    </row>
    <row r="314" spans="1:1" x14ac:dyDescent="0.25">
      <c r="A314" t="str">
        <f t="shared" si="19"/>
        <v>Saine Maria CAmila</v>
      </c>
    </row>
    <row r="315" spans="1:1" x14ac:dyDescent="0.25">
      <c r="A315" t="str">
        <f t="shared" si="19"/>
        <v>Saine Maria CAmila</v>
      </c>
    </row>
    <row r="316" spans="1:1" x14ac:dyDescent="0.25">
      <c r="A316" t="str">
        <f t="shared" si="19"/>
        <v>Saine Maria CAmila</v>
      </c>
    </row>
    <row r="317" spans="1:1" x14ac:dyDescent="0.25">
      <c r="A317" t="str">
        <f t="shared" si="19"/>
        <v>Saine Maria CAmila</v>
      </c>
    </row>
    <row r="318" spans="1:1" x14ac:dyDescent="0.25">
      <c r="A318" t="str">
        <f t="shared" si="19"/>
        <v>Saine Maria CAmila</v>
      </c>
    </row>
    <row r="319" spans="1:1" x14ac:dyDescent="0.25">
      <c r="A319" t="str">
        <f t="shared" si="19"/>
        <v>Saine Maria CAmila</v>
      </c>
    </row>
    <row r="320" spans="1:1" x14ac:dyDescent="0.25">
      <c r="A320" t="str">
        <f t="shared" si="19"/>
        <v>Saine Maria CAmila</v>
      </c>
    </row>
    <row r="321" spans="1:1" x14ac:dyDescent="0.25">
      <c r="A321" t="str">
        <f t="shared" si="19"/>
        <v>Saine Maria CAmila</v>
      </c>
    </row>
    <row r="322" spans="1:1" x14ac:dyDescent="0.25">
      <c r="A322" t="str">
        <f t="shared" si="19"/>
        <v>Saine Maria CAmila</v>
      </c>
    </row>
    <row r="323" spans="1:1" x14ac:dyDescent="0.25">
      <c r="A323" t="str">
        <f t="shared" si="19"/>
        <v>Saine Maria CAmila</v>
      </c>
    </row>
    <row r="324" spans="1:1" x14ac:dyDescent="0.25">
      <c r="A324" t="str">
        <f t="shared" si="19"/>
        <v>Saine Maria CAmila</v>
      </c>
    </row>
    <row r="325" spans="1:1" x14ac:dyDescent="0.25">
      <c r="A325" t="str">
        <f t="shared" si="19"/>
        <v>Saine Maria CAmila</v>
      </c>
    </row>
    <row r="326" spans="1:1" x14ac:dyDescent="0.25">
      <c r="A326" t="str">
        <f t="shared" si="19"/>
        <v>Saine Maria CAmila</v>
      </c>
    </row>
    <row r="327" spans="1:1" x14ac:dyDescent="0.25">
      <c r="A327" t="str">
        <f t="shared" si="19"/>
        <v>Saine Maria CAmila</v>
      </c>
    </row>
    <row r="328" spans="1:1" x14ac:dyDescent="0.25">
      <c r="A328" t="str">
        <f t="shared" si="19"/>
        <v>Saine Maria CAmila</v>
      </c>
    </row>
    <row r="329" spans="1:1" x14ac:dyDescent="0.25">
      <c r="A329" t="str">
        <f t="shared" si="19"/>
        <v>Saine Maria CAmila</v>
      </c>
    </row>
    <row r="330" spans="1:1" x14ac:dyDescent="0.25">
      <c r="A330" t="str">
        <f t="shared" si="19"/>
        <v>Saine Maria CAmila</v>
      </c>
    </row>
    <row r="331" spans="1:1" x14ac:dyDescent="0.25">
      <c r="A331" t="str">
        <f t="shared" si="19"/>
        <v>Saine Maria CAmila</v>
      </c>
    </row>
    <row r="332" spans="1:1" x14ac:dyDescent="0.25">
      <c r="A332" t="str">
        <f t="shared" si="19"/>
        <v>Saine Maria CAmila</v>
      </c>
    </row>
    <row r="333" spans="1:1" x14ac:dyDescent="0.25">
      <c r="A333" t="str">
        <f t="shared" si="19"/>
        <v>Saine Maria CAmila</v>
      </c>
    </row>
    <row r="334" spans="1:1" x14ac:dyDescent="0.25">
      <c r="A334" t="str">
        <f t="shared" si="19"/>
        <v>Saine Maria CAmila</v>
      </c>
    </row>
    <row r="335" spans="1:1" x14ac:dyDescent="0.25">
      <c r="A335" t="str">
        <f t="shared" si="19"/>
        <v>Saine Maria CAmila</v>
      </c>
    </row>
    <row r="336" spans="1:1" x14ac:dyDescent="0.25">
      <c r="A336" t="str">
        <f t="shared" si="19"/>
        <v>Saine Maria CAmila</v>
      </c>
    </row>
    <row r="337" spans="1:1" x14ac:dyDescent="0.25">
      <c r="A337" t="str">
        <f t="shared" si="19"/>
        <v>Saine Maria CAmila</v>
      </c>
    </row>
    <row r="338" spans="1:1" x14ac:dyDescent="0.25">
      <c r="A338" t="str">
        <f t="shared" si="19"/>
        <v>Saine Maria CAmila</v>
      </c>
    </row>
    <row r="339" spans="1:1" x14ac:dyDescent="0.25">
      <c r="A339" t="str">
        <f t="shared" si="19"/>
        <v>Saine Maria CAmila</v>
      </c>
    </row>
    <row r="340" spans="1:1" x14ac:dyDescent="0.25">
      <c r="A340" t="str">
        <f t="shared" si="19"/>
        <v>Saine Maria CAmila</v>
      </c>
    </row>
    <row r="341" spans="1:1" x14ac:dyDescent="0.25">
      <c r="A341" t="str">
        <f t="shared" si="19"/>
        <v>Saine Maria CAmila</v>
      </c>
    </row>
    <row r="342" spans="1:1" x14ac:dyDescent="0.25">
      <c r="A342" t="str">
        <f t="shared" si="19"/>
        <v>Saine Maria CAmila</v>
      </c>
    </row>
    <row r="343" spans="1:1" x14ac:dyDescent="0.25">
      <c r="A343" t="str">
        <f t="shared" si="19"/>
        <v>Saine Maria CAmila</v>
      </c>
    </row>
    <row r="344" spans="1:1" x14ac:dyDescent="0.25">
      <c r="A344" t="str">
        <f t="shared" si="19"/>
        <v>Saine Maria CAmila</v>
      </c>
    </row>
    <row r="345" spans="1:1" x14ac:dyDescent="0.25">
      <c r="A345" t="str">
        <f t="shared" si="19"/>
        <v>Saine Maria CAmila</v>
      </c>
    </row>
  </sheetData>
  <mergeCells count="5">
    <mergeCell ref="B1:D1"/>
    <mergeCell ref="E1:G1"/>
    <mergeCell ref="I1:M1"/>
    <mergeCell ref="P1:R1"/>
    <mergeCell ref="B2:G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0D883-AB81-4C6C-8106-BF43A6C07A35}">
  <sheetPr codeName="Taul53">
    <tabColor theme="5" tint="0.79998168889431442"/>
  </sheetPr>
  <dimension ref="A1:DJ32"/>
  <sheetViews>
    <sheetView zoomScaleNormal="100" workbookViewId="0">
      <pane ySplit="2" topLeftCell="A3" activePane="bottomLeft" state="frozen"/>
      <selection pane="bottomLeft" activeCell="A6" sqref="A6"/>
    </sheetView>
  </sheetViews>
  <sheetFormatPr defaultRowHeight="18" customHeight="1" x14ac:dyDescent="0.25"/>
  <cols>
    <col min="1" max="1" width="14.85546875" style="80" customWidth="1"/>
    <col min="2" max="2" width="24.5703125" style="80" customWidth="1"/>
    <col min="3" max="3" width="22.85546875" style="80" customWidth="1"/>
    <col min="4" max="4" width="14.42578125" style="80" customWidth="1"/>
    <col min="5" max="5" width="9.5703125" style="80" customWidth="1"/>
    <col min="6" max="6" width="13.5703125" style="80" customWidth="1"/>
    <col min="7" max="7" width="11.28515625" style="128" customWidth="1"/>
    <col min="8" max="8" width="12.28515625" style="80" customWidth="1"/>
    <col min="9" max="9" width="24" style="80" customWidth="1"/>
    <col min="10" max="10" width="1.7109375" style="51" hidden="1" customWidth="1"/>
    <col min="11" max="15" width="1.7109375" style="25" hidden="1" customWidth="1"/>
    <col min="16" max="16" width="1.7109375" style="52" hidden="1" customWidth="1"/>
    <col min="17" max="21" width="1.7109375" style="25" hidden="1" customWidth="1"/>
    <col min="22" max="23" width="10.85546875" style="25" hidden="1" customWidth="1"/>
    <col min="24" max="24" width="10.85546875" style="51" hidden="1" customWidth="1"/>
    <col min="25" max="29" width="10.85546875" style="25" hidden="1" customWidth="1"/>
    <col min="30" max="30" width="10.85546875" style="52" hidden="1" customWidth="1"/>
    <col min="31" max="31" width="10.85546875" style="48" hidden="1" customWidth="1"/>
    <col min="32" max="34" width="10.85546875" style="49" hidden="1" customWidth="1"/>
    <col min="35" max="36" width="1.7109375" style="49" hidden="1" customWidth="1"/>
    <col min="37" max="37" width="1.7109375" style="50" hidden="1" customWidth="1"/>
    <col min="38" max="38" width="1.7109375" style="48" hidden="1" customWidth="1"/>
    <col min="39" max="43" width="1.7109375" style="49" hidden="1" customWidth="1"/>
    <col min="44" max="44" width="1.7109375" style="50" hidden="1" customWidth="1"/>
    <col min="45" max="45" width="1.7109375" style="48" hidden="1" customWidth="1"/>
    <col min="46" max="50" width="1.7109375" style="49" hidden="1" customWidth="1"/>
    <col min="51" max="51" width="1.7109375" style="50" hidden="1" customWidth="1"/>
    <col min="52" max="57" width="1.7109375" style="24" hidden="1" customWidth="1"/>
    <col min="58" max="58" width="1.7109375" style="54" hidden="1" customWidth="1"/>
    <col min="59" max="65" width="1.7109375" style="24" hidden="1" customWidth="1"/>
    <col min="66" max="66" width="1.7109375" style="53" hidden="1" customWidth="1"/>
    <col min="67" max="71" width="1.7109375" style="24" hidden="1" customWidth="1"/>
    <col min="72" max="72" width="1.7109375" style="56" hidden="1" customWidth="1"/>
    <col min="73" max="73" width="1.7109375" style="85" hidden="1" customWidth="1"/>
    <col min="74" max="78" width="1.7109375" style="86" hidden="1" customWidth="1"/>
    <col min="79" max="79" width="1.7109375" style="87" hidden="1" customWidth="1"/>
    <col min="80" max="80" width="1.7109375" style="85" hidden="1" customWidth="1"/>
    <col min="81" max="85" width="1.7109375" style="86" hidden="1" customWidth="1"/>
    <col min="86" max="86" width="1.7109375" style="87" hidden="1" customWidth="1"/>
    <col min="87" max="87" width="1.7109375" style="85" hidden="1" customWidth="1"/>
    <col min="88" max="92" width="1.7109375" style="86" hidden="1" customWidth="1"/>
    <col min="93" max="93" width="1.7109375" style="87" hidden="1" customWidth="1"/>
    <col min="94" max="94" width="1.7109375" style="88" hidden="1" customWidth="1"/>
    <col min="95" max="100" width="1.7109375" style="89" hidden="1" customWidth="1"/>
    <col min="101" max="101" width="1.7109375" style="88" hidden="1" customWidth="1"/>
    <col min="102" max="106" width="1.7109375" style="89" hidden="1" customWidth="1"/>
    <col min="107" max="107" width="1.7109375" style="90" hidden="1" customWidth="1"/>
    <col min="108" max="113" width="1.7109375" style="89" hidden="1" customWidth="1"/>
    <col min="114" max="114" width="1.7109375" style="92" hidden="1" customWidth="1"/>
  </cols>
  <sheetData>
    <row r="1" spans="1:114" ht="47.45" customHeight="1" thickBot="1" x14ac:dyDescent="0.8">
      <c r="A1" s="93"/>
      <c r="B1" s="122" t="s">
        <v>251</v>
      </c>
      <c r="C1" s="122"/>
      <c r="D1" s="122"/>
      <c r="E1" s="114"/>
      <c r="F1" s="114"/>
      <c r="G1" s="114"/>
      <c r="H1" s="114"/>
      <c r="I1" s="114"/>
      <c r="J1" s="114"/>
      <c r="K1" s="94" t="s">
        <v>0</v>
      </c>
      <c r="L1" s="174"/>
      <c r="M1" s="174"/>
      <c r="N1" s="174"/>
      <c r="O1" s="94" t="s">
        <v>0</v>
      </c>
      <c r="P1" s="94" t="s">
        <v>0</v>
      </c>
      <c r="Q1" s="94" t="s">
        <v>0</v>
      </c>
      <c r="R1" s="94" t="s">
        <v>0</v>
      </c>
      <c r="S1" s="94" t="s">
        <v>0</v>
      </c>
      <c r="T1" s="94" t="s">
        <v>0</v>
      </c>
      <c r="U1" s="175"/>
      <c r="V1" s="175"/>
      <c r="W1" s="175"/>
      <c r="X1" s="176"/>
      <c r="Y1" t="s">
        <v>0</v>
      </c>
      <c r="Z1" t="s">
        <v>0</v>
      </c>
      <c r="AA1" t="s">
        <v>0</v>
      </c>
      <c r="AB1" t="s">
        <v>0</v>
      </c>
      <c r="AC1" t="s">
        <v>0</v>
      </c>
      <c r="AD1" t="s">
        <v>0</v>
      </c>
      <c r="AE1" t="s">
        <v>0</v>
      </c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</row>
    <row r="2" spans="1:114" ht="18" customHeight="1" x14ac:dyDescent="0.25">
      <c r="A2" t="s">
        <v>85</v>
      </c>
      <c r="B2" t="s">
        <v>86</v>
      </c>
      <c r="C2" t="s">
        <v>88</v>
      </c>
      <c r="D2" t="s">
        <v>89</v>
      </c>
      <c r="E2" t="s">
        <v>90</v>
      </c>
      <c r="F2" t="s">
        <v>91</v>
      </c>
      <c r="G2" s="127" t="s">
        <v>92</v>
      </c>
      <c r="H2" t="s">
        <v>93</v>
      </c>
      <c r="I2" t="s">
        <v>87</v>
      </c>
      <c r="J2" t="s">
        <v>94</v>
      </c>
      <c r="K2" t="s">
        <v>95</v>
      </c>
      <c r="L2" t="s">
        <v>96</v>
      </c>
      <c r="M2" t="s">
        <v>97</v>
      </c>
      <c r="N2" t="s">
        <v>98</v>
      </c>
      <c r="O2" t="s">
        <v>99</v>
      </c>
      <c r="P2" t="s">
        <v>100</v>
      </c>
      <c r="Q2" t="s">
        <v>101</v>
      </c>
      <c r="R2" t="s">
        <v>102</v>
      </c>
      <c r="S2" t="s">
        <v>103</v>
      </c>
      <c r="T2" t="s">
        <v>104</v>
      </c>
      <c r="U2" t="s">
        <v>105</v>
      </c>
      <c r="V2" t="s">
        <v>106</v>
      </c>
      <c r="W2" t="s">
        <v>107</v>
      </c>
      <c r="X2" t="s">
        <v>108</v>
      </c>
      <c r="Y2" t="s">
        <v>109</v>
      </c>
      <c r="Z2" t="s">
        <v>110</v>
      </c>
      <c r="AA2" t="s">
        <v>111</v>
      </c>
      <c r="AB2" t="s">
        <v>112</v>
      </c>
      <c r="AC2" t="s">
        <v>113</v>
      </c>
      <c r="AD2" t="s">
        <v>114</v>
      </c>
      <c r="AE2" t="s">
        <v>115</v>
      </c>
      <c r="AF2" t="s">
        <v>116</v>
      </c>
      <c r="AG2" t="s">
        <v>117</v>
      </c>
      <c r="AH2" t="s">
        <v>118</v>
      </c>
      <c r="AI2" t="s">
        <v>119</v>
      </c>
      <c r="AJ2" t="s">
        <v>120</v>
      </c>
      <c r="AK2" t="s">
        <v>121</v>
      </c>
      <c r="AL2" t="s">
        <v>122</v>
      </c>
      <c r="AM2" t="s">
        <v>123</v>
      </c>
      <c r="AN2" t="s">
        <v>124</v>
      </c>
      <c r="AO2" t="s">
        <v>125</v>
      </c>
      <c r="AP2" t="s">
        <v>126</v>
      </c>
      <c r="AQ2" t="s">
        <v>127</v>
      </c>
      <c r="AR2" t="s">
        <v>128</v>
      </c>
      <c r="AS2" t="s">
        <v>129</v>
      </c>
      <c r="AT2" t="s">
        <v>130</v>
      </c>
      <c r="AU2" t="s">
        <v>131</v>
      </c>
      <c r="AV2" t="s">
        <v>132</v>
      </c>
      <c r="AW2" t="s">
        <v>133</v>
      </c>
      <c r="AX2" t="s">
        <v>134</v>
      </c>
      <c r="AY2" t="s">
        <v>135</v>
      </c>
      <c r="AZ2" t="s">
        <v>136</v>
      </c>
      <c r="BA2" t="s">
        <v>137</v>
      </c>
      <c r="BB2" t="s">
        <v>138</v>
      </c>
      <c r="BC2" t="s">
        <v>139</v>
      </c>
      <c r="BD2" t="s">
        <v>140</v>
      </c>
      <c r="BE2" t="s">
        <v>141</v>
      </c>
      <c r="BF2" t="s">
        <v>142</v>
      </c>
      <c r="BG2" t="s">
        <v>143</v>
      </c>
      <c r="BH2" t="s">
        <v>144</v>
      </c>
      <c r="BI2" t="s">
        <v>145</v>
      </c>
      <c r="BJ2" t="s">
        <v>146</v>
      </c>
      <c r="BK2" t="s">
        <v>147</v>
      </c>
      <c r="BL2" t="s">
        <v>148</v>
      </c>
      <c r="BM2" t="s">
        <v>149</v>
      </c>
      <c r="BN2" t="s">
        <v>150</v>
      </c>
      <c r="BO2" t="s">
        <v>151</v>
      </c>
      <c r="BP2" t="s">
        <v>152</v>
      </c>
      <c r="BQ2" t="s">
        <v>153</v>
      </c>
      <c r="BR2" t="s">
        <v>154</v>
      </c>
      <c r="BS2" t="s">
        <v>155</v>
      </c>
      <c r="BT2" t="s">
        <v>156</v>
      </c>
      <c r="BU2" t="s">
        <v>157</v>
      </c>
      <c r="BV2" t="s">
        <v>158</v>
      </c>
      <c r="BW2" t="s">
        <v>159</v>
      </c>
      <c r="BX2" t="s">
        <v>160</v>
      </c>
      <c r="BY2" t="s">
        <v>161</v>
      </c>
      <c r="BZ2" t="s">
        <v>162</v>
      </c>
      <c r="CA2" t="s">
        <v>163</v>
      </c>
      <c r="CB2" t="s">
        <v>164</v>
      </c>
      <c r="CC2" t="s">
        <v>165</v>
      </c>
      <c r="CD2" t="s">
        <v>166</v>
      </c>
      <c r="CE2" t="s">
        <v>167</v>
      </c>
      <c r="CF2" t="s">
        <v>168</v>
      </c>
      <c r="CG2" t="s">
        <v>169</v>
      </c>
      <c r="CH2" t="s">
        <v>170</v>
      </c>
      <c r="CI2" t="s">
        <v>171</v>
      </c>
      <c r="CJ2" t="s">
        <v>172</v>
      </c>
      <c r="CK2" t="s">
        <v>173</v>
      </c>
      <c r="CL2" t="s">
        <v>174</v>
      </c>
      <c r="CM2" t="s">
        <v>175</v>
      </c>
      <c r="CN2" t="s">
        <v>176</v>
      </c>
      <c r="CO2" t="s">
        <v>177</v>
      </c>
      <c r="CP2" t="s">
        <v>178</v>
      </c>
      <c r="CQ2" t="s">
        <v>179</v>
      </c>
      <c r="CR2" t="s">
        <v>180</v>
      </c>
      <c r="CS2" t="s">
        <v>181</v>
      </c>
      <c r="CT2" t="s">
        <v>182</v>
      </c>
      <c r="CU2" t="s">
        <v>183</v>
      </c>
      <c r="CV2" t="s">
        <v>184</v>
      </c>
      <c r="CW2" t="s">
        <v>185</v>
      </c>
      <c r="CX2" t="s">
        <v>186</v>
      </c>
      <c r="CY2" t="s">
        <v>187</v>
      </c>
      <c r="CZ2" t="s">
        <v>188</v>
      </c>
      <c r="DA2" t="s">
        <v>189</v>
      </c>
      <c r="DB2" t="s">
        <v>190</v>
      </c>
      <c r="DC2" t="s">
        <v>191</v>
      </c>
      <c r="DD2" t="s">
        <v>192</v>
      </c>
      <c r="DE2" t="s">
        <v>193</v>
      </c>
      <c r="DF2" t="s">
        <v>194</v>
      </c>
      <c r="DG2" t="s">
        <v>195</v>
      </c>
      <c r="DH2" t="s">
        <v>196</v>
      </c>
      <c r="DI2" t="s">
        <v>197</v>
      </c>
      <c r="DJ2" t="s">
        <v>198</v>
      </c>
    </row>
    <row r="3" spans="1:114" s="80" customFormat="1" ht="18" customHeight="1" x14ac:dyDescent="0.25">
      <c r="A3" s="151"/>
      <c r="B3" s="151"/>
      <c r="C3" s="151"/>
      <c r="D3" s="151"/>
      <c r="E3" s="151"/>
      <c r="G3" s="152"/>
      <c r="H3" s="151"/>
      <c r="I3" s="151"/>
      <c r="J3" s="51"/>
      <c r="K3" s="25"/>
      <c r="L3" s="25"/>
      <c r="M3" s="25"/>
      <c r="N3" s="25"/>
      <c r="O3" s="25"/>
      <c r="P3" s="25"/>
      <c r="Q3" s="51"/>
      <c r="R3" s="25"/>
      <c r="S3" s="25"/>
      <c r="T3" s="25"/>
      <c r="U3" s="25"/>
      <c r="V3" s="25"/>
      <c r="W3" s="52"/>
      <c r="X3" s="25"/>
      <c r="Y3" s="25"/>
      <c r="Z3" s="25"/>
      <c r="AA3" s="25"/>
      <c r="AB3" s="25"/>
      <c r="AC3" s="25"/>
      <c r="AD3" s="52"/>
      <c r="AE3" s="48"/>
      <c r="AF3" s="49"/>
      <c r="AG3" s="49"/>
      <c r="AH3" s="49"/>
      <c r="AI3" s="49"/>
      <c r="AJ3" s="49"/>
      <c r="AK3" s="50"/>
      <c r="AL3" s="48"/>
      <c r="AM3" s="49"/>
      <c r="AN3" s="49"/>
      <c r="AO3" s="49"/>
      <c r="AP3" s="49"/>
      <c r="AQ3" s="49"/>
      <c r="AR3" s="50"/>
      <c r="AS3" s="48"/>
      <c r="AT3" s="49"/>
      <c r="AU3" s="49"/>
      <c r="AV3" s="49"/>
      <c r="AW3" s="49"/>
      <c r="AX3" s="49"/>
      <c r="AY3" s="49"/>
      <c r="AZ3" s="53"/>
      <c r="BA3" s="24"/>
      <c r="BB3" s="24"/>
      <c r="BC3" s="24"/>
      <c r="BD3" s="24"/>
      <c r="BE3" s="24"/>
      <c r="BF3" s="24"/>
      <c r="BG3" s="53"/>
      <c r="BH3" s="24"/>
      <c r="BI3" s="24"/>
      <c r="BJ3" s="24"/>
      <c r="BK3" s="24"/>
      <c r="BL3" s="24"/>
      <c r="BM3" s="54"/>
      <c r="BN3" s="24"/>
      <c r="BO3" s="24"/>
      <c r="BP3" s="24"/>
      <c r="BQ3" s="24"/>
      <c r="BR3" s="24"/>
      <c r="BS3" s="24"/>
      <c r="BT3" s="153"/>
      <c r="BU3" s="85"/>
      <c r="BV3" s="86"/>
      <c r="BW3" s="86"/>
      <c r="BX3" s="86"/>
      <c r="BY3" s="86"/>
      <c r="BZ3" s="86"/>
      <c r="CA3" s="87"/>
      <c r="CB3" s="85"/>
      <c r="CC3" s="86"/>
      <c r="CD3" s="86"/>
      <c r="CE3" s="86"/>
      <c r="CF3" s="86"/>
      <c r="CG3" s="86"/>
      <c r="CH3" s="87"/>
      <c r="CI3" s="85"/>
      <c r="CJ3" s="86"/>
      <c r="CK3" s="86"/>
      <c r="CL3" s="86"/>
      <c r="CM3" s="86"/>
      <c r="CN3" s="86"/>
      <c r="CO3" s="87"/>
      <c r="CP3" s="88"/>
      <c r="CQ3" s="89"/>
      <c r="CR3" s="89"/>
      <c r="CS3" s="89"/>
      <c r="CT3" s="89"/>
      <c r="CU3" s="89"/>
      <c r="CV3" s="90"/>
      <c r="CW3" s="89"/>
      <c r="CX3" s="89"/>
      <c r="CY3" s="89"/>
      <c r="CZ3" s="89"/>
      <c r="DA3" s="89"/>
      <c r="DB3" s="89"/>
      <c r="DC3" s="89"/>
      <c r="DD3" s="88"/>
      <c r="DE3" s="89"/>
      <c r="DF3" s="89"/>
      <c r="DG3" s="89"/>
      <c r="DH3" s="89"/>
      <c r="DI3" s="89"/>
      <c r="DJ3" s="154"/>
    </row>
    <row r="4" spans="1:114" ht="18" customHeight="1" x14ac:dyDescent="0.25">
      <c r="A4"/>
      <c r="B4"/>
      <c r="C4"/>
      <c r="D4"/>
      <c r="E4"/>
      <c r="F4"/>
      <c r="G4" s="127"/>
      <c r="H4"/>
      <c r="I4"/>
    </row>
    <row r="5" spans="1:114" ht="18" customHeight="1" x14ac:dyDescent="0.25">
      <c r="A5"/>
      <c r="B5"/>
      <c r="C5"/>
      <c r="D5"/>
      <c r="E5"/>
      <c r="F5"/>
      <c r="G5" s="127"/>
      <c r="H5"/>
      <c r="I5"/>
    </row>
    <row r="6" spans="1:114" ht="18" customHeight="1" x14ac:dyDescent="0.25">
      <c r="A6"/>
      <c r="B6"/>
      <c r="C6"/>
      <c r="D6"/>
      <c r="E6"/>
      <c r="F6"/>
      <c r="G6" s="127"/>
      <c r="H6"/>
      <c r="I6"/>
    </row>
    <row r="7" spans="1:114" ht="18" customHeight="1" x14ac:dyDescent="0.25">
      <c r="A7"/>
      <c r="B7"/>
      <c r="C7"/>
      <c r="D7"/>
      <c r="E7"/>
      <c r="F7"/>
      <c r="G7" s="127"/>
      <c r="H7"/>
      <c r="I7"/>
    </row>
    <row r="8" spans="1:114" ht="18" customHeight="1" x14ac:dyDescent="0.25">
      <c r="A8"/>
      <c r="B8"/>
      <c r="C8"/>
      <c r="D8"/>
      <c r="E8"/>
      <c r="F8"/>
      <c r="G8" s="127"/>
      <c r="H8"/>
      <c r="I8"/>
    </row>
    <row r="9" spans="1:114" ht="18" customHeight="1" x14ac:dyDescent="0.25">
      <c r="A9"/>
      <c r="B9"/>
      <c r="C9"/>
      <c r="D9"/>
      <c r="E9"/>
      <c r="F9"/>
      <c r="G9" s="127"/>
      <c r="H9"/>
      <c r="I9"/>
    </row>
    <row r="10" spans="1:114" ht="18" customHeight="1" x14ac:dyDescent="0.25">
      <c r="A10"/>
      <c r="B10"/>
      <c r="C10"/>
      <c r="D10"/>
      <c r="E10"/>
      <c r="F10"/>
      <c r="G10" s="127"/>
      <c r="H10"/>
      <c r="I10"/>
    </row>
    <row r="11" spans="1:114" ht="18" customHeight="1" x14ac:dyDescent="0.25">
      <c r="A11"/>
      <c r="B11"/>
      <c r="C11"/>
      <c r="D11"/>
      <c r="E11"/>
      <c r="F11"/>
      <c r="G11" s="127"/>
      <c r="H11"/>
      <c r="I11"/>
    </row>
    <row r="12" spans="1:114" ht="18" customHeight="1" x14ac:dyDescent="0.25">
      <c r="A12"/>
      <c r="B12"/>
      <c r="C12"/>
      <c r="D12"/>
      <c r="E12"/>
      <c r="F12"/>
      <c r="G12" s="127"/>
      <c r="H12"/>
      <c r="I12"/>
    </row>
    <row r="13" spans="1:114" ht="18" customHeight="1" x14ac:dyDescent="0.25">
      <c r="A13"/>
      <c r="B13"/>
      <c r="C13"/>
      <c r="D13"/>
      <c r="E13"/>
      <c r="F13"/>
      <c r="G13" s="127"/>
      <c r="H13"/>
      <c r="I13"/>
    </row>
    <row r="14" spans="1:114" ht="18" customHeight="1" x14ac:dyDescent="0.25">
      <c r="A14"/>
      <c r="B14"/>
      <c r="C14"/>
      <c r="D14"/>
      <c r="E14"/>
      <c r="F14"/>
      <c r="G14" s="127"/>
      <c r="H14"/>
      <c r="I14"/>
    </row>
    <row r="15" spans="1:114" ht="18" customHeight="1" x14ac:dyDescent="0.25">
      <c r="A15"/>
      <c r="B15"/>
      <c r="C15"/>
      <c r="D15"/>
      <c r="E15"/>
      <c r="F15"/>
      <c r="G15" s="127"/>
      <c r="H15"/>
      <c r="I15"/>
    </row>
    <row r="16" spans="1:114" ht="18" customHeight="1" x14ac:dyDescent="0.25">
      <c r="A16"/>
      <c r="B16"/>
      <c r="C16"/>
      <c r="D16"/>
      <c r="E16"/>
      <c r="F16"/>
      <c r="G16" s="127"/>
      <c r="H16"/>
      <c r="I16"/>
    </row>
    <row r="17" spans="1:9" ht="18" customHeight="1" x14ac:dyDescent="0.25">
      <c r="A17"/>
      <c r="B17"/>
      <c r="C17"/>
      <c r="D17"/>
      <c r="E17"/>
      <c r="F17"/>
      <c r="G17" s="127"/>
      <c r="H17"/>
      <c r="I17"/>
    </row>
    <row r="18" spans="1:9" ht="18" customHeight="1" x14ac:dyDescent="0.25">
      <c r="A18"/>
      <c r="B18"/>
      <c r="C18"/>
      <c r="D18"/>
      <c r="E18"/>
      <c r="F18"/>
      <c r="G18" s="127"/>
      <c r="H18"/>
      <c r="I18"/>
    </row>
    <row r="19" spans="1:9" ht="18" customHeight="1" x14ac:dyDescent="0.25">
      <c r="A19"/>
      <c r="B19"/>
      <c r="C19"/>
      <c r="D19"/>
      <c r="E19"/>
      <c r="F19"/>
      <c r="G19" s="127"/>
      <c r="H19"/>
      <c r="I19"/>
    </row>
    <row r="20" spans="1:9" ht="18" customHeight="1" x14ac:dyDescent="0.25">
      <c r="A20"/>
      <c r="B20"/>
      <c r="C20"/>
      <c r="D20"/>
      <c r="E20"/>
      <c r="F20"/>
      <c r="G20" s="127"/>
      <c r="H20"/>
      <c r="I20"/>
    </row>
    <row r="21" spans="1:9" ht="18" customHeight="1" x14ac:dyDescent="0.25">
      <c r="A21"/>
      <c r="B21"/>
      <c r="C21"/>
      <c r="D21"/>
      <c r="E21"/>
      <c r="F21"/>
      <c r="G21" s="127"/>
      <c r="H21"/>
      <c r="I21"/>
    </row>
    <row r="22" spans="1:9" ht="18" customHeight="1" x14ac:dyDescent="0.25">
      <c r="A22"/>
      <c r="B22"/>
      <c r="C22"/>
      <c r="D22"/>
      <c r="E22"/>
      <c r="F22"/>
      <c r="G22" s="127"/>
      <c r="H22"/>
      <c r="I22"/>
    </row>
    <row r="23" spans="1:9" ht="18" customHeight="1" x14ac:dyDescent="0.25">
      <c r="A23"/>
      <c r="B23"/>
      <c r="C23"/>
      <c r="D23"/>
      <c r="E23"/>
      <c r="F23"/>
      <c r="G23" s="127"/>
      <c r="H23"/>
      <c r="I23"/>
    </row>
    <row r="24" spans="1:9" ht="18" customHeight="1" x14ac:dyDescent="0.25">
      <c r="A24"/>
      <c r="B24"/>
      <c r="C24"/>
      <c r="D24"/>
      <c r="E24"/>
      <c r="F24"/>
      <c r="G24" s="127"/>
      <c r="H24"/>
      <c r="I24"/>
    </row>
    <row r="25" spans="1:9" ht="18" customHeight="1" x14ac:dyDescent="0.25">
      <c r="A25"/>
      <c r="B25"/>
      <c r="C25"/>
      <c r="D25"/>
      <c r="E25"/>
      <c r="F25"/>
      <c r="G25" s="127"/>
      <c r="H25"/>
      <c r="I25"/>
    </row>
    <row r="26" spans="1:9" ht="18" customHeight="1" x14ac:dyDescent="0.25">
      <c r="A26"/>
      <c r="B26"/>
      <c r="C26"/>
      <c r="D26"/>
      <c r="E26"/>
      <c r="F26"/>
      <c r="G26" s="127"/>
      <c r="H26"/>
      <c r="I26"/>
    </row>
    <row r="27" spans="1:9" ht="18" customHeight="1" x14ac:dyDescent="0.25">
      <c r="A27"/>
      <c r="B27"/>
      <c r="C27"/>
      <c r="D27"/>
      <c r="E27"/>
      <c r="F27"/>
      <c r="G27" s="127"/>
      <c r="H27"/>
      <c r="I27"/>
    </row>
    <row r="28" spans="1:9" ht="18" customHeight="1" x14ac:dyDescent="0.25">
      <c r="A28"/>
      <c r="B28"/>
      <c r="C28"/>
      <c r="D28"/>
      <c r="E28"/>
      <c r="F28"/>
      <c r="G28" s="127"/>
      <c r="H28"/>
      <c r="I28"/>
    </row>
    <row r="29" spans="1:9" ht="18" customHeight="1" x14ac:dyDescent="0.25">
      <c r="A29"/>
      <c r="B29"/>
      <c r="C29"/>
      <c r="D29"/>
      <c r="E29"/>
      <c r="F29"/>
      <c r="G29" s="127"/>
      <c r="H29"/>
      <c r="I29"/>
    </row>
    <row r="30" spans="1:9" ht="18" customHeight="1" x14ac:dyDescent="0.25">
      <c r="A30"/>
      <c r="B30"/>
      <c r="C30"/>
      <c r="D30"/>
      <c r="E30"/>
      <c r="F30"/>
      <c r="G30" s="127"/>
      <c r="H30"/>
      <c r="I30"/>
    </row>
    <row r="31" spans="1:9" ht="18" customHeight="1" x14ac:dyDescent="0.25">
      <c r="A31"/>
      <c r="B31"/>
      <c r="C31"/>
      <c r="D31"/>
      <c r="E31"/>
      <c r="F31"/>
      <c r="G31" s="127"/>
      <c r="H31"/>
      <c r="I31"/>
    </row>
    <row r="32" spans="1:9" ht="18" customHeight="1" x14ac:dyDescent="0.25">
      <c r="A32"/>
      <c r="B32"/>
      <c r="C32"/>
      <c r="D32"/>
      <c r="E32"/>
      <c r="F32"/>
      <c r="G32" s="127"/>
      <c r="H32"/>
      <c r="I32"/>
    </row>
  </sheetData>
  <dataConsolidate/>
  <mergeCells count="2">
    <mergeCell ref="L1:N1"/>
    <mergeCell ref="U1:X1"/>
  </mergeCells>
  <phoneticPr fontId="1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BAAB6-86A1-470C-BB9C-0C6A84CD225B}">
  <sheetPr codeName="Taul7">
    <tabColor rgb="FF006400"/>
    <pageSetUpPr fitToPage="1"/>
  </sheetPr>
  <dimension ref="A1:AE35"/>
  <sheetViews>
    <sheetView zoomScale="96" zoomScaleNormal="100" workbookViewId="0">
      <selection activeCell="B4" sqref="B4:F4"/>
    </sheetView>
  </sheetViews>
  <sheetFormatPr defaultRowHeight="15" x14ac:dyDescent="0.25"/>
  <cols>
    <col min="1" max="1" width="6.5703125" style="121" customWidth="1"/>
    <col min="2" max="6" width="10.85546875" style="121" customWidth="1"/>
    <col min="7" max="7" width="6.42578125" style="121" customWidth="1"/>
    <col min="8" max="12" width="10.85546875" style="121" customWidth="1"/>
    <col min="13" max="13" width="6.85546875" style="121" customWidth="1"/>
    <col min="14" max="18" width="10.85546875" style="121" customWidth="1"/>
  </cols>
  <sheetData>
    <row r="1" spans="1:31" ht="47.45" customHeight="1" thickBot="1" x14ac:dyDescent="0.8">
      <c r="A1" s="114"/>
      <c r="B1" s="114"/>
      <c r="C1" s="114" t="s">
        <v>285</v>
      </c>
      <c r="D1" s="114"/>
      <c r="E1" s="114"/>
      <c r="F1" s="114"/>
      <c r="G1" s="114"/>
      <c r="H1" s="114"/>
      <c r="I1" s="114"/>
      <c r="J1" s="114"/>
      <c r="K1" s="94" t="s">
        <v>0</v>
      </c>
      <c r="L1" s="174"/>
      <c r="M1" s="174"/>
      <c r="N1" s="174"/>
      <c r="O1" s="94" t="s">
        <v>0</v>
      </c>
      <c r="P1" s="94" t="s">
        <v>0</v>
      </c>
      <c r="Q1" s="94" t="s">
        <v>0</v>
      </c>
      <c r="R1" s="94" t="s">
        <v>0</v>
      </c>
      <c r="S1" s="94" t="s">
        <v>0</v>
      </c>
      <c r="T1" s="94" t="s">
        <v>0</v>
      </c>
      <c r="U1" s="175"/>
      <c r="V1" s="175"/>
      <c r="W1" s="175"/>
      <c r="X1" s="176"/>
      <c r="Y1" t="s">
        <v>0</v>
      </c>
      <c r="Z1" t="s">
        <v>0</v>
      </c>
      <c r="AA1" t="s">
        <v>0</v>
      </c>
      <c r="AB1" t="s">
        <v>0</v>
      </c>
      <c r="AC1" t="s">
        <v>0</v>
      </c>
      <c r="AD1" t="s">
        <v>0</v>
      </c>
      <c r="AE1" t="s">
        <v>0</v>
      </c>
    </row>
    <row r="3" spans="1:31" x14ac:dyDescent="0.25">
      <c r="A3" s="91"/>
      <c r="B3" s="120" t="s">
        <v>3</v>
      </c>
      <c r="C3" s="120" t="s">
        <v>4</v>
      </c>
      <c r="D3" s="120" t="s">
        <v>5</v>
      </c>
      <c r="E3" s="120" t="s">
        <v>6</v>
      </c>
      <c r="F3" s="120" t="s">
        <v>7</v>
      </c>
      <c r="G3" s="91"/>
      <c r="H3" s="91" t="s">
        <v>3</v>
      </c>
      <c r="I3" s="91" t="s">
        <v>4</v>
      </c>
      <c r="J3" s="91" t="s">
        <v>5</v>
      </c>
      <c r="K3" s="91" t="s">
        <v>6</v>
      </c>
      <c r="L3" s="91" t="s">
        <v>7</v>
      </c>
      <c r="M3" s="91"/>
      <c r="N3" s="120" t="s">
        <v>3</v>
      </c>
      <c r="O3" s="120" t="s">
        <v>4</v>
      </c>
      <c r="P3" s="120" t="s">
        <v>5</v>
      </c>
      <c r="Q3" s="120" t="s">
        <v>6</v>
      </c>
      <c r="R3" s="120" t="s">
        <v>7</v>
      </c>
    </row>
    <row r="4" spans="1:31" x14ac:dyDescent="0.25">
      <c r="A4" s="91"/>
      <c r="B4" s="177" t="s">
        <v>217</v>
      </c>
      <c r="C4" s="178"/>
      <c r="D4" s="178"/>
      <c r="E4" s="178"/>
      <c r="F4" s="179"/>
      <c r="G4" s="91"/>
      <c r="H4" s="177" t="s">
        <v>217</v>
      </c>
      <c r="I4" s="178"/>
      <c r="J4" s="178"/>
      <c r="K4" s="178"/>
      <c r="L4" s="179"/>
      <c r="M4" s="91"/>
      <c r="N4" s="177" t="s">
        <v>217</v>
      </c>
      <c r="O4" s="178"/>
      <c r="P4" s="178"/>
      <c r="Q4" s="178"/>
      <c r="R4" s="179"/>
    </row>
    <row r="5" spans="1:31" ht="18" customHeight="1" x14ac:dyDescent="0.25">
      <c r="A5" s="91" t="s">
        <v>218</v>
      </c>
      <c r="B5" s="61" t="e" cm="1">
        <f t="array" ref="B5">_xlfn.XLOOKUP(_xlfn.XLOOKUP("*"&amp;$A5&amp;"*",Isojen_lista!B$1:'Isojen_lista'!B$1664,Isojen_lista!$A$1:'Isojen_lista'!$A$1664,_xlfn.XLOOKUP("*"&amp;$A13&amp;"*",Pienten_lista!B$1:'Pienten_lista'!B$692,Pienten_lista!$A$1:'Pienten_lista'!$A$692,,2),2),Tyoaikakoonti!$B$2:'Tyoaikakoonti'!$B$458,Tyoaikakoonti!$A$2:'Tyoaikakoonti'!$A$458)</f>
        <v>#N/A</v>
      </c>
      <c r="C5" s="61" t="e" cm="1">
        <f t="array" ref="C5">_xlfn.XLOOKUP(_xlfn.XLOOKUP("*"&amp;$A5&amp;"*",Isojen_lista!C$1:'Isojen_lista'!C$1664,Isojen_lista!$A$1:'Isojen_lista'!$A$1664,_xlfn.XLOOKUP("*"&amp;$A13&amp;"*",Pienten_lista!C$1:'Pienten_lista'!C$692,Pienten_lista!$A$1:'Pienten_lista'!$A$692,,2),2),Tyoaikakoonti!$B$2:'Tyoaikakoonti'!$B$458,Tyoaikakoonti!$A$2:'Tyoaikakoonti'!$A$458)</f>
        <v>#N/A</v>
      </c>
      <c r="D5" s="61" t="e" cm="1">
        <f t="array" ref="D5">_xlfn.XLOOKUP(_xlfn.XLOOKUP("*"&amp;$A5&amp;"*",Isojen_lista!D$1:'Isojen_lista'!D$1664,Isojen_lista!$A$1:'Isojen_lista'!$A$1664,_xlfn.XLOOKUP("*"&amp;$A13&amp;"*",Pienten_lista!D$1:'Pienten_lista'!D$692,Pienten_lista!$A$1:'Pienten_lista'!$A$692,,2),2),Tyoaikakoonti!$B$2:'Tyoaikakoonti'!$B$458,Tyoaikakoonti!$A$2:'Tyoaikakoonti'!$A$458)</f>
        <v>#N/A</v>
      </c>
      <c r="E5" s="61" t="e" cm="1">
        <f t="array" ref="E5">_xlfn.XLOOKUP(_xlfn.XLOOKUP("*"&amp;$A5&amp;"*",Isojen_lista!E$1:'Isojen_lista'!E$1664,Isojen_lista!$A$1:'Isojen_lista'!$A$1664,_xlfn.XLOOKUP("*"&amp;$A13&amp;"*",Pienten_lista!E$1:'Pienten_lista'!E$692,Pienten_lista!$A$1:'Pienten_lista'!$A$692,,2),2),Tyoaikakoonti!$B$2:'Tyoaikakoonti'!$B$458,Tyoaikakoonti!$A$2:'Tyoaikakoonti'!$A$458)</f>
        <v>#N/A</v>
      </c>
      <c r="F5" s="61" t="e" cm="1">
        <f t="array" ref="F5">_xlfn.XLOOKUP(_xlfn.XLOOKUP("*"&amp;$A5&amp;"*",Isojen_lista!F$1:'Isojen_lista'!F$1664,Isojen_lista!$A$1:'Isojen_lista'!$A$1664,_xlfn.XLOOKUP("*"&amp;$A13&amp;"*",Pienten_lista!F$1:'Pienten_lista'!F$692,Pienten_lista!$A$1:'Pienten_lista'!$A$692,,2),2),Tyoaikakoonti!$B$2:'Tyoaikakoonti'!$B$458,Tyoaikakoonti!$A$2:'Tyoaikakoonti'!$A$458)</f>
        <v>#N/A</v>
      </c>
      <c r="G5" s="116" t="s">
        <v>219</v>
      </c>
      <c r="H5" s="61" t="e" cm="1">
        <f t="array" ref="H5">_xlfn.XLOOKUP(_xlfn.XLOOKUP("*"&amp;$G5&amp;"*",Isojen_lista!I$1:'Isojen_lista'!I$1664,Isojen_lista!$A$1:'Isojen_lista'!$A$1664,_xlfn.XLOOKUP("*"&amp;$G5&amp;"*",Pienten_lista!I$1:'Pienten_lista'!I$692,Pienten_lista!$A$1:'Pienten_lista'!$A$692,,2),2),Tyoaikakoonti!$B$2:'Tyoaikakoonti'!$B$458,Tyoaikakoonti!$A$2:'Tyoaikakoonti'!$A$458)</f>
        <v>#N/A</v>
      </c>
      <c r="I5" s="61" t="e" cm="1">
        <f t="array" ref="I5">_xlfn.XLOOKUP(_xlfn.XLOOKUP("*"&amp;$G5&amp;"*",Isojen_lista!J$1:'Isojen_lista'!J$1664,Isojen_lista!$A$1:'Isojen_lista'!$A$1664,_xlfn.XLOOKUP("*"&amp;$G5&amp;"*",Pienten_lista!J$1:'Pienten_lista'!J$692,Pienten_lista!$A$1:'Pienten_lista'!$A$692,,2),2),Tyoaikakoonti!$B$2:'Tyoaikakoonti'!$B$458,Tyoaikakoonti!$A$2:'Tyoaikakoonti'!$A$458)</f>
        <v>#N/A</v>
      </c>
      <c r="J5" s="61" t="e" cm="1">
        <f t="array" ref="J5">_xlfn.XLOOKUP(_xlfn.XLOOKUP("*"&amp;$G5&amp;"*",Isojen_lista!K$1:'Isojen_lista'!K$1664,Isojen_lista!$A$1:'Isojen_lista'!$A$1664,_xlfn.XLOOKUP("*"&amp;$G5&amp;"*",Pienten_lista!K$1:'Pienten_lista'!K$692,Pienten_lista!$A$1:'Pienten_lista'!$A$692,,2),2),Tyoaikakoonti!$B$2:'Tyoaikakoonti'!$B$458,Tyoaikakoonti!$A$2:'Tyoaikakoonti'!$A$458)</f>
        <v>#N/A</v>
      </c>
      <c r="K5" s="61" t="e" cm="1">
        <f t="array" ref="K5">_xlfn.XLOOKUP(_xlfn.XLOOKUP("*"&amp;$G5&amp;"*",Isojen_lista!L$1:'Isojen_lista'!L$1664,Isojen_lista!$A$1:'Isojen_lista'!$A$1664,_xlfn.XLOOKUP("*"&amp;$G5&amp;"*",Pienten_lista!L$1:'Pienten_lista'!L$692,Pienten_lista!$A$1:'Pienten_lista'!$A$692,,2),2),Tyoaikakoonti!$B$2:'Tyoaikakoonti'!$B$458,Tyoaikakoonti!$A$2:'Tyoaikakoonti'!$A$458)</f>
        <v>#N/A</v>
      </c>
      <c r="L5" s="61" t="e" cm="1">
        <f t="array" ref="L5">_xlfn.XLOOKUP(_xlfn.XLOOKUP("*"&amp;$G5&amp;"*",Isojen_lista!M$1:'Isojen_lista'!M$1664,Isojen_lista!$A$1:'Isojen_lista'!$A$1664,_xlfn.XLOOKUP("*"&amp;$G5&amp;"*",Pienten_lista!M$1:'Pienten_lista'!M$692,Pienten_lista!$A$1:'Pienten_lista'!$A$692,,2),2),Tyoaikakoonti!$B$2:'Tyoaikakoonti'!$B$458,Tyoaikakoonti!$A$2:'Tyoaikakoonti'!$A$458)</f>
        <v>#N/A</v>
      </c>
      <c r="M5" s="91" t="s">
        <v>218</v>
      </c>
      <c r="N5" s="61" t="e" cm="1">
        <f t="array" ref="N5">_xlfn.XLOOKUP(_xlfn.XLOOKUP("*"&amp;$M5&amp;"*",Isojen_lista!P$1:'Isojen_lista'!P$1664,Isojen_lista!$A$1:'Isojen_lista'!$A$1664,_xlfn.XLOOKUP("*"&amp;$M5&amp;"*",Pienten_lista!P$1:'Pienten_lista'!P$692,Pienten_lista!$A$1:'Pienten_lista'!$A$692,,2),2),Tyoaikakoonti!$B$2:'Tyoaikakoonti'!$B$458,Tyoaikakoonti!$A$2:'Tyoaikakoonti'!$A$458)</f>
        <v>#N/A</v>
      </c>
      <c r="O5" s="61" t="e" cm="1">
        <f t="array" ref="O5">_xlfn.XLOOKUP(_xlfn.XLOOKUP("*"&amp;$M5&amp;"*",Isojen_lista!Q$1:'Isojen_lista'!Q$1664,Isojen_lista!$A$1:'Isojen_lista'!$A$1664,_xlfn.XLOOKUP("*"&amp;$M5&amp;"*",Pienten_lista!Q$1:'Pienten_lista'!Q$692,Pienten_lista!$A$1:'Pienten_lista'!$A$692,,2),2),Tyoaikakoonti!$B$2:'Tyoaikakoonti'!$B$458,Tyoaikakoonti!$A$2:'Tyoaikakoonti'!$A$458)</f>
        <v>#N/A</v>
      </c>
      <c r="P5" s="61" t="e" cm="1">
        <f t="array" ref="P5">_xlfn.XLOOKUP(_xlfn.XLOOKUP("*"&amp;$M5&amp;"*",Isojen_lista!R$1:'Isojen_lista'!R$1664,Isojen_lista!$A$1:'Isojen_lista'!$A$1664,_xlfn.XLOOKUP("*"&amp;$M5&amp;"*",Pienten_lista!R$1:'Pienten_lista'!R$692,Pienten_lista!$A$1:'Pienten_lista'!$A$692,,2),2),Tyoaikakoonti!$B$2:'Tyoaikakoonti'!$B$458,Tyoaikakoonti!$A$2:'Tyoaikakoonti'!$A$458)</f>
        <v>#N/A</v>
      </c>
      <c r="Q5" s="61" t="e" cm="1">
        <f t="array" ref="Q5">_xlfn.XLOOKUP(_xlfn.XLOOKUP("*"&amp;$M5&amp;"*",Isojen_lista!S$1:'Isojen_lista'!S$1664,Isojen_lista!$A$1:'Isojen_lista'!$A$1664,_xlfn.XLOOKUP("*"&amp;$M5&amp;"*",Pienten_lista!S$1:'Pienten_lista'!S$692,Pienten_lista!$A$1:'Pienten_lista'!$A$692,,2),2),Tyoaikakoonti!$B$2:'Tyoaikakoonti'!$B$458,Tyoaikakoonti!$A$2:'Tyoaikakoonti'!$A$458)</f>
        <v>#N/A</v>
      </c>
      <c r="R5" s="61" t="e" cm="1">
        <f t="array" ref="R5">_xlfn.XLOOKUP(_xlfn.XLOOKUP("*"&amp;$M5&amp;"*",Isojen_lista!T$1:'Isojen_lista'!T$1664,Isojen_lista!$A$1:'Isojen_lista'!$A$1664,_xlfn.XLOOKUP("*"&amp;$M5&amp;"*",Pienten_lista!T$1:'Pienten_lista'!T$692,Pienten_lista!$A$1:'Pienten_lista'!$A$692,,2),2),Tyoaikakoonti!$B$2:'Tyoaikakoonti'!$B$458,Tyoaikakoonti!$A$2:'Tyoaikakoonti'!$A$458)</f>
        <v>#N/A</v>
      </c>
    </row>
    <row r="6" spans="1:31" ht="18" customHeight="1" x14ac:dyDescent="0.25">
      <c r="A6" s="91" t="s">
        <v>220</v>
      </c>
      <c r="B6" s="61" t="e" cm="1">
        <f t="array" ref="B6">_xlfn.XLOOKUP(_xlfn.XLOOKUP("*"&amp;$A6&amp;"*",Isojen_lista!B$1:'Isojen_lista'!B$1664,Isojen_lista!$A$1:'Isojen_lista'!$A$1664,_xlfn.XLOOKUP("*"&amp;$A14&amp;"*",Pienten_lista!B$1:'Pienten_lista'!B$692,Pienten_lista!$A$1:'Pienten_lista'!$A$692,,2),2),Tyoaikakoonti!$B$2:'Tyoaikakoonti'!$B$458,Tyoaikakoonti!$A$2:'Tyoaikakoonti'!$A$458)</f>
        <v>#N/A</v>
      </c>
      <c r="C6" s="61" t="e" cm="1">
        <f t="array" ref="C6">_xlfn.XLOOKUP(_xlfn.XLOOKUP("*"&amp;$A6&amp;"*",Isojen_lista!C$1:'Isojen_lista'!C$1664,Isojen_lista!$A$1:'Isojen_lista'!$A$1664,_xlfn.XLOOKUP("*"&amp;$A14&amp;"*",Pienten_lista!C$1:'Pienten_lista'!C$692,Pienten_lista!$A$1:'Pienten_lista'!$A$692,,2),2),Tyoaikakoonti!$B$2:'Tyoaikakoonti'!$B$458,Tyoaikakoonti!$A$2:'Tyoaikakoonti'!$A$458)</f>
        <v>#N/A</v>
      </c>
      <c r="D6" s="61" t="e" cm="1">
        <f t="array" ref="D6">_xlfn.XLOOKUP(_xlfn.XLOOKUP("*"&amp;$A6&amp;"*",Isojen_lista!D$1:'Isojen_lista'!D$1664,Isojen_lista!$A$1:'Isojen_lista'!$A$1664,_xlfn.XLOOKUP("*"&amp;$A14&amp;"*",Pienten_lista!D$1:'Pienten_lista'!D$692,Pienten_lista!$A$1:'Pienten_lista'!$A$692,,2),2),Tyoaikakoonti!$B$2:'Tyoaikakoonti'!$B$458,Tyoaikakoonti!$A$2:'Tyoaikakoonti'!$A$458)</f>
        <v>#N/A</v>
      </c>
      <c r="E6" s="61" t="e" cm="1">
        <f t="array" ref="E6">_xlfn.XLOOKUP(_xlfn.XLOOKUP("*"&amp;$A6&amp;"*",Isojen_lista!E$1:'Isojen_lista'!E$1664,Isojen_lista!$A$1:'Isojen_lista'!$A$1664,_xlfn.XLOOKUP("*"&amp;$A14&amp;"*",Pienten_lista!E$1:'Pienten_lista'!E$692,Pienten_lista!$A$1:'Pienten_lista'!$A$692,,2),2),Tyoaikakoonti!$B$2:'Tyoaikakoonti'!$B$458,Tyoaikakoonti!$A$2:'Tyoaikakoonti'!$A$458)</f>
        <v>#N/A</v>
      </c>
      <c r="F6" s="61" t="e" cm="1">
        <f t="array" ref="F6">_xlfn.XLOOKUP(_xlfn.XLOOKUP("*"&amp;$A6&amp;"*",Isojen_lista!F$1:'Isojen_lista'!F$1664,Isojen_lista!$A$1:'Isojen_lista'!$A$1664,_xlfn.XLOOKUP("*"&amp;$A14&amp;"*",Pienten_lista!F$1:'Pienten_lista'!F$692,Pienten_lista!$A$1:'Pienten_lista'!$A$692,,2),2),Tyoaikakoonti!$B$2:'Tyoaikakoonti'!$B$458,Tyoaikakoonti!$A$2:'Tyoaikakoonti'!$A$458)</f>
        <v>#N/A</v>
      </c>
      <c r="G6" s="91" t="s">
        <v>220</v>
      </c>
      <c r="H6" s="61" t="e" cm="1">
        <f t="array" ref="H6">_xlfn.XLOOKUP(_xlfn.XLOOKUP("*"&amp;$G6&amp;"*",Isojen_lista!I$1:'Isojen_lista'!I$1664,Isojen_lista!$A$1:'Isojen_lista'!$A$1664,_xlfn.XLOOKUP("*"&amp;$G6&amp;"*",Pienten_lista!I$1:'Pienten_lista'!I$692,Pienten_lista!$A$1:'Pienten_lista'!$A$692,,2),2),Tyoaikakoonti!$B$2:'Tyoaikakoonti'!$B$458,Tyoaikakoonti!$A$2:'Tyoaikakoonti'!$A$458)</f>
        <v>#N/A</v>
      </c>
      <c r="I6" s="61" t="e" cm="1">
        <f t="array" ref="I6">_xlfn.XLOOKUP(_xlfn.XLOOKUP("*"&amp;$G6&amp;"*",Isojen_lista!J$1:'Isojen_lista'!J$1664,Isojen_lista!$A$1:'Isojen_lista'!$A$1664,_xlfn.XLOOKUP("*"&amp;$G6&amp;"*",Pienten_lista!J$1:'Pienten_lista'!J$692,Pienten_lista!$A$1:'Pienten_lista'!$A$692,,2),2),Tyoaikakoonti!$B$2:'Tyoaikakoonti'!$B$458,Tyoaikakoonti!$A$2:'Tyoaikakoonti'!$A$458)</f>
        <v>#N/A</v>
      </c>
      <c r="J6" s="61" t="e" cm="1">
        <f t="array" ref="J6">_xlfn.XLOOKUP(_xlfn.XLOOKUP("*"&amp;$G6&amp;"*",Isojen_lista!K$1:'Isojen_lista'!K$1664,Isojen_lista!$A$1:'Isojen_lista'!$A$1664,_xlfn.XLOOKUP("*"&amp;$G6&amp;"*",Pienten_lista!K$1:'Pienten_lista'!K$692,Pienten_lista!$A$1:'Pienten_lista'!$A$692,,2),2),Tyoaikakoonti!$B$2:'Tyoaikakoonti'!$B$458,Tyoaikakoonti!$A$2:'Tyoaikakoonti'!$A$458)</f>
        <v>#N/A</v>
      </c>
      <c r="K6" s="61" t="e" cm="1">
        <f t="array" ref="K6">_xlfn.XLOOKUP(_xlfn.XLOOKUP("*"&amp;$G6&amp;"*",Isojen_lista!L$1:'Isojen_lista'!L$1664,Isojen_lista!$A$1:'Isojen_lista'!$A$1664,_xlfn.XLOOKUP("*"&amp;$G6&amp;"*",Pienten_lista!L$1:'Pienten_lista'!L$692,Pienten_lista!$A$1:'Pienten_lista'!$A$692,,2),2),Tyoaikakoonti!$B$2:'Tyoaikakoonti'!$B$458,Tyoaikakoonti!$A$2:'Tyoaikakoonti'!$A$458)</f>
        <v>#N/A</v>
      </c>
      <c r="L6" s="61" t="e" cm="1">
        <f t="array" ref="L6">_xlfn.XLOOKUP(_xlfn.XLOOKUP("*"&amp;$G6&amp;"*",Isojen_lista!M$1:'Isojen_lista'!M$1664,Isojen_lista!$A$1:'Isojen_lista'!$A$1664,_xlfn.XLOOKUP("*"&amp;$G6&amp;"*",Pienten_lista!M$1:'Pienten_lista'!M$692,Pienten_lista!$A$1:'Pienten_lista'!$A$692,,2),2),Tyoaikakoonti!$B$2:'Tyoaikakoonti'!$B$458,Tyoaikakoonti!$A$2:'Tyoaikakoonti'!$A$458)</f>
        <v>#N/A</v>
      </c>
      <c r="M6" s="91" t="s">
        <v>220</v>
      </c>
      <c r="N6" s="61" t="e" cm="1">
        <f t="array" ref="N6">_xlfn.XLOOKUP(_xlfn.XLOOKUP("*"&amp;$M6&amp;"*",Isojen_lista!P$1:'Isojen_lista'!P$1664,Isojen_lista!$A$1:'Isojen_lista'!$A$1664,_xlfn.XLOOKUP("*"&amp;$M6&amp;"*",Pienten_lista!P$1:'Pienten_lista'!P$692,Pienten_lista!$A$1:'Pienten_lista'!$A$692,,2),2),Tyoaikakoonti!$B$2:'Tyoaikakoonti'!$B$458,Tyoaikakoonti!$A$2:'Tyoaikakoonti'!$A$458)</f>
        <v>#N/A</v>
      </c>
      <c r="O6" s="61" t="e" cm="1">
        <f t="array" ref="O6">_xlfn.XLOOKUP(_xlfn.XLOOKUP("*"&amp;$M6&amp;"*",Isojen_lista!Q$1:'Isojen_lista'!Q$1664,Isojen_lista!$A$1:'Isojen_lista'!$A$1664,_xlfn.XLOOKUP("*"&amp;$M6&amp;"*",Pienten_lista!Q$1:'Pienten_lista'!Q$692,Pienten_lista!$A$1:'Pienten_lista'!$A$692,,2),2),Tyoaikakoonti!$B$2:'Tyoaikakoonti'!$B$458,Tyoaikakoonti!$A$2:'Tyoaikakoonti'!$A$458)</f>
        <v>#N/A</v>
      </c>
      <c r="P6" s="61" t="e" cm="1">
        <f t="array" ref="P6">_xlfn.XLOOKUP(_xlfn.XLOOKUP("*"&amp;$M6&amp;"*",Isojen_lista!R$1:'Isojen_lista'!R$1664,Isojen_lista!$A$1:'Isojen_lista'!$A$1664,_xlfn.XLOOKUP("*"&amp;$M6&amp;"*",Pienten_lista!R$1:'Pienten_lista'!R$692,Pienten_lista!$A$1:'Pienten_lista'!$A$692,,2),2),Tyoaikakoonti!$B$2:'Tyoaikakoonti'!$B$458,Tyoaikakoonti!$A$2:'Tyoaikakoonti'!$A$458)</f>
        <v>#N/A</v>
      </c>
      <c r="Q6" s="61" t="e" cm="1">
        <f t="array" ref="Q6">_xlfn.XLOOKUP(_xlfn.XLOOKUP("*"&amp;$M6&amp;"*",Isojen_lista!S$1:'Isojen_lista'!S$1664,Isojen_lista!$A$1:'Isojen_lista'!$A$1664,_xlfn.XLOOKUP("*"&amp;$M6&amp;"*",Pienten_lista!S$1:'Pienten_lista'!S$692,Pienten_lista!$A$1:'Pienten_lista'!$A$692,,2),2),Tyoaikakoonti!$B$2:'Tyoaikakoonti'!$B$458,Tyoaikakoonti!$A$2:'Tyoaikakoonti'!$A$458)</f>
        <v>#N/A</v>
      </c>
      <c r="R6" s="61" t="e" cm="1">
        <f t="array" ref="R6">_xlfn.XLOOKUP(_xlfn.XLOOKUP("*"&amp;$M6&amp;"*",Isojen_lista!T$1:'Isojen_lista'!T$1664,Isojen_lista!$A$1:'Isojen_lista'!$A$1664,_xlfn.XLOOKUP("*"&amp;$M6&amp;"*",Pienten_lista!T$1:'Pienten_lista'!T$692,Pienten_lista!$A$1:'Pienten_lista'!$A$692,,2),2),Tyoaikakoonti!$B$2:'Tyoaikakoonti'!$B$458,Tyoaikakoonti!$A$2:'Tyoaikakoonti'!$A$458)</f>
        <v>#N/A</v>
      </c>
    </row>
    <row r="7" spans="1:31" ht="18" customHeight="1" x14ac:dyDescent="0.25">
      <c r="A7" s="91" t="s">
        <v>221</v>
      </c>
      <c r="B7" s="61" t="e" cm="1">
        <f t="array" ref="B7">_xlfn.XLOOKUP(_xlfn.XLOOKUP("*"&amp;$A7&amp;"*",Isojen_lista!B$1:'Isojen_lista'!B$1664,Isojen_lista!$A$1:'Isojen_lista'!$A$1664,_xlfn.XLOOKUP("*"&amp;$A15&amp;"*",Pienten_lista!B$1:'Pienten_lista'!B$692,Pienten_lista!$A$1:'Pienten_lista'!$A$692,,2),2),Tyoaikakoonti!$B$2:'Tyoaikakoonti'!$B$458,Tyoaikakoonti!$A$2:'Tyoaikakoonti'!$A$458)</f>
        <v>#N/A</v>
      </c>
      <c r="C7" s="61" t="e" cm="1">
        <f t="array" ref="C7">_xlfn.XLOOKUP(_xlfn.XLOOKUP("*"&amp;$A7&amp;"*",Isojen_lista!C$1:'Isojen_lista'!C$1664,Isojen_lista!$A$1:'Isojen_lista'!$A$1664,_xlfn.XLOOKUP("*"&amp;$A15&amp;"*",Pienten_lista!C$1:'Pienten_lista'!C$692,Pienten_lista!$A$1:'Pienten_lista'!$A$692,,2),2),Tyoaikakoonti!$B$2:'Tyoaikakoonti'!$B$458,Tyoaikakoonti!$A$2:'Tyoaikakoonti'!$A$458)</f>
        <v>#N/A</v>
      </c>
      <c r="D7" s="61" t="e" cm="1">
        <f t="array" ref="D7">_xlfn.XLOOKUP(_xlfn.XLOOKUP("*"&amp;$A7&amp;"*",Isojen_lista!D$1:'Isojen_lista'!D$1664,Isojen_lista!$A$1:'Isojen_lista'!$A$1664,_xlfn.XLOOKUP("*"&amp;$A15&amp;"*",Pienten_lista!D$1:'Pienten_lista'!D$692,Pienten_lista!$A$1:'Pienten_lista'!$A$692,,2),2),Tyoaikakoonti!$B$2:'Tyoaikakoonti'!$B$458,Tyoaikakoonti!$A$2:'Tyoaikakoonti'!$A$458)</f>
        <v>#N/A</v>
      </c>
      <c r="E7" s="61" t="e" cm="1">
        <f t="array" ref="E7">_xlfn.XLOOKUP(_xlfn.XLOOKUP("*"&amp;$A7&amp;"*",Isojen_lista!E$1:'Isojen_lista'!E$1664,Isojen_lista!$A$1:'Isojen_lista'!$A$1664,_xlfn.XLOOKUP("*"&amp;$A15&amp;"*",Pienten_lista!E$1:'Pienten_lista'!E$692,Pienten_lista!$A$1:'Pienten_lista'!$A$692,,2),2),Tyoaikakoonti!$B$2:'Tyoaikakoonti'!$B$458,Tyoaikakoonti!$A$2:'Tyoaikakoonti'!$A$458)</f>
        <v>#N/A</v>
      </c>
      <c r="F7" s="61" t="e" cm="1">
        <f t="array" ref="F7">_xlfn.XLOOKUP(_xlfn.XLOOKUP("*"&amp;$A7&amp;"*",Isojen_lista!F$1:'Isojen_lista'!F$1664,Isojen_lista!$A$1:'Isojen_lista'!$A$1664,_xlfn.XLOOKUP("*"&amp;$A15&amp;"*",Pienten_lista!F$1:'Pienten_lista'!F$692,Pienten_lista!$A$1:'Pienten_lista'!$A$692,,2),2),Tyoaikakoonti!$B$2:'Tyoaikakoonti'!$B$458,Tyoaikakoonti!$A$2:'Tyoaikakoonti'!$A$458)</f>
        <v>#N/A</v>
      </c>
      <c r="G7" s="91" t="s">
        <v>221</v>
      </c>
      <c r="H7" s="61" t="e" cm="1">
        <f t="array" ref="H7">_xlfn.XLOOKUP(_xlfn.XLOOKUP("*"&amp;$G7&amp;"*",Isojen_lista!I$1:'Isojen_lista'!I$1664,Isojen_lista!$A$1:'Isojen_lista'!$A$1664,_xlfn.XLOOKUP("*"&amp;$G7&amp;"*",Pienten_lista!I$1:'Pienten_lista'!I$692,Pienten_lista!$A$1:'Pienten_lista'!$A$692,,2),2),Tyoaikakoonti!$B$2:'Tyoaikakoonti'!$B$458,Tyoaikakoonti!$A$2:'Tyoaikakoonti'!$A$458)</f>
        <v>#N/A</v>
      </c>
      <c r="I7" s="61" t="e" cm="1">
        <f t="array" ref="I7">_xlfn.XLOOKUP(_xlfn.XLOOKUP("*"&amp;$G7&amp;"*",Isojen_lista!J$1:'Isojen_lista'!J$1664,Isojen_lista!$A$1:'Isojen_lista'!$A$1664,_xlfn.XLOOKUP("*"&amp;$G7&amp;"*",Pienten_lista!J$1:'Pienten_lista'!J$692,Pienten_lista!$A$1:'Pienten_lista'!$A$692,,2),2),Tyoaikakoonti!$B$2:'Tyoaikakoonti'!$B$458,Tyoaikakoonti!$A$2:'Tyoaikakoonti'!$A$458)</f>
        <v>#N/A</v>
      </c>
      <c r="J7" s="61" t="e" cm="1">
        <f t="array" ref="J7">_xlfn.XLOOKUP(_xlfn.XLOOKUP("*"&amp;$G7&amp;"*",Isojen_lista!K$1:'Isojen_lista'!K$1664,Isojen_lista!$A$1:'Isojen_lista'!$A$1664,_xlfn.XLOOKUP("*"&amp;$G7&amp;"*",Pienten_lista!K$1:'Pienten_lista'!K$692,Pienten_lista!$A$1:'Pienten_lista'!$A$692,,2),2),Tyoaikakoonti!$B$2:'Tyoaikakoonti'!$B$458,Tyoaikakoonti!$A$2:'Tyoaikakoonti'!$A$458)</f>
        <v>#N/A</v>
      </c>
      <c r="K7" s="61" t="e" cm="1">
        <f t="array" ref="K7">_xlfn.XLOOKUP(_xlfn.XLOOKUP("*"&amp;$G7&amp;"*",Isojen_lista!L$1:'Isojen_lista'!L$1664,Isojen_lista!$A$1:'Isojen_lista'!$A$1664,_xlfn.XLOOKUP("*"&amp;$G7&amp;"*",Pienten_lista!L$1:'Pienten_lista'!L$692,Pienten_lista!$A$1:'Pienten_lista'!$A$692,,2),2),Tyoaikakoonti!$B$2:'Tyoaikakoonti'!$B$458,Tyoaikakoonti!$A$2:'Tyoaikakoonti'!$A$458)</f>
        <v>#N/A</v>
      </c>
      <c r="L7" s="61" t="e" cm="1">
        <f t="array" ref="L7">_xlfn.XLOOKUP(_xlfn.XLOOKUP("*"&amp;$G7&amp;"*",Isojen_lista!M$1:'Isojen_lista'!M$1664,Isojen_lista!$A$1:'Isojen_lista'!$A$1664,_xlfn.XLOOKUP("*"&amp;$G7&amp;"*",Pienten_lista!M$1:'Pienten_lista'!M$692,Pienten_lista!$A$1:'Pienten_lista'!$A$692,,2),2),Tyoaikakoonti!$B$2:'Tyoaikakoonti'!$B$458,Tyoaikakoonti!$A$2:'Tyoaikakoonti'!$A$458)</f>
        <v>#N/A</v>
      </c>
      <c r="M7" s="91" t="s">
        <v>221</v>
      </c>
      <c r="N7" s="61" t="e" cm="1">
        <f t="array" ref="N7">_xlfn.XLOOKUP(_xlfn.XLOOKUP("*"&amp;$M7&amp;"*",Isojen_lista!P$1:'Isojen_lista'!P$1664,Isojen_lista!$A$1:'Isojen_lista'!$A$1664,_xlfn.XLOOKUP("*"&amp;$M7&amp;"*",Pienten_lista!P$1:'Pienten_lista'!P$692,Pienten_lista!$A$1:'Pienten_lista'!$A$692,,2),2),Tyoaikakoonti!$B$2:'Tyoaikakoonti'!$B$458,Tyoaikakoonti!$A$2:'Tyoaikakoonti'!$A$458)</f>
        <v>#N/A</v>
      </c>
      <c r="O7" s="61" t="e" cm="1">
        <f t="array" ref="O7">_xlfn.XLOOKUP(_xlfn.XLOOKUP("*"&amp;$M7&amp;"*",Isojen_lista!Q$1:'Isojen_lista'!Q$1664,Isojen_lista!$A$1:'Isojen_lista'!$A$1664,_xlfn.XLOOKUP("*"&amp;$M7&amp;"*",Pienten_lista!Q$1:'Pienten_lista'!Q$692,Pienten_lista!$A$1:'Pienten_lista'!$A$692,,2),2),Tyoaikakoonti!$B$2:'Tyoaikakoonti'!$B$458,Tyoaikakoonti!$A$2:'Tyoaikakoonti'!$A$458)</f>
        <v>#N/A</v>
      </c>
      <c r="P7" s="61" t="e" cm="1">
        <f t="array" ref="P7">_xlfn.XLOOKUP(_xlfn.XLOOKUP("*"&amp;$M7&amp;"*",Isojen_lista!R$1:'Isojen_lista'!R$1664,Isojen_lista!$A$1:'Isojen_lista'!$A$1664,_xlfn.XLOOKUP("*"&amp;$M7&amp;"*",Pienten_lista!R$1:'Pienten_lista'!R$692,Pienten_lista!$A$1:'Pienten_lista'!$A$692,,2),2),Tyoaikakoonti!$B$2:'Tyoaikakoonti'!$B$458,Tyoaikakoonti!$A$2:'Tyoaikakoonti'!$A$458)</f>
        <v>#N/A</v>
      </c>
      <c r="Q7" s="61" t="e" cm="1">
        <f t="array" ref="Q7">_xlfn.XLOOKUP(_xlfn.XLOOKUP("*"&amp;$M7&amp;"*",Isojen_lista!S$1:'Isojen_lista'!S$1664,Isojen_lista!$A$1:'Isojen_lista'!$A$1664,_xlfn.XLOOKUP("*"&amp;$M7&amp;"*",Pienten_lista!S$1:'Pienten_lista'!S$692,Pienten_lista!$A$1:'Pienten_lista'!$A$692,,2),2),Tyoaikakoonti!$B$2:'Tyoaikakoonti'!$B$458,Tyoaikakoonti!$A$2:'Tyoaikakoonti'!$A$458)</f>
        <v>#N/A</v>
      </c>
      <c r="R7" s="61" t="e" cm="1">
        <f t="array" ref="R7">_xlfn.XLOOKUP(_xlfn.XLOOKUP("*"&amp;$M7&amp;"*",Isojen_lista!T$1:'Isojen_lista'!T$1664,Isojen_lista!$A$1:'Isojen_lista'!$A$1664,_xlfn.XLOOKUP("*"&amp;$M7&amp;"*",Pienten_lista!T$1:'Pienten_lista'!T$692,Pienten_lista!$A$1:'Pienten_lista'!$A$692,,2),2),Tyoaikakoonti!$B$2:'Tyoaikakoonti'!$B$458,Tyoaikakoonti!$A$2:'Tyoaikakoonti'!$A$458)</f>
        <v>#N/A</v>
      </c>
    </row>
    <row r="8" spans="1:31" ht="18" customHeight="1" x14ac:dyDescent="0.25">
      <c r="A8" s="91" t="s">
        <v>222</v>
      </c>
      <c r="B8" s="61" t="e" cm="1">
        <f t="array" ref="B8">_xlfn.XLOOKUP(_xlfn.XLOOKUP("*"&amp;$A8&amp;"*",Isojen_lista!B$1:'Isojen_lista'!B$1664,Isojen_lista!$A$1:'Isojen_lista'!$A$1664,,2),Tyoaikakoonti!$B$2:'Tyoaikakoonti'!$B$458,Tyoaikakoonti!$A$2:'Tyoaikakoonti'!$A$458)</f>
        <v>#N/A</v>
      </c>
      <c r="C8" s="61" t="e" cm="1">
        <f t="array" ref="C8">_xlfn.XLOOKUP(_xlfn.XLOOKUP("*"&amp;$A8&amp;"*",Isojen_lista!C$1:'Isojen_lista'!C$1664,Isojen_lista!$A$1:'Isojen_lista'!$A$1664,,2),Tyoaikakoonti!$B$2:'Tyoaikakoonti'!$B$458,Tyoaikakoonti!$A$2:'Tyoaikakoonti'!$A$458)</f>
        <v>#N/A</v>
      </c>
      <c r="D8" s="61" t="e" cm="1">
        <f t="array" ref="D8">_xlfn.XLOOKUP(_xlfn.XLOOKUP("*"&amp;$A8&amp;"*",Isojen_lista!D$1:'Isojen_lista'!D$1664,Isojen_lista!$A$1:'Isojen_lista'!$A$1664,,2),Tyoaikakoonti!$B$2:'Tyoaikakoonti'!$B$458,Tyoaikakoonti!$A$2:'Tyoaikakoonti'!$A$458)</f>
        <v>#N/A</v>
      </c>
      <c r="E8" s="61" t="e" cm="1">
        <f t="array" ref="E8">_xlfn.XLOOKUP(_xlfn.XLOOKUP("*"&amp;$A8&amp;"*",Isojen_lista!E$1:'Isojen_lista'!E$1664,Isojen_lista!$A$1:'Isojen_lista'!$A$1664,,2),Tyoaikakoonti!$B$2:'Tyoaikakoonti'!$B$458,Tyoaikakoonti!$A$2:'Tyoaikakoonti'!$A$458)</f>
        <v>#N/A</v>
      </c>
      <c r="F8" s="61" t="e" cm="1">
        <f t="array" ref="F8">_xlfn.XLOOKUP(_xlfn.XLOOKUP("*"&amp;$A8&amp;"*",Isojen_lista!F$1:'Isojen_lista'!F$1664,Isojen_lista!$A$1:'Isojen_lista'!$A$1664,,2),Tyoaikakoonti!$B$2:'Tyoaikakoonti'!$B$458,Tyoaikakoonti!$A$2:'Tyoaikakoonti'!$A$458)</f>
        <v>#N/A</v>
      </c>
      <c r="G8" s="91" t="s">
        <v>222</v>
      </c>
      <c r="H8" s="61" t="e" cm="1">
        <f t="array" ref="H8">_xlfn.XLOOKUP(_xlfn.XLOOKUP("*"&amp;$G8&amp;"*",Isojen_lista!I$1:'Isojen_lista'!I$1664,Isojen_lista!$A$1:'Isojen_lista'!$A$1664,_xlfn.XLOOKUP("*"&amp;$G8&amp;"*",Pienten_lista!I$1:'Pienten_lista'!I$692,Pienten_lista!$A$1:'Pienten_lista'!$A$692,,2),2),Tyoaikakoonti!$B$2:'Tyoaikakoonti'!$B$458,Tyoaikakoonti!$A$2:'Tyoaikakoonti'!$A$458)</f>
        <v>#N/A</v>
      </c>
      <c r="I8" s="61" t="e" cm="1">
        <f t="array" ref="I8">_xlfn.XLOOKUP(_xlfn.XLOOKUP("*"&amp;$G8&amp;"*",Isojen_lista!J$1:'Isojen_lista'!J$1664,Isojen_lista!$A$1:'Isojen_lista'!$A$1664,_xlfn.XLOOKUP("*"&amp;$G8&amp;"*",Pienten_lista!J$1:'Pienten_lista'!J$692,Pienten_lista!$A$1:'Pienten_lista'!$A$692,,2),2),Tyoaikakoonti!$B$2:'Tyoaikakoonti'!$B$458,Tyoaikakoonti!$A$2:'Tyoaikakoonti'!$A$458)</f>
        <v>#N/A</v>
      </c>
      <c r="J8" s="61" t="e" cm="1">
        <f t="array" ref="J8">_xlfn.XLOOKUP(_xlfn.XLOOKUP("*"&amp;$G8&amp;"*",Isojen_lista!K$1:'Isojen_lista'!K$1664,Isojen_lista!$A$1:'Isojen_lista'!$A$1664,_xlfn.XLOOKUP("*"&amp;$G8&amp;"*",Pienten_lista!K$1:'Pienten_lista'!K$692,Pienten_lista!$A$1:'Pienten_lista'!$A$692,,2),2),Tyoaikakoonti!$B$2:'Tyoaikakoonti'!$B$458,Tyoaikakoonti!$A$2:'Tyoaikakoonti'!$A$458)</f>
        <v>#N/A</v>
      </c>
      <c r="K8" s="61" t="e" cm="1">
        <f t="array" ref="K8">_xlfn.XLOOKUP(_xlfn.XLOOKUP("*"&amp;$G8&amp;"*",Isojen_lista!L$1:'Isojen_lista'!L$1664,Isojen_lista!$A$1:'Isojen_lista'!$A$1664,_xlfn.XLOOKUP("*"&amp;$G8&amp;"*",Pienten_lista!L$1:'Pienten_lista'!L$692,Pienten_lista!$A$1:'Pienten_lista'!$A$692,,2),2),Tyoaikakoonti!$B$2:'Tyoaikakoonti'!$B$458,Tyoaikakoonti!$A$2:'Tyoaikakoonti'!$A$458)</f>
        <v>#N/A</v>
      </c>
      <c r="L8" s="61" t="e" cm="1">
        <f t="array" ref="L8">_xlfn.XLOOKUP(_xlfn.XLOOKUP("*"&amp;$G8&amp;"*",Isojen_lista!M$1:'Isojen_lista'!M$1664,Isojen_lista!$A$1:'Isojen_lista'!$A$1664,_xlfn.XLOOKUP("*"&amp;$G8&amp;"*",Pienten_lista!M$1:'Pienten_lista'!M$692,Pienten_lista!$A$1:'Pienten_lista'!$A$692,,2),2),Tyoaikakoonti!$B$2:'Tyoaikakoonti'!$B$458,Tyoaikakoonti!$A$2:'Tyoaikakoonti'!$A$458)</f>
        <v>#N/A</v>
      </c>
      <c r="M8" s="91" t="s">
        <v>222</v>
      </c>
      <c r="N8" s="61" t="e" cm="1">
        <f t="array" ref="N8">_xlfn.XLOOKUP(_xlfn.XLOOKUP("*"&amp;$M8&amp;"*",Isojen_lista!P$1:'Isojen_lista'!P$1664,Isojen_lista!$A$1:'Isojen_lista'!$A$1664,_xlfn.XLOOKUP("*"&amp;$M8&amp;"*",Pienten_lista!P$1:'Pienten_lista'!P$692,Pienten_lista!$A$1:'Pienten_lista'!$A$692,,2),2),Tyoaikakoonti!$B$2:'Tyoaikakoonti'!$B$458,Tyoaikakoonti!$A$2:'Tyoaikakoonti'!$A$458)</f>
        <v>#N/A</v>
      </c>
      <c r="O8" s="61" t="e" cm="1">
        <f t="array" ref="O8">_xlfn.XLOOKUP(_xlfn.XLOOKUP("*"&amp;$M8&amp;"*",Isojen_lista!Q$1:'Isojen_lista'!Q$1664,Isojen_lista!$A$1:'Isojen_lista'!$A$1664,_xlfn.XLOOKUP("*"&amp;$M8&amp;"*",Pienten_lista!Q$1:'Pienten_lista'!Q$692,Pienten_lista!$A$1:'Pienten_lista'!$A$692,,2),2),Tyoaikakoonti!$B$2:'Tyoaikakoonti'!$B$458,Tyoaikakoonti!$A$2:'Tyoaikakoonti'!$A$458)</f>
        <v>#N/A</v>
      </c>
      <c r="P8" s="61" t="e" cm="1">
        <f t="array" ref="P8">_xlfn.XLOOKUP(_xlfn.XLOOKUP("*"&amp;$M8&amp;"*",Isojen_lista!R$1:'Isojen_lista'!R$1664,Isojen_lista!$A$1:'Isojen_lista'!$A$1664,_xlfn.XLOOKUP("*"&amp;$M8&amp;"*",Pienten_lista!R$1:'Pienten_lista'!R$692,Pienten_lista!$A$1:'Pienten_lista'!$A$692,,2),2),Tyoaikakoonti!$B$2:'Tyoaikakoonti'!$B$458,Tyoaikakoonti!$A$2:'Tyoaikakoonti'!$A$458)</f>
        <v>#N/A</v>
      </c>
      <c r="Q8" s="61" t="e" cm="1">
        <f t="array" ref="Q8">_xlfn.XLOOKUP(_xlfn.XLOOKUP("*"&amp;$M8&amp;"*",Isojen_lista!S$1:'Isojen_lista'!S$1664,Isojen_lista!$A$1:'Isojen_lista'!$A$1664,_xlfn.XLOOKUP("*"&amp;$M8&amp;"*",Pienten_lista!S$1:'Pienten_lista'!S$692,Pienten_lista!$A$1:'Pienten_lista'!$A$692,,2),2),Tyoaikakoonti!$B$2:'Tyoaikakoonti'!$B$458,Tyoaikakoonti!$A$2:'Tyoaikakoonti'!$A$458)</f>
        <v>#N/A</v>
      </c>
      <c r="R8" s="61" t="e" cm="1">
        <f t="array" ref="R8">_xlfn.XLOOKUP(_xlfn.XLOOKUP("*"&amp;$M8&amp;"*",Isojen_lista!T$1:'Isojen_lista'!T$1664,Isojen_lista!$A$1:'Isojen_lista'!$A$1664,_xlfn.XLOOKUP("*"&amp;$M8&amp;"*",Pienten_lista!T$1:'Pienten_lista'!T$692,Pienten_lista!$A$1:'Pienten_lista'!$A$692,,2),2),Tyoaikakoonti!$B$2:'Tyoaikakoonti'!$B$458,Tyoaikakoonti!$A$2:'Tyoaikakoonti'!$A$458)</f>
        <v>#N/A</v>
      </c>
    </row>
    <row r="9" spans="1:31" ht="18" customHeight="1" x14ac:dyDescent="0.25">
      <c r="A9" s="91"/>
      <c r="B9" s="180" t="s">
        <v>223</v>
      </c>
      <c r="C9" s="181"/>
      <c r="D9" s="181"/>
      <c r="E9" s="181"/>
      <c r="F9" s="182"/>
      <c r="G9" s="91"/>
      <c r="H9" s="180" t="s">
        <v>223</v>
      </c>
      <c r="I9" s="181"/>
      <c r="J9" s="181"/>
      <c r="K9" s="181"/>
      <c r="L9" s="182"/>
      <c r="M9" s="91"/>
      <c r="N9" s="180" t="s">
        <v>223</v>
      </c>
      <c r="O9" s="181"/>
      <c r="P9" s="181"/>
      <c r="Q9" s="181"/>
      <c r="R9" s="182"/>
    </row>
    <row r="10" spans="1:31" ht="18" customHeight="1" x14ac:dyDescent="0.25">
      <c r="A10" s="91" t="s">
        <v>224</v>
      </c>
      <c r="B10" s="61" t="e" cm="1">
        <f t="array" ref="B10">_xlfn.XLOOKUP(_xlfn.XLOOKUP("*"&amp;$A10&amp;"*",Pienten_lista!B$1:'Pienten_lista'!B$692,Pienten_lista!$A$1:'Pienten_lista'!$A$692,,2),Tyoaikakoonti!$B$2:'Tyoaikakoonti'!$B$458,Tyoaikakoonti!$A$2:'Tyoaikakoonti'!$A$458)</f>
        <v>#N/A</v>
      </c>
      <c r="C10" s="61" t="e" cm="1">
        <f t="array" ref="C10">_xlfn.XLOOKUP(_xlfn.XLOOKUP("*"&amp;$A10&amp;"*",Pienten_lista!C$1:'Pienten_lista'!C$692,Pienten_lista!$A$1:'Pienten_lista'!$A$692,,2),Tyoaikakoonti!$B$2:'Tyoaikakoonti'!$B$458,Tyoaikakoonti!$A$2:'Tyoaikakoonti'!$A$458)</f>
        <v>#N/A</v>
      </c>
      <c r="D10" s="61" t="e" cm="1">
        <f t="array" ref="D10">_xlfn.XLOOKUP(_xlfn.XLOOKUP("*"&amp;$A10&amp;"*",Pienten_lista!D$1:'Pienten_lista'!D$692,Pienten_lista!$A$1:'Pienten_lista'!$A$692,,2),Tyoaikakoonti!$B$2:'Tyoaikakoonti'!$B$458,Tyoaikakoonti!$A$2:'Tyoaikakoonti'!$A$458)</f>
        <v>#N/A</v>
      </c>
      <c r="E10" s="61" t="e" cm="1">
        <f t="array" ref="E10">_xlfn.XLOOKUP(_xlfn.XLOOKUP("*"&amp;$A10&amp;"*",Pienten_lista!E$1:'Pienten_lista'!E$692,Pienten_lista!$A$1:'Pienten_lista'!$A$692,,2),Tyoaikakoonti!$B$2:'Tyoaikakoonti'!$B$458,Tyoaikakoonti!$A$2:'Tyoaikakoonti'!$A$458)</f>
        <v>#N/A</v>
      </c>
      <c r="F10" s="61" t="e" cm="1">
        <f t="array" ref="F10">_xlfn.XLOOKUP(_xlfn.XLOOKUP("*"&amp;$A10&amp;"*",Pienten_lista!F$1:'Pienten_lista'!F$692,Pienten_lista!$A$1:'Pienten_lista'!$A$692,,2),Tyoaikakoonti!$B$2:'Tyoaikakoonti'!$B$458,Tyoaikakoonti!$A$2:'Tyoaikakoonti'!$A$458)</f>
        <v>#N/A</v>
      </c>
      <c r="G10" s="116" t="s">
        <v>225</v>
      </c>
      <c r="H10" s="61" t="e" cm="1">
        <f t="array" ref="H10">_xlfn.XLOOKUP(_xlfn.XLOOKUP("*"&amp;$G10&amp;"*",Pienten_lista!I$1:'Pienten_lista'!I$692,Pienten_lista!$A$1:'Pienten_lista'!$A$692,,2),Tyoaikakoonti!$B$2:'Tyoaikakoonti'!$B$458,Tyoaikakoonti!$A$2:'Tyoaikakoonti'!$A$458)</f>
        <v>#N/A</v>
      </c>
      <c r="I10" s="61" t="e" cm="1">
        <f t="array" ref="I10">_xlfn.XLOOKUP(_xlfn.XLOOKUP("*"&amp;$G10&amp;"*",Pienten_lista!J$1:'Pienten_lista'!J$692,Pienten_lista!$A$1:'Pienten_lista'!$A$692,,2),Tyoaikakoonti!$B$2:'Tyoaikakoonti'!$B$458,Tyoaikakoonti!$A$2:'Tyoaikakoonti'!$A$458)</f>
        <v>#N/A</v>
      </c>
      <c r="J10" s="61" t="e" cm="1">
        <f t="array" ref="J10">_xlfn.XLOOKUP(_xlfn.XLOOKUP("*"&amp;$G10&amp;"*",Pienten_lista!K$1:'Pienten_lista'!K$692,Pienten_lista!$A$1:'Pienten_lista'!$A$692,,2),Tyoaikakoonti!$B$2:'Tyoaikakoonti'!$B$458,Tyoaikakoonti!$A$2:'Tyoaikakoonti'!$A$458)</f>
        <v>#N/A</v>
      </c>
      <c r="K10" s="61" t="e" cm="1">
        <f t="array" ref="K10">_xlfn.XLOOKUP(_xlfn.XLOOKUP("*"&amp;$G10&amp;"*",Pienten_lista!L$1:'Pienten_lista'!L$692,Pienten_lista!$A$1:'Pienten_lista'!$A$692,,2),Tyoaikakoonti!$B$2:'Tyoaikakoonti'!$B$458,Tyoaikakoonti!$A$2:'Tyoaikakoonti'!$A$458)</f>
        <v>#N/A</v>
      </c>
      <c r="L10" s="61" t="e" cm="1">
        <f t="array" ref="L10">_xlfn.XLOOKUP(_xlfn.XLOOKUP("*"&amp;$G10&amp;"*",Pienten_lista!M$1:'Pienten_lista'!M$692,Pienten_lista!$A$1:'Pienten_lista'!$A$692,,2),Tyoaikakoonti!$B$2:'Tyoaikakoonti'!$B$458,Tyoaikakoonti!$A$2:'Tyoaikakoonti'!$A$458)</f>
        <v>#N/A</v>
      </c>
      <c r="M10" s="91" t="s">
        <v>224</v>
      </c>
      <c r="N10" s="61" t="e" cm="1">
        <f t="array" ref="N10">_xlfn.XLOOKUP(_xlfn.XLOOKUP("*"&amp;$M10&amp;"*",Pienten_lista!P$1:'Pienten_lista'!P$692,Pienten_lista!$A$1:'Pienten_lista'!$A$692,,2),Tyoaikakoonti!$B$2:'Tyoaikakoonti'!$B$458,Tyoaikakoonti!$A$2:'Tyoaikakoonti'!$A$458)</f>
        <v>#N/A</v>
      </c>
      <c r="O10" s="61" t="e" cm="1">
        <f t="array" ref="O10">_xlfn.XLOOKUP(_xlfn.XLOOKUP("*"&amp;$M10&amp;"*",Pienten_lista!Q$1:'Pienten_lista'!Q$692,Pienten_lista!$A$1:'Pienten_lista'!$A$692,,2),Tyoaikakoonti!$B$2:'Tyoaikakoonti'!$B$458,Tyoaikakoonti!$A$2:'Tyoaikakoonti'!$A$458)</f>
        <v>#N/A</v>
      </c>
      <c r="P10" s="61" t="e" cm="1">
        <f t="array" ref="P10">_xlfn.XLOOKUP(_xlfn.XLOOKUP("*"&amp;$M10&amp;"*",Pienten_lista!R$1:'Pienten_lista'!R$692,Pienten_lista!$A$1:'Pienten_lista'!$A$692,,2),Tyoaikakoonti!$B$2:'Tyoaikakoonti'!$B$458,Tyoaikakoonti!$A$2:'Tyoaikakoonti'!$A$458)</f>
        <v>#N/A</v>
      </c>
      <c r="Q10" s="61" t="e" cm="1">
        <f t="array" ref="Q10">_xlfn.XLOOKUP(_xlfn.XLOOKUP("*"&amp;$M10&amp;"*",Pienten_lista!S$1:'Pienten_lista'!S$692,Pienten_lista!$A$1:'Pienten_lista'!$A$692,,2),Tyoaikakoonti!$B$2:'Tyoaikakoonti'!$B$458,Tyoaikakoonti!$A$2:'Tyoaikakoonti'!$A$458)</f>
        <v>#N/A</v>
      </c>
      <c r="R10" s="61" t="e" cm="1">
        <f t="array" ref="R10">_xlfn.XLOOKUP(_xlfn.XLOOKUP("*"&amp;$M10&amp;"*",Pienten_lista!T$1:'Pienten_lista'!T$692,Pienten_lista!$A$1:'Pienten_lista'!$A$692,,2),Tyoaikakoonti!$B$2:'Tyoaikakoonti'!$B$458,Tyoaikakoonti!$A$2:'Tyoaikakoonti'!$A$458)</f>
        <v>#N/A</v>
      </c>
    </row>
    <row r="11" spans="1:31" ht="18" customHeight="1" x14ac:dyDescent="0.25">
      <c r="A11" s="91" t="s">
        <v>287</v>
      </c>
      <c r="B11" s="61" t="str" cm="1">
        <f t="array" ref="B11">IFERROR(_xlfn.XLOOKUP(_xlfn.XLOOKUP("*"&amp;$A11&amp;"*",Pienten_lista!B$1:'Pienten_lista'!B$692,Pienten_lista!$A$1:'Pienten_lista'!$A$692,,2),Tyoaikakoonti!$B$2:'Tyoaikakoonti'!$B$458,Tyoaikakoonti!$A$2:'Tyoaikakoonti'!$A$458),"Puuttuu")</f>
        <v>Puuttuu</v>
      </c>
      <c r="C11" s="61" t="e" cm="1">
        <f t="array" ref="C11">_xlfn.XLOOKUP(_xlfn.XLOOKUP("*"&amp;$A11&amp;"*",Pienten_lista!C$1:'Pienten_lista'!C$692,Pienten_lista!$A$1:'Pienten_lista'!$A$692,,2),Tyoaikakoonti!$B$2:'Tyoaikakoonti'!$B$458,Tyoaikakoonti!$A$2:'Tyoaikakoonti'!$A$458)</f>
        <v>#N/A</v>
      </c>
      <c r="D11" s="61" t="e" cm="1">
        <f t="array" ref="D11">_xlfn.XLOOKUP(_xlfn.XLOOKUP("*"&amp;$A11&amp;"*",Pienten_lista!D$1:'Pienten_lista'!D$692,Pienten_lista!$A$1:'Pienten_lista'!$A$692,,2),Tyoaikakoonti!$B$2:'Tyoaikakoonti'!$B$458,Tyoaikakoonti!$A$2:'Tyoaikakoonti'!$A$458)</f>
        <v>#N/A</v>
      </c>
      <c r="E11" s="61" t="e" cm="1">
        <f t="array" ref="E11">_xlfn.XLOOKUP(_xlfn.XLOOKUP("*"&amp;$A11&amp;"*",Pienten_lista!E$1:'Pienten_lista'!E$692,Pienten_lista!$A$1:'Pienten_lista'!$A$692,,2),Tyoaikakoonti!$B$2:'Tyoaikakoonti'!$B$458,Tyoaikakoonti!$A$2:'Tyoaikakoonti'!$A$458)</f>
        <v>#N/A</v>
      </c>
      <c r="F11" s="61" t="e" cm="1">
        <f t="array" ref="F11">_xlfn.XLOOKUP(_xlfn.XLOOKUP("*"&amp;$A11&amp;"*",Pienten_lista!F$1:'Pienten_lista'!F$692,Pienten_lista!$A$1:'Pienten_lista'!$A$692,,2),Tyoaikakoonti!$B$2:'Tyoaikakoonti'!$B$458,Tyoaikakoonti!$A$2:'Tyoaikakoonti'!$A$458)</f>
        <v>#N/A</v>
      </c>
      <c r="G11" s="91" t="s">
        <v>287</v>
      </c>
      <c r="H11" s="61" t="e" cm="1">
        <f t="array" ref="H11">_xlfn.XLOOKUP(_xlfn.XLOOKUP("*"&amp;$G11&amp;"*",Pienten_lista!I$1:'Pienten_lista'!I$692,Pienten_lista!$A$1:'Pienten_lista'!$A$692,,2),Tyoaikakoonti!$B$2:'Tyoaikakoonti'!$B$458,Tyoaikakoonti!$A$2:'Tyoaikakoonti'!$A$458)</f>
        <v>#N/A</v>
      </c>
      <c r="I11" s="61" t="e" cm="1">
        <f t="array" ref="I11">_xlfn.XLOOKUP(_xlfn.XLOOKUP("*"&amp;$G11&amp;"*",Pienten_lista!J$1:'Pienten_lista'!J$692,Pienten_lista!$A$1:'Pienten_lista'!$A$692,,2),Tyoaikakoonti!$B$2:'Tyoaikakoonti'!$B$458,Tyoaikakoonti!$A$2:'Tyoaikakoonti'!$A$458)</f>
        <v>#N/A</v>
      </c>
      <c r="J11" s="61" t="e" cm="1">
        <f t="array" ref="J11">_xlfn.XLOOKUP(_xlfn.XLOOKUP("*"&amp;$G11&amp;"*",Pienten_lista!K$1:'Pienten_lista'!K$692,Pienten_lista!$A$1:'Pienten_lista'!$A$692,,2),Tyoaikakoonti!$B$2:'Tyoaikakoonti'!$B$458,Tyoaikakoonti!$A$2:'Tyoaikakoonti'!$A$458)</f>
        <v>#N/A</v>
      </c>
      <c r="K11" s="61" t="e" cm="1">
        <f t="array" ref="K11">_xlfn.XLOOKUP(_xlfn.XLOOKUP("*"&amp;$G11&amp;"*",Pienten_lista!L$1:'Pienten_lista'!L$692,Pienten_lista!$A$1:'Pienten_lista'!$A$692,,2),Tyoaikakoonti!$B$2:'Tyoaikakoonti'!$B$458,Tyoaikakoonti!$A$2:'Tyoaikakoonti'!$A$458)</f>
        <v>#N/A</v>
      </c>
      <c r="L11" s="61" t="e" cm="1">
        <f t="array" ref="L11">_xlfn.XLOOKUP(_xlfn.XLOOKUP("*"&amp;$G11&amp;"*",Pienten_lista!M$1:'Pienten_lista'!M$692,Pienten_lista!$A$1:'Pienten_lista'!$A$692,,2),Tyoaikakoonti!$B$2:'Tyoaikakoonti'!$B$458,Tyoaikakoonti!$A$2:'Tyoaikakoonti'!$A$458)</f>
        <v>#N/A</v>
      </c>
      <c r="M11" s="91" t="s">
        <v>287</v>
      </c>
      <c r="N11" s="61" t="e" cm="1">
        <f t="array" ref="N11">_xlfn.XLOOKUP(_xlfn.XLOOKUP("*"&amp;$M11&amp;"*",Pienten_lista!P$1:'Pienten_lista'!P$692,Pienten_lista!$A$1:'Pienten_lista'!$A$692,,2),Tyoaikakoonti!$B$2:'Tyoaikakoonti'!$B$458,Tyoaikakoonti!$A$2:'Tyoaikakoonti'!$A$458)</f>
        <v>#N/A</v>
      </c>
      <c r="O11" s="61" t="e" cm="1">
        <f t="array" ref="O11">_xlfn.XLOOKUP(_xlfn.XLOOKUP("*"&amp;$M11&amp;"*",Pienten_lista!Q$1:'Pienten_lista'!Q$692,Pienten_lista!$A$1:'Pienten_lista'!$A$692,,2),Tyoaikakoonti!$B$2:'Tyoaikakoonti'!$B$458,Tyoaikakoonti!$A$2:'Tyoaikakoonti'!$A$458)</f>
        <v>#N/A</v>
      </c>
      <c r="P11" s="61" t="e" cm="1">
        <f t="array" ref="P11">_xlfn.XLOOKUP(_xlfn.XLOOKUP("*"&amp;$M11&amp;"*",Pienten_lista!R$1:'Pienten_lista'!R$692,Pienten_lista!$A$1:'Pienten_lista'!$A$692,,2),Tyoaikakoonti!$B$2:'Tyoaikakoonti'!$B$458,Tyoaikakoonti!$A$2:'Tyoaikakoonti'!$A$458)</f>
        <v>#N/A</v>
      </c>
      <c r="Q11" s="61" t="e" cm="1">
        <f t="array" ref="Q11">_xlfn.XLOOKUP(_xlfn.XLOOKUP("*"&amp;$M11&amp;"*",Pienten_lista!S$1:'Pienten_lista'!S$692,Pienten_lista!$A$1:'Pienten_lista'!$A$692,,2),Tyoaikakoonti!$B$2:'Tyoaikakoonti'!$B$458,Tyoaikakoonti!$A$2:'Tyoaikakoonti'!$A$458)</f>
        <v>#N/A</v>
      </c>
      <c r="R11" s="61" t="e" cm="1">
        <f t="array" ref="R11">_xlfn.XLOOKUP(_xlfn.XLOOKUP("*"&amp;$M11&amp;"*",Pienten_lista!T$1:'Pienten_lista'!T$692,Pienten_lista!$A$1:'Pienten_lista'!$A$692,,2),Tyoaikakoonti!$B$2:'Tyoaikakoonti'!$B$458,Tyoaikakoonti!$A$2:'Tyoaikakoonti'!$A$458)</f>
        <v>#N/A</v>
      </c>
    </row>
    <row r="12" spans="1:31" ht="18" customHeight="1" x14ac:dyDescent="0.25">
      <c r="A12" s="91"/>
      <c r="B12" s="180" t="s">
        <v>217</v>
      </c>
      <c r="C12" s="181"/>
      <c r="D12" s="181"/>
      <c r="E12" s="181"/>
      <c r="F12" s="182"/>
      <c r="G12" s="91"/>
      <c r="H12" s="180" t="s">
        <v>217</v>
      </c>
      <c r="I12" s="181"/>
      <c r="J12" s="181"/>
      <c r="K12" s="181"/>
      <c r="L12" s="182"/>
      <c r="M12" s="91"/>
      <c r="N12" s="180" t="s">
        <v>217</v>
      </c>
      <c r="O12" s="181"/>
      <c r="P12" s="181"/>
      <c r="Q12" s="181"/>
      <c r="R12" s="182"/>
    </row>
    <row r="13" spans="1:31" ht="18" customHeight="1" x14ac:dyDescent="0.25">
      <c r="A13" s="117" t="s">
        <v>226</v>
      </c>
      <c r="B13" s="61" t="e" cm="1">
        <f t="array" ref="B13">_xlfn.XLOOKUP(_xlfn.XLOOKUP("*"&amp;$A13&amp;"*",Isojen_lista!B$1:'Isojen_lista'!B$1664,Isojen_lista!$A$1:'Isojen_lista'!$A$1664,_xlfn.XLOOKUP("*"&amp;$A13&amp;"*",Pienten_lista!B$1:'Pienten_lista'!B$692,Pienten_lista!$A$1:'Pienten_lista'!$A$692,,2),2),Tyoaikakoonti!$B$2:'Tyoaikakoonti'!$B$458,Tyoaikakoonti!$A$2:'Tyoaikakoonti'!$A$458)</f>
        <v>#N/A</v>
      </c>
      <c r="C13" s="61" t="e" cm="1">
        <f t="array" ref="C13">_xlfn.XLOOKUP(_xlfn.XLOOKUP("*"&amp;$A13&amp;"*",Isojen_lista!C$1:'Isojen_lista'!C$1664,Isojen_lista!$A$1:'Isojen_lista'!$A$1664,_xlfn.XLOOKUP("*"&amp;$A13&amp;"*",Pienten_lista!C$1:'Pienten_lista'!C$692,Pienten_lista!$A$1:'Pienten_lista'!$A$692,,2),2),Tyoaikakoonti!$B$2:'Tyoaikakoonti'!$B$458,Tyoaikakoonti!$A$2:'Tyoaikakoonti'!$A$458)</f>
        <v>#N/A</v>
      </c>
      <c r="D13" s="61" t="e" cm="1">
        <f t="array" ref="D13">_xlfn.XLOOKUP(_xlfn.XLOOKUP("*"&amp;$A13&amp;"*",Isojen_lista!D$1:'Isojen_lista'!D$1664,Isojen_lista!$A$1:'Isojen_lista'!$A$1664,_xlfn.XLOOKUP("*"&amp;$A13&amp;"*",Pienten_lista!D$1:'Pienten_lista'!D$692,Pienten_lista!$A$1:'Pienten_lista'!$A$692,,2),2),Tyoaikakoonti!$B$2:'Tyoaikakoonti'!$B$458,Tyoaikakoonti!$A$2:'Tyoaikakoonti'!$A$458)</f>
        <v>#N/A</v>
      </c>
      <c r="E13" s="61" t="e" cm="1">
        <f t="array" ref="E13">_xlfn.XLOOKUP(_xlfn.XLOOKUP("*"&amp;$A13&amp;"*",Isojen_lista!E$1:'Isojen_lista'!E$1664,Isojen_lista!$A$1:'Isojen_lista'!$A$1664,_xlfn.XLOOKUP("*"&amp;$A13&amp;"*",Pienten_lista!E$1:'Pienten_lista'!E$692,Pienten_lista!$A$1:'Pienten_lista'!$A$692,,2),2),Tyoaikakoonti!$B$2:'Tyoaikakoonti'!$B$458,Tyoaikakoonti!$A$2:'Tyoaikakoonti'!$A$458)</f>
        <v>#N/A</v>
      </c>
      <c r="F13" s="61" t="e" cm="1">
        <f t="array" ref="F13">_xlfn.XLOOKUP(_xlfn.XLOOKUP("*"&amp;$A13&amp;"*",Isojen_lista!F$1:'Isojen_lista'!F$1664,Isojen_lista!$A$1:'Isojen_lista'!$A$1664,_xlfn.XLOOKUP("*"&amp;$A13&amp;"*",Pienten_lista!F$1:'Pienten_lista'!F$692,Pienten_lista!$A$1:'Pienten_lista'!$A$692,,2),2),Tyoaikakoonti!$B$2:'Tyoaikakoonti'!$B$458,Tyoaikakoonti!$A$2:'Tyoaikakoonti'!$A$458)</f>
        <v>#N/A</v>
      </c>
      <c r="G13" s="117" t="s">
        <v>226</v>
      </c>
      <c r="H13" s="61" t="e" cm="1">
        <f t="array" ref="H13">_xlfn.XLOOKUP(_xlfn.XLOOKUP("*"&amp;$G13&amp;"*",Isojen_lista!I$1:'Isojen_lista'!I$1664,Isojen_lista!$A$1:'Isojen_lista'!$A$1664,_xlfn.XLOOKUP("*"&amp;$G13&amp;"*",Pienten_lista!I$1:'Pienten_lista'!I$692,Pienten_lista!$A$1:'Pienten_lista'!$A$692,,2),2),Tyoaikakoonti!$B$2:'Tyoaikakoonti'!$B$458,Tyoaikakoonti!$A$2:'Tyoaikakoonti'!$A$458)</f>
        <v>#N/A</v>
      </c>
      <c r="I13" s="61" t="e" cm="1">
        <f t="array" ref="I13">_xlfn.XLOOKUP(_xlfn.XLOOKUP("*"&amp;$G13&amp;"*",Isojen_lista!J$1:'Isojen_lista'!J$1664,Isojen_lista!$A$1:'Isojen_lista'!$A$1664,_xlfn.XLOOKUP("*"&amp;$G13&amp;"*",Pienten_lista!J$1:'Pienten_lista'!J$692,Pienten_lista!$A$1:'Pienten_lista'!$A$692,,2),2),Tyoaikakoonti!$B$2:'Tyoaikakoonti'!$B$458,Tyoaikakoonti!$A$2:'Tyoaikakoonti'!$A$458)</f>
        <v>#N/A</v>
      </c>
      <c r="J13" s="61" t="e" cm="1">
        <f t="array" ref="J13">_xlfn.XLOOKUP(_xlfn.XLOOKUP("*"&amp;$G13&amp;"*",Isojen_lista!K$1:'Isojen_lista'!K$1664,Isojen_lista!$A$1:'Isojen_lista'!$A$1664,_xlfn.XLOOKUP("*"&amp;$G13&amp;"*",Pienten_lista!K$1:'Pienten_lista'!K$692,Pienten_lista!$A$1:'Pienten_lista'!$A$692,,2),2),Tyoaikakoonti!$B$2:'Tyoaikakoonti'!$B$458,Tyoaikakoonti!$A$2:'Tyoaikakoonti'!$A$458)</f>
        <v>#N/A</v>
      </c>
      <c r="K13" s="61" t="e" cm="1">
        <f t="array" ref="K13">_xlfn.XLOOKUP(_xlfn.XLOOKUP("*"&amp;$G13&amp;"*",Isojen_lista!L$1:'Isojen_lista'!L$1664,Isojen_lista!$A$1:'Isojen_lista'!$A$1664,_xlfn.XLOOKUP("*"&amp;$G13&amp;"*",Pienten_lista!L$1:'Pienten_lista'!L$692,Pienten_lista!$A$1:'Pienten_lista'!$A$692,,2),2),Tyoaikakoonti!$B$2:'Tyoaikakoonti'!$B$458,Tyoaikakoonti!$A$2:'Tyoaikakoonti'!$A$458)</f>
        <v>#N/A</v>
      </c>
      <c r="L13" s="61" t="e" cm="1">
        <f t="array" ref="L13">_xlfn.XLOOKUP(_xlfn.XLOOKUP("*"&amp;$G13&amp;"*",Isojen_lista!M$1:'Isojen_lista'!M$1664,Isojen_lista!$A$1:'Isojen_lista'!$A$1664,_xlfn.XLOOKUP("*"&amp;$G13&amp;"*",Pienten_lista!M$1:'Pienten_lista'!M$692,Pienten_lista!$A$1:'Pienten_lista'!$A$692,,2),2),Tyoaikakoonti!$B$2:'Tyoaikakoonti'!$B$458,Tyoaikakoonti!$A$2:'Tyoaikakoonti'!$A$458)</f>
        <v>#N/A</v>
      </c>
      <c r="M13" s="117" t="s">
        <v>226</v>
      </c>
      <c r="N13" s="61" t="e" cm="1">
        <f t="array" ref="N13">_xlfn.XLOOKUP(_xlfn.XLOOKUP("*"&amp;$M13&amp;"*",Isojen_lista!P$1:'Isojen_lista'!P$1664,Isojen_lista!$A$1:'Isojen_lista'!$A$1664,_xlfn.XLOOKUP("*"&amp;$M13&amp;"*",Pienten_lista!P$1:'Pienten_lista'!P$692,Pienten_lista!$A$1:'Pienten_lista'!$A$692,,2),2),Tyoaikakoonti!$B$2:'Tyoaikakoonti'!$B$458,Tyoaikakoonti!$A$2:'Tyoaikakoonti'!$A$458)</f>
        <v>#N/A</v>
      </c>
      <c r="O13" s="61" t="e" cm="1">
        <f t="array" ref="O13">_xlfn.XLOOKUP(_xlfn.XLOOKUP("*"&amp;$M13&amp;"*",Isojen_lista!Q$1:'Isojen_lista'!Q$1664,Isojen_lista!$A$1:'Isojen_lista'!$A$1664,_xlfn.XLOOKUP("*"&amp;$M13&amp;"*",Pienten_lista!Q$1:'Pienten_lista'!Q$692,Pienten_lista!$A$1:'Pienten_lista'!$A$692,,2),2),Tyoaikakoonti!$B$2:'Tyoaikakoonti'!$B$458,Tyoaikakoonti!$A$2:'Tyoaikakoonti'!$A$458)</f>
        <v>#N/A</v>
      </c>
      <c r="P13" s="61" t="e" cm="1">
        <f t="array" ref="P13">_xlfn.XLOOKUP(_xlfn.XLOOKUP("*"&amp;$M13&amp;"*",Isojen_lista!R$1:'Isojen_lista'!R$1664,Isojen_lista!$A$1:'Isojen_lista'!$A$1664,_xlfn.XLOOKUP("*"&amp;$M13&amp;"*",Pienten_lista!R$1:'Pienten_lista'!R$692,Pienten_lista!$A$1:'Pienten_lista'!$A$692,,2),2),Tyoaikakoonti!$B$2:'Tyoaikakoonti'!$B$458,Tyoaikakoonti!$A$2:'Tyoaikakoonti'!$A$458)</f>
        <v>#N/A</v>
      </c>
      <c r="Q13" s="61" t="e" cm="1">
        <f t="array" ref="Q13">_xlfn.XLOOKUP(_xlfn.XLOOKUP("*"&amp;$M13&amp;"*",Isojen_lista!S$1:'Isojen_lista'!S$1664,Isojen_lista!$A$1:'Isojen_lista'!$A$1664,_xlfn.XLOOKUP("*"&amp;$M13&amp;"*",Pienten_lista!S$1:'Pienten_lista'!S$692,Pienten_lista!$A$1:'Pienten_lista'!$A$692,,2),2),Tyoaikakoonti!$B$2:'Tyoaikakoonti'!$B$458,Tyoaikakoonti!$A$2:'Tyoaikakoonti'!$A$458)</f>
        <v>#N/A</v>
      </c>
      <c r="R13" s="61" t="e" cm="1">
        <f t="array" ref="R13">_xlfn.XLOOKUP(_xlfn.XLOOKUP("*"&amp;$M13&amp;"*",Isojen_lista!T$1:'Isojen_lista'!T$1664,Isojen_lista!$A$1:'Isojen_lista'!$A$1664,_xlfn.XLOOKUP("*"&amp;$M13&amp;"*",Pienten_lista!T$1:'Pienten_lista'!T$692,Pienten_lista!$A$1:'Pienten_lista'!$A$692,,2),2),Tyoaikakoonti!$B$2:'Tyoaikakoonti'!$B$458,Tyoaikakoonti!$A$2:'Tyoaikakoonti'!$A$458)</f>
        <v>#N/A</v>
      </c>
    </row>
    <row r="14" spans="1:31" ht="18" customHeight="1" x14ac:dyDescent="0.25">
      <c r="A14" s="117" t="s">
        <v>227</v>
      </c>
      <c r="B14" s="61" t="e" cm="1">
        <f t="array" ref="B14">_xlfn.XLOOKUP(_xlfn.XLOOKUP("*"&amp;$A14&amp;"*",Isojen_lista!B$1:'Isojen_lista'!B$1664,Isojen_lista!$A$1:'Isojen_lista'!$A$1664,_xlfn.XLOOKUP("*"&amp;$A14&amp;"*",Pienten_lista!B$1:'Pienten_lista'!B$692,Pienten_lista!$A$1:'Pienten_lista'!$A$692,,2),2),Tyoaikakoonti!$B$2:'Tyoaikakoonti'!$B$458,Tyoaikakoonti!$A$2:'Tyoaikakoonti'!$A$458)</f>
        <v>#N/A</v>
      </c>
      <c r="C14" s="61" t="e" cm="1">
        <f t="array" ref="C14">_xlfn.XLOOKUP(_xlfn.XLOOKUP("*"&amp;$A14&amp;"*",Isojen_lista!C$1:'Isojen_lista'!C$1664,Isojen_lista!$A$1:'Isojen_lista'!$A$1664,_xlfn.XLOOKUP("*"&amp;$A14&amp;"*",Pienten_lista!C$1:'Pienten_lista'!C$692,Pienten_lista!$A$1:'Pienten_lista'!$A$692,,2),2),Tyoaikakoonti!$B$2:'Tyoaikakoonti'!$B$458,Tyoaikakoonti!$A$2:'Tyoaikakoonti'!$A$458)</f>
        <v>#N/A</v>
      </c>
      <c r="D14" s="61" t="e" cm="1">
        <f t="array" ref="D14">_xlfn.XLOOKUP(_xlfn.XLOOKUP("*"&amp;$A14&amp;"*",Isojen_lista!D$1:'Isojen_lista'!D$1664,Isojen_lista!$A$1:'Isojen_lista'!$A$1664,_xlfn.XLOOKUP("*"&amp;$A14&amp;"*",Pienten_lista!D$1:'Pienten_lista'!D$692,Pienten_lista!$A$1:'Pienten_lista'!$A$692,,2),2),Tyoaikakoonti!$B$2:'Tyoaikakoonti'!$B$458,Tyoaikakoonti!$A$2:'Tyoaikakoonti'!$A$458)</f>
        <v>#N/A</v>
      </c>
      <c r="E14" s="61" t="e" cm="1">
        <f t="array" ref="E14">_xlfn.XLOOKUP(_xlfn.XLOOKUP("*"&amp;$A14&amp;"*",Isojen_lista!E$1:'Isojen_lista'!E$1664,Isojen_lista!$A$1:'Isojen_lista'!$A$1664,_xlfn.XLOOKUP("*"&amp;$A14&amp;"*",Pienten_lista!E$1:'Pienten_lista'!E$692,Pienten_lista!$A$1:'Pienten_lista'!$A$692,,2),2),Tyoaikakoonti!$B$2:'Tyoaikakoonti'!$B$458,Tyoaikakoonti!$A$2:'Tyoaikakoonti'!$A$458)</f>
        <v>#N/A</v>
      </c>
      <c r="F14" s="61" t="e" cm="1">
        <f t="array" ref="F14">_xlfn.XLOOKUP(_xlfn.XLOOKUP("*"&amp;$A14&amp;"*",Isojen_lista!F$1:'Isojen_lista'!F$1664,Isojen_lista!$A$1:'Isojen_lista'!$A$1664,_xlfn.XLOOKUP("*"&amp;$A14&amp;"*",Pienten_lista!F$1:'Pienten_lista'!F$692,Pienten_lista!$A$1:'Pienten_lista'!$A$692,,2),2),Tyoaikakoonti!$B$2:'Tyoaikakoonti'!$B$458,Tyoaikakoonti!$A$2:'Tyoaikakoonti'!$A$458)</f>
        <v>#N/A</v>
      </c>
      <c r="G14" s="117" t="s">
        <v>227</v>
      </c>
      <c r="H14" s="61" t="e" cm="1">
        <f t="array" ref="H14">_xlfn.XLOOKUP(_xlfn.XLOOKUP("*"&amp;$G14&amp;"*",Isojen_lista!I$1:'Isojen_lista'!I$1664,Isojen_lista!$A$1:'Isojen_lista'!$A$1664,_xlfn.XLOOKUP("*"&amp;$G14&amp;"*",Pienten_lista!I$1:'Pienten_lista'!I$692,Pienten_lista!$A$1:'Pienten_lista'!$A$692,,2),2),Tyoaikakoonti!$B$2:'Tyoaikakoonti'!$B$458,Tyoaikakoonti!$A$2:'Tyoaikakoonti'!$A$458)</f>
        <v>#N/A</v>
      </c>
      <c r="I14" s="61" t="e" cm="1">
        <f t="array" ref="I14">_xlfn.XLOOKUP(_xlfn.XLOOKUP("*"&amp;$G14&amp;"*",Isojen_lista!J$1:'Isojen_lista'!J$1664,Isojen_lista!$A$1:'Isojen_lista'!$A$1664,_xlfn.XLOOKUP("*"&amp;$G14&amp;"*",Pienten_lista!J$1:'Pienten_lista'!J$692,Pienten_lista!$A$1:'Pienten_lista'!$A$692,,2),2),Tyoaikakoonti!$B$2:'Tyoaikakoonti'!$B$458,Tyoaikakoonti!$A$2:'Tyoaikakoonti'!$A$458)</f>
        <v>#N/A</v>
      </c>
      <c r="J14" s="61" t="e" cm="1">
        <f t="array" ref="J14">_xlfn.XLOOKUP(_xlfn.XLOOKUP("*"&amp;$G14&amp;"*",Isojen_lista!K$1:'Isojen_lista'!K$1664,Isojen_lista!$A$1:'Isojen_lista'!$A$1664,_xlfn.XLOOKUP("*"&amp;$G14&amp;"*",Pienten_lista!K$1:'Pienten_lista'!K$692,Pienten_lista!$A$1:'Pienten_lista'!$A$692,,2),2),Tyoaikakoonti!$B$2:'Tyoaikakoonti'!$B$458,Tyoaikakoonti!$A$2:'Tyoaikakoonti'!$A$458)</f>
        <v>#N/A</v>
      </c>
      <c r="K14" s="61" t="e" cm="1">
        <f t="array" ref="K14">_xlfn.XLOOKUP(_xlfn.XLOOKUP("*"&amp;$G14&amp;"*",Isojen_lista!L$1:'Isojen_lista'!L$1664,Isojen_lista!$A$1:'Isojen_lista'!$A$1664,_xlfn.XLOOKUP("*"&amp;$G14&amp;"*",Pienten_lista!L$1:'Pienten_lista'!L$692,Pienten_lista!$A$1:'Pienten_lista'!$A$692,,2),2),Tyoaikakoonti!$B$2:'Tyoaikakoonti'!$B$458,Tyoaikakoonti!$A$2:'Tyoaikakoonti'!$A$458)</f>
        <v>#N/A</v>
      </c>
      <c r="L14" s="61" t="e" cm="1">
        <f t="array" ref="L14">_xlfn.XLOOKUP(_xlfn.XLOOKUP("*"&amp;$G14&amp;"*",Isojen_lista!M$1:'Isojen_lista'!M$1664,Isojen_lista!$A$1:'Isojen_lista'!$A$1664,_xlfn.XLOOKUP("*"&amp;$G14&amp;"*",Pienten_lista!M$1:'Pienten_lista'!M$692,Pienten_lista!$A$1:'Pienten_lista'!$A$692,,2),2),Tyoaikakoonti!$B$2:'Tyoaikakoonti'!$B$458,Tyoaikakoonti!$A$2:'Tyoaikakoonti'!$A$458)</f>
        <v>#N/A</v>
      </c>
      <c r="M14" s="117" t="s">
        <v>227</v>
      </c>
      <c r="N14" s="61" t="e" cm="1">
        <f t="array" ref="N14">_xlfn.XLOOKUP(_xlfn.XLOOKUP("*"&amp;$M14&amp;"*",Isojen_lista!P$1:'Isojen_lista'!P$1664,Isojen_lista!$A$1:'Isojen_lista'!$A$1664,_xlfn.XLOOKUP("*"&amp;$M14&amp;"*",Pienten_lista!P$1:'Pienten_lista'!P$692,Pienten_lista!$A$1:'Pienten_lista'!$A$692,,2),2),Tyoaikakoonti!$B$2:'Tyoaikakoonti'!$B$458,Tyoaikakoonti!$A$2:'Tyoaikakoonti'!$A$458)</f>
        <v>#N/A</v>
      </c>
      <c r="O14" s="61" t="e" cm="1">
        <f t="array" ref="O14">_xlfn.XLOOKUP(_xlfn.XLOOKUP("*"&amp;$M14&amp;"*",Isojen_lista!Q$1:'Isojen_lista'!Q$1664,Isojen_lista!$A$1:'Isojen_lista'!$A$1664,_xlfn.XLOOKUP("*"&amp;$M14&amp;"*",Pienten_lista!Q$1:'Pienten_lista'!Q$692,Pienten_lista!$A$1:'Pienten_lista'!$A$692,,2),2),Tyoaikakoonti!$B$2:'Tyoaikakoonti'!$B$458,Tyoaikakoonti!$A$2:'Tyoaikakoonti'!$A$458)</f>
        <v>#N/A</v>
      </c>
      <c r="P14" s="61" t="e" cm="1">
        <f t="array" ref="P14">_xlfn.XLOOKUP(_xlfn.XLOOKUP("*"&amp;$M14&amp;"*",Isojen_lista!R$1:'Isojen_lista'!R$1664,Isojen_lista!$A$1:'Isojen_lista'!$A$1664,_xlfn.XLOOKUP("*"&amp;$M14&amp;"*",Pienten_lista!R$1:'Pienten_lista'!R$692,Pienten_lista!$A$1:'Pienten_lista'!$A$692,,2),2),Tyoaikakoonti!$B$2:'Tyoaikakoonti'!$B$458,Tyoaikakoonti!$A$2:'Tyoaikakoonti'!$A$458)</f>
        <v>#N/A</v>
      </c>
      <c r="Q14" s="61" t="e" cm="1">
        <f t="array" ref="Q14">_xlfn.XLOOKUP(_xlfn.XLOOKUP("*"&amp;$M14&amp;"*",Isojen_lista!S$1:'Isojen_lista'!S$1664,Isojen_lista!$A$1:'Isojen_lista'!$A$1664,_xlfn.XLOOKUP("*"&amp;$M14&amp;"*",Pienten_lista!S$1:'Pienten_lista'!S$692,Pienten_lista!$A$1:'Pienten_lista'!$A$692,,2),2),Tyoaikakoonti!$B$2:'Tyoaikakoonti'!$B$458,Tyoaikakoonti!$A$2:'Tyoaikakoonti'!$A$458)</f>
        <v>#N/A</v>
      </c>
      <c r="R14" s="61" t="e" cm="1">
        <f t="array" ref="R14">_xlfn.XLOOKUP(_xlfn.XLOOKUP("*"&amp;$M14&amp;"*",Isojen_lista!T$1:'Isojen_lista'!T$1664,Isojen_lista!$A$1:'Isojen_lista'!$A$1664,_xlfn.XLOOKUP("*"&amp;$M14&amp;"*",Pienten_lista!T$1:'Pienten_lista'!T$692,Pienten_lista!$A$1:'Pienten_lista'!$A$692,,2),2),Tyoaikakoonti!$B$2:'Tyoaikakoonti'!$B$458,Tyoaikakoonti!$A$2:'Tyoaikakoonti'!$A$458)</f>
        <v>#N/A</v>
      </c>
    </row>
    <row r="15" spans="1:31" ht="18" customHeight="1" x14ac:dyDescent="0.25">
      <c r="A15" s="117" t="s">
        <v>228</v>
      </c>
      <c r="B15" s="61" t="e" cm="1">
        <f t="array" ref="B15">_xlfn.XLOOKUP(_xlfn.XLOOKUP("*"&amp;$A15&amp;"*",Isojen_lista!B$1:'Isojen_lista'!B$1664,Isojen_lista!$A$1:'Isojen_lista'!$A$1664,_xlfn.XLOOKUP("*"&amp;$A15&amp;"*",Pienten_lista!B$1:'Pienten_lista'!B$692,Pienten_lista!$A$1:'Pienten_lista'!$A$692,,2),2),Tyoaikakoonti!$B$2:'Tyoaikakoonti'!$B$458,Tyoaikakoonti!$A$2:'Tyoaikakoonti'!$A$458)</f>
        <v>#N/A</v>
      </c>
      <c r="C15" s="61" t="e" cm="1">
        <f t="array" ref="C15">_xlfn.XLOOKUP(_xlfn.XLOOKUP("*"&amp;$A15&amp;"*",Isojen_lista!C$1:'Isojen_lista'!C$1664,Isojen_lista!$A$1:'Isojen_lista'!$A$1664,_xlfn.XLOOKUP("*"&amp;$A15&amp;"*",Pienten_lista!C$1:'Pienten_lista'!C$692,Pienten_lista!$A$1:'Pienten_lista'!$A$692,,2),2),Tyoaikakoonti!$B$2:'Tyoaikakoonti'!$B$458,Tyoaikakoonti!$A$2:'Tyoaikakoonti'!$A$458)</f>
        <v>#N/A</v>
      </c>
      <c r="D15" s="61" t="e" cm="1">
        <f t="array" ref="D15">_xlfn.XLOOKUP(_xlfn.XLOOKUP("*"&amp;$A15&amp;"*",Isojen_lista!D$1:'Isojen_lista'!D$1664,Isojen_lista!$A$1:'Isojen_lista'!$A$1664,_xlfn.XLOOKUP("*"&amp;$A15&amp;"*",Pienten_lista!D$1:'Pienten_lista'!D$692,Pienten_lista!$A$1:'Pienten_lista'!$A$692,,2),2),Tyoaikakoonti!$B$2:'Tyoaikakoonti'!$B$458,Tyoaikakoonti!$A$2:'Tyoaikakoonti'!$A$458)</f>
        <v>#N/A</v>
      </c>
      <c r="E15" s="61" t="e" cm="1">
        <f t="array" ref="E15">_xlfn.XLOOKUP(_xlfn.XLOOKUP("*"&amp;$A15&amp;"*",Isojen_lista!E$1:'Isojen_lista'!E$1664,Isojen_lista!$A$1:'Isojen_lista'!$A$1664,_xlfn.XLOOKUP("*"&amp;$A15&amp;"*",Pienten_lista!E$1:'Pienten_lista'!E$692,Pienten_lista!$A$1:'Pienten_lista'!$A$692,,2),2),Tyoaikakoonti!$B$2:'Tyoaikakoonti'!$B$458,Tyoaikakoonti!$A$2:'Tyoaikakoonti'!$A$458)</f>
        <v>#N/A</v>
      </c>
      <c r="F15" s="61" t="e" cm="1">
        <f t="array" ref="F15">_xlfn.XLOOKUP(_xlfn.XLOOKUP("*"&amp;$A15&amp;"*",Isojen_lista!F$1:'Isojen_lista'!F$1664,Isojen_lista!$A$1:'Isojen_lista'!$A$1664,_xlfn.XLOOKUP("*"&amp;$A15&amp;"*",Pienten_lista!F$1:'Pienten_lista'!F$692,Pienten_lista!$A$1:'Pienten_lista'!$A$692,,2),2),Tyoaikakoonti!$B$2:'Tyoaikakoonti'!$B$458,Tyoaikakoonti!$A$2:'Tyoaikakoonti'!$A$458)</f>
        <v>#N/A</v>
      </c>
      <c r="G15" s="117" t="s">
        <v>228</v>
      </c>
      <c r="H15" s="61" t="e" cm="1">
        <f t="array" ref="H15">_xlfn.XLOOKUP(_xlfn.XLOOKUP("*"&amp;$G15&amp;"*",Isojen_lista!I$1:'Isojen_lista'!I$1664,Isojen_lista!$A$1:'Isojen_lista'!$A$1664,_xlfn.XLOOKUP("*"&amp;$G15&amp;"*",Pienten_lista!I$1:'Pienten_lista'!I$692,Pienten_lista!$A$1:'Pienten_lista'!$A$692,,2),2),Tyoaikakoonti!$B$2:'Tyoaikakoonti'!$B$458,Tyoaikakoonti!$A$2:'Tyoaikakoonti'!$A$458)</f>
        <v>#N/A</v>
      </c>
      <c r="I15" s="61" t="e" cm="1">
        <f t="array" ref="I15">_xlfn.XLOOKUP(_xlfn.XLOOKUP("*"&amp;$G15&amp;"*",Isojen_lista!J$1:'Isojen_lista'!J$1664,Isojen_lista!$A$1:'Isojen_lista'!$A$1664,_xlfn.XLOOKUP("*"&amp;$G15&amp;"*",Pienten_lista!J$1:'Pienten_lista'!J$692,Pienten_lista!$A$1:'Pienten_lista'!$A$692,,2),2),Tyoaikakoonti!$B$2:'Tyoaikakoonti'!$B$458,Tyoaikakoonti!$A$2:'Tyoaikakoonti'!$A$458)</f>
        <v>#N/A</v>
      </c>
      <c r="J15" s="61" t="e" cm="1">
        <f t="array" ref="J15">_xlfn.XLOOKUP(_xlfn.XLOOKUP("*"&amp;$G15&amp;"*",Isojen_lista!K$1:'Isojen_lista'!K$1664,Isojen_lista!$A$1:'Isojen_lista'!$A$1664,_xlfn.XLOOKUP("*"&amp;$G15&amp;"*",Pienten_lista!K$1:'Pienten_lista'!K$692,Pienten_lista!$A$1:'Pienten_lista'!$A$692,,2),2),Tyoaikakoonti!$B$2:'Tyoaikakoonti'!$B$458,Tyoaikakoonti!$A$2:'Tyoaikakoonti'!$A$458)</f>
        <v>#N/A</v>
      </c>
      <c r="K15" s="61" t="e" cm="1">
        <f t="array" ref="K15">_xlfn.XLOOKUP(_xlfn.XLOOKUP("*"&amp;$G15&amp;"*",Isojen_lista!L$1:'Isojen_lista'!L$1664,Isojen_lista!$A$1:'Isojen_lista'!$A$1664,_xlfn.XLOOKUP("*"&amp;$G15&amp;"*",Pienten_lista!L$1:'Pienten_lista'!L$692,Pienten_lista!$A$1:'Pienten_lista'!$A$692,,2),2),Tyoaikakoonti!$B$2:'Tyoaikakoonti'!$B$458,Tyoaikakoonti!$A$2:'Tyoaikakoonti'!$A$458)</f>
        <v>#N/A</v>
      </c>
      <c r="L15" s="61" t="e" cm="1">
        <f t="array" ref="L15">_xlfn.XLOOKUP(_xlfn.XLOOKUP("*"&amp;$G15&amp;"*",Isojen_lista!M$1:'Isojen_lista'!M$1664,Isojen_lista!$A$1:'Isojen_lista'!$A$1664,_xlfn.XLOOKUP("*"&amp;$G15&amp;"*",Pienten_lista!M$1:'Pienten_lista'!M$692,Pienten_lista!$A$1:'Pienten_lista'!$A$692,,2),2),Tyoaikakoonti!$B$2:'Tyoaikakoonti'!$B$458,Tyoaikakoonti!$A$2:'Tyoaikakoonti'!$A$458)</f>
        <v>#N/A</v>
      </c>
      <c r="M15" s="117" t="s">
        <v>228</v>
      </c>
      <c r="N15" s="61" t="e" cm="1">
        <f t="array" ref="N15">_xlfn.XLOOKUP(_xlfn.XLOOKUP("*"&amp;$M15&amp;"*",Isojen_lista!P$1:'Isojen_lista'!P$1664,Isojen_lista!$A$1:'Isojen_lista'!$A$1664,_xlfn.XLOOKUP("*"&amp;$M15&amp;"*",Pienten_lista!P$1:'Pienten_lista'!P$692,Pienten_lista!$A$1:'Pienten_lista'!$A$692,,2),2),Tyoaikakoonti!$B$2:'Tyoaikakoonti'!$B$458,Tyoaikakoonti!$A$2:'Tyoaikakoonti'!$A$458)</f>
        <v>#N/A</v>
      </c>
      <c r="O15" s="61" t="e" cm="1">
        <f t="array" ref="O15">_xlfn.XLOOKUP(_xlfn.XLOOKUP("*"&amp;$M15&amp;"*",Isojen_lista!Q$1:'Isojen_lista'!Q$1664,Isojen_lista!$A$1:'Isojen_lista'!$A$1664,_xlfn.XLOOKUP("*"&amp;$M15&amp;"*",Pienten_lista!Q$1:'Pienten_lista'!Q$692,Pienten_lista!$A$1:'Pienten_lista'!$A$692,,2),2),Tyoaikakoonti!$B$2:'Tyoaikakoonti'!$B$458,Tyoaikakoonti!$A$2:'Tyoaikakoonti'!$A$458)</f>
        <v>#N/A</v>
      </c>
      <c r="P15" s="61" t="e" cm="1">
        <f t="array" ref="P15">_xlfn.XLOOKUP(_xlfn.XLOOKUP("*"&amp;$M15&amp;"*",Isojen_lista!R$1:'Isojen_lista'!R$1664,Isojen_lista!$A$1:'Isojen_lista'!$A$1664,_xlfn.XLOOKUP("*"&amp;$M15&amp;"*",Pienten_lista!R$1:'Pienten_lista'!R$692,Pienten_lista!$A$1:'Pienten_lista'!$A$692,,2),2),Tyoaikakoonti!$B$2:'Tyoaikakoonti'!$B$458,Tyoaikakoonti!$A$2:'Tyoaikakoonti'!$A$458)</f>
        <v>#N/A</v>
      </c>
      <c r="Q15" s="61" t="e" cm="1">
        <f t="array" ref="Q15">_xlfn.XLOOKUP(_xlfn.XLOOKUP("*"&amp;$M15&amp;"*",Isojen_lista!S$1:'Isojen_lista'!S$1664,Isojen_lista!$A$1:'Isojen_lista'!$A$1664,_xlfn.XLOOKUP("*"&amp;$M15&amp;"*",Pienten_lista!S$1:'Pienten_lista'!S$692,Pienten_lista!$A$1:'Pienten_lista'!$A$692,,2),2),Tyoaikakoonti!$B$2:'Tyoaikakoonti'!$B$458,Tyoaikakoonti!$A$2:'Tyoaikakoonti'!$A$458)</f>
        <v>#N/A</v>
      </c>
      <c r="R15" s="61" t="e" cm="1">
        <f t="array" ref="R15">_xlfn.XLOOKUP(_xlfn.XLOOKUP("*"&amp;$M15&amp;"*",Isojen_lista!T$1:'Isojen_lista'!T$1664,Isojen_lista!$A$1:'Isojen_lista'!$A$1664,_xlfn.XLOOKUP("*"&amp;$M15&amp;"*",Pienten_lista!T$1:'Pienten_lista'!T$692,Pienten_lista!$A$1:'Pienten_lista'!$A$692,,2),2),Tyoaikakoonti!$B$2:'Tyoaikakoonti'!$B$458,Tyoaikakoonti!$A$2:'Tyoaikakoonti'!$A$458)</f>
        <v>#N/A</v>
      </c>
    </row>
    <row r="16" spans="1:31" ht="18" customHeight="1" x14ac:dyDescent="0.25">
      <c r="A16" s="117" t="s">
        <v>229</v>
      </c>
      <c r="B16" s="61" t="e" cm="1">
        <f t="array" ref="B16">_xlfn.XLOOKUP(_xlfn.XLOOKUP("*"&amp;$A16&amp;"*",Isojen_lista!B$1:'Isojen_lista'!B$1664,Isojen_lista!$A$1:'Isojen_lista'!$A$1664,_xlfn.XLOOKUP("*"&amp;$A16&amp;"*",Pienten_lista!B$1:'Pienten_lista'!B$692,Pienten_lista!$A$1:'Pienten_lista'!$A$692,,2),2),Tyoaikakoonti!$B$2:'Tyoaikakoonti'!$B$458,Tyoaikakoonti!$A$2:'Tyoaikakoonti'!$A$458)</f>
        <v>#N/A</v>
      </c>
      <c r="C16" s="61" t="e" cm="1">
        <f t="array" ref="C16">_xlfn.XLOOKUP(_xlfn.XLOOKUP("*"&amp;$A16&amp;"*",Isojen_lista!C$1:'Isojen_lista'!C$1664,Isojen_lista!$A$1:'Isojen_lista'!$A$1664,_xlfn.XLOOKUP("*"&amp;$A16&amp;"*",Pienten_lista!C$1:'Pienten_lista'!C$692,Pienten_lista!$A$1:'Pienten_lista'!$A$692,,2),2),Tyoaikakoonti!$B$2:'Tyoaikakoonti'!$B$458,Tyoaikakoonti!$A$2:'Tyoaikakoonti'!$A$458)</f>
        <v>#N/A</v>
      </c>
      <c r="D16" s="61" t="e" cm="1">
        <f t="array" ref="D16">_xlfn.XLOOKUP(_xlfn.XLOOKUP("*"&amp;$A16&amp;"*",Isojen_lista!D$1:'Isojen_lista'!D$1664,Isojen_lista!$A$1:'Isojen_lista'!$A$1664,_xlfn.XLOOKUP("*"&amp;$A16&amp;"*",Pienten_lista!D$1:'Pienten_lista'!D$692,Pienten_lista!$A$1:'Pienten_lista'!$A$692,,2),2),Tyoaikakoonti!$B$2:'Tyoaikakoonti'!$B$458,Tyoaikakoonti!$A$2:'Tyoaikakoonti'!$A$458)</f>
        <v>#N/A</v>
      </c>
      <c r="E16" s="61" t="e" cm="1">
        <f t="array" ref="E16">_xlfn.XLOOKUP(_xlfn.XLOOKUP("*"&amp;$A16&amp;"*",Isojen_lista!E$1:'Isojen_lista'!E$1664,Isojen_lista!$A$1:'Isojen_lista'!$A$1664,_xlfn.XLOOKUP("*"&amp;$A16&amp;"*",Pienten_lista!E$1:'Pienten_lista'!E$692,Pienten_lista!$A$1:'Pienten_lista'!$A$692,,2),2),Tyoaikakoonti!$B$2:'Tyoaikakoonti'!$B$458,Tyoaikakoonti!$A$2:'Tyoaikakoonti'!$A$458)</f>
        <v>#N/A</v>
      </c>
      <c r="F16" s="61" t="e" cm="1">
        <f t="array" ref="F16">_xlfn.XLOOKUP(_xlfn.XLOOKUP("*"&amp;$A16&amp;"*",Isojen_lista!F$1:'Isojen_lista'!F$1664,Isojen_lista!$A$1:'Isojen_lista'!$A$1664,_xlfn.XLOOKUP("*"&amp;$A16&amp;"*",Pienten_lista!F$1:'Pienten_lista'!F$692,Pienten_lista!$A$1:'Pienten_lista'!$A$692,,2),2),Tyoaikakoonti!$B$2:'Tyoaikakoonti'!$B$458,Tyoaikakoonti!$A$2:'Tyoaikakoonti'!$A$458)</f>
        <v>#N/A</v>
      </c>
      <c r="G16" s="117" t="s">
        <v>229</v>
      </c>
      <c r="H16" s="61" t="e" cm="1">
        <f t="array" ref="H16">_xlfn.XLOOKUP(_xlfn.XLOOKUP("*"&amp;$G16&amp;"*",Isojen_lista!I$1:'Isojen_lista'!I$1664,Isojen_lista!$A$1:'Isojen_lista'!$A$1664,_xlfn.XLOOKUP("*"&amp;$G16&amp;"*",Pienten_lista!I$1:'Pienten_lista'!I$692,Pienten_lista!$A$1:'Pienten_lista'!$A$692,,2),2),Tyoaikakoonti!$B$2:'Tyoaikakoonti'!$B$458,Tyoaikakoonti!$A$2:'Tyoaikakoonti'!$A$458)</f>
        <v>#N/A</v>
      </c>
      <c r="I16" s="61" t="e" cm="1">
        <f t="array" ref="I16">_xlfn.XLOOKUP(_xlfn.XLOOKUP("*"&amp;$G16&amp;"*",Isojen_lista!J$1:'Isojen_lista'!J$1664,Isojen_lista!$A$1:'Isojen_lista'!$A$1664,_xlfn.XLOOKUP("*"&amp;$G16&amp;"*",Pienten_lista!J$1:'Pienten_lista'!J$692,Pienten_lista!$A$1:'Pienten_lista'!$A$692,,2),2),Tyoaikakoonti!$B$2:'Tyoaikakoonti'!$B$458,Tyoaikakoonti!$A$2:'Tyoaikakoonti'!$A$458)</f>
        <v>#N/A</v>
      </c>
      <c r="J16" s="61" t="e" cm="1">
        <f t="array" ref="J16">_xlfn.XLOOKUP(_xlfn.XLOOKUP("*"&amp;$G16&amp;"*",Isojen_lista!K$1:'Isojen_lista'!K$1664,Isojen_lista!$A$1:'Isojen_lista'!$A$1664,_xlfn.XLOOKUP("*"&amp;$G16&amp;"*",Pienten_lista!K$1:'Pienten_lista'!K$692,Pienten_lista!$A$1:'Pienten_lista'!$A$692,,2),2),Tyoaikakoonti!$B$2:'Tyoaikakoonti'!$B$458,Tyoaikakoonti!$A$2:'Tyoaikakoonti'!$A$458)</f>
        <v>#N/A</v>
      </c>
      <c r="K16" s="61" t="e" cm="1">
        <f t="array" ref="K16">_xlfn.XLOOKUP(_xlfn.XLOOKUP("*"&amp;$G16&amp;"*",Isojen_lista!L$1:'Isojen_lista'!L$1664,Isojen_lista!$A$1:'Isojen_lista'!$A$1664,_xlfn.XLOOKUP("*"&amp;$G16&amp;"*",Pienten_lista!L$1:'Pienten_lista'!L$692,Pienten_lista!$A$1:'Pienten_lista'!$A$692,,2),2),Tyoaikakoonti!$B$2:'Tyoaikakoonti'!$B$458,Tyoaikakoonti!$A$2:'Tyoaikakoonti'!$A$458)</f>
        <v>#N/A</v>
      </c>
      <c r="L16" s="61" t="e" cm="1">
        <f t="array" ref="L16">_xlfn.XLOOKUP(_xlfn.XLOOKUP("*"&amp;$G16&amp;"*",Isojen_lista!M$1:'Isojen_lista'!M$1664,Isojen_lista!$A$1:'Isojen_lista'!$A$1664,_xlfn.XLOOKUP("*"&amp;$G16&amp;"*",Pienten_lista!M$1:'Pienten_lista'!M$692,Pienten_lista!$A$1:'Pienten_lista'!$A$692,,2),2),Tyoaikakoonti!$B$2:'Tyoaikakoonti'!$B$458,Tyoaikakoonti!$A$2:'Tyoaikakoonti'!$A$458)</f>
        <v>#N/A</v>
      </c>
      <c r="M16" s="117" t="s">
        <v>229</v>
      </c>
      <c r="N16" s="61" t="e" cm="1">
        <f t="array" ref="N16">_xlfn.XLOOKUP(_xlfn.XLOOKUP("*"&amp;$M16&amp;"*",Isojen_lista!P$1:'Isojen_lista'!P$1664,Isojen_lista!$A$1:'Isojen_lista'!$A$1664,_xlfn.XLOOKUP("*"&amp;$M16&amp;"*",Pienten_lista!P$1:'Pienten_lista'!P$692,Pienten_lista!$A$1:'Pienten_lista'!$A$692,,2),2),Tyoaikakoonti!$B$2:'Tyoaikakoonti'!$B$458,Tyoaikakoonti!$A$2:'Tyoaikakoonti'!$A$458)</f>
        <v>#N/A</v>
      </c>
      <c r="O16" s="61" t="e" cm="1">
        <f t="array" ref="O16">_xlfn.XLOOKUP(_xlfn.XLOOKUP("*"&amp;$M16&amp;"*",Isojen_lista!Q$1:'Isojen_lista'!Q$1664,Isojen_lista!$A$1:'Isojen_lista'!$A$1664,_xlfn.XLOOKUP("*"&amp;$M16&amp;"*",Pienten_lista!Q$1:'Pienten_lista'!Q$692,Pienten_lista!$A$1:'Pienten_lista'!$A$692,,2),2),Tyoaikakoonti!$B$2:'Tyoaikakoonti'!$B$458,Tyoaikakoonti!$A$2:'Tyoaikakoonti'!$A$458)</f>
        <v>#N/A</v>
      </c>
      <c r="P16" s="61" t="e" cm="1">
        <f t="array" ref="P16">_xlfn.XLOOKUP(_xlfn.XLOOKUP("*"&amp;$M16&amp;"*",Isojen_lista!R$1:'Isojen_lista'!R$1664,Isojen_lista!$A$1:'Isojen_lista'!$A$1664,_xlfn.XLOOKUP("*"&amp;$M16&amp;"*",Pienten_lista!R$1:'Pienten_lista'!R$692,Pienten_lista!$A$1:'Pienten_lista'!$A$692,,2),2),Tyoaikakoonti!$B$2:'Tyoaikakoonti'!$B$458,Tyoaikakoonti!$A$2:'Tyoaikakoonti'!$A$458)</f>
        <v>#N/A</v>
      </c>
      <c r="Q16" s="61" t="e" cm="1">
        <f t="array" ref="Q16">_xlfn.XLOOKUP(_xlfn.XLOOKUP("*"&amp;$M16&amp;"*",Isojen_lista!S$1:'Isojen_lista'!S$1664,Isojen_lista!$A$1:'Isojen_lista'!$A$1664,_xlfn.XLOOKUP("*"&amp;$M16&amp;"*",Pienten_lista!S$1:'Pienten_lista'!S$692,Pienten_lista!$A$1:'Pienten_lista'!$A$692,,2),2),Tyoaikakoonti!$B$2:'Tyoaikakoonti'!$B$458,Tyoaikakoonti!$A$2:'Tyoaikakoonti'!$A$458)</f>
        <v>#N/A</v>
      </c>
      <c r="R16" s="61" t="e" cm="1">
        <f t="array" ref="R16">_xlfn.XLOOKUP(_xlfn.XLOOKUP("*"&amp;$M16&amp;"*",Isojen_lista!T$1:'Isojen_lista'!T$1664,Isojen_lista!$A$1:'Isojen_lista'!$A$1664,_xlfn.XLOOKUP("*"&amp;$M16&amp;"*",Pienten_lista!T$1:'Pienten_lista'!T$692,Pienten_lista!$A$1:'Pienten_lista'!$A$692,,2),2),Tyoaikakoonti!$B$2:'Tyoaikakoonti'!$B$458,Tyoaikakoonti!$A$2:'Tyoaikakoonti'!$A$458)</f>
        <v>#N/A</v>
      </c>
    </row>
    <row r="17" spans="1:18" ht="18" customHeight="1" x14ac:dyDescent="0.25">
      <c r="A17" s="117" t="s">
        <v>230</v>
      </c>
      <c r="B17" s="61" t="e" cm="1">
        <f t="array" ref="B17">_xlfn.XLOOKUP(_xlfn.XLOOKUP("*"&amp;$A17&amp;"*",Isojen_lista!B$1:'Isojen_lista'!B$1664,Isojen_lista!$A$1:'Isojen_lista'!$A$1664,_xlfn.XLOOKUP("*"&amp;$A17&amp;"*",Pienten_lista!B$1:'Pienten_lista'!B$692,Pienten_lista!$A$1:'Pienten_lista'!$A$692,,2),2),Tyoaikakoonti!$B$2:'Tyoaikakoonti'!$B$458,Tyoaikakoonti!$A$2:'Tyoaikakoonti'!$A$458)</f>
        <v>#N/A</v>
      </c>
      <c r="C17" s="61" t="e" cm="1">
        <f t="array" ref="C17">_xlfn.XLOOKUP(_xlfn.XLOOKUP("*"&amp;$A17&amp;"*",Isojen_lista!C$1:'Isojen_lista'!C$1664,Isojen_lista!$A$1:'Isojen_lista'!$A$1664,_xlfn.XLOOKUP("*"&amp;$A17&amp;"*",Pienten_lista!C$1:'Pienten_lista'!C$692,Pienten_lista!$A$1:'Pienten_lista'!$A$692,,2),2),Tyoaikakoonti!$B$2:'Tyoaikakoonti'!$B$458,Tyoaikakoonti!$A$2:'Tyoaikakoonti'!$A$458)</f>
        <v>#N/A</v>
      </c>
      <c r="D17" s="61" t="e" cm="1">
        <f t="array" ref="D17">_xlfn.XLOOKUP(_xlfn.XLOOKUP("*"&amp;$A17&amp;"*",Isojen_lista!D$1:'Isojen_lista'!D$1664,Isojen_lista!$A$1:'Isojen_lista'!$A$1664,_xlfn.XLOOKUP("*"&amp;$A17&amp;"*",Pienten_lista!D$1:'Pienten_lista'!D$692,Pienten_lista!$A$1:'Pienten_lista'!$A$692,,2),2),Tyoaikakoonti!$B$2:'Tyoaikakoonti'!$B$458,Tyoaikakoonti!$A$2:'Tyoaikakoonti'!$A$458)</f>
        <v>#N/A</v>
      </c>
      <c r="E17" s="61" t="e" cm="1">
        <f t="array" ref="E17">_xlfn.XLOOKUP(_xlfn.XLOOKUP("*"&amp;$A17&amp;"*",Isojen_lista!E$1:'Isojen_lista'!E$1664,Isojen_lista!$A$1:'Isojen_lista'!$A$1664,_xlfn.XLOOKUP("*"&amp;$A17&amp;"*",Pienten_lista!E$1:'Pienten_lista'!E$692,Pienten_lista!$A$1:'Pienten_lista'!$A$692,,2),2),Tyoaikakoonti!$B$2:'Tyoaikakoonti'!$B$458,Tyoaikakoonti!$A$2:'Tyoaikakoonti'!$A$458)</f>
        <v>#N/A</v>
      </c>
      <c r="F17" s="61" t="e" cm="1">
        <f t="array" ref="F17">_xlfn.XLOOKUP(_xlfn.XLOOKUP("*"&amp;$A17&amp;"*",Isojen_lista!F$1:'Isojen_lista'!F$1664,Isojen_lista!$A$1:'Isojen_lista'!$A$1664,_xlfn.XLOOKUP("*"&amp;$A17&amp;"*",Pienten_lista!F$1:'Pienten_lista'!F$692,Pienten_lista!$A$1:'Pienten_lista'!$A$692,,2),2),Tyoaikakoonti!$B$2:'Tyoaikakoonti'!$B$458,Tyoaikakoonti!$A$2:'Tyoaikakoonti'!$A$458)</f>
        <v>#N/A</v>
      </c>
      <c r="G17" s="117" t="s">
        <v>231</v>
      </c>
      <c r="H17" s="61" t="e" cm="1">
        <f t="array" ref="H17">_xlfn.XLOOKUP(_xlfn.XLOOKUP("*"&amp;$G17&amp;"*",Isojen_lista!I$1:'Isojen_lista'!I$1664,Isojen_lista!$A$1:'Isojen_lista'!$A$1664,_xlfn.XLOOKUP("*"&amp;$G17&amp;"*",Pienten_lista!I$1:'Pienten_lista'!I$692,Pienten_lista!$A$1:'Pienten_lista'!$A$692,,2),2),Tyoaikakoonti!$B$2:'Tyoaikakoonti'!$B$458,Tyoaikakoonti!$A$2:'Tyoaikakoonti'!$A$458)</f>
        <v>#N/A</v>
      </c>
      <c r="I17" s="61" t="e" cm="1">
        <f t="array" ref="I17">_xlfn.XLOOKUP(_xlfn.XLOOKUP("*"&amp;$G17&amp;"*",Isojen_lista!J$1:'Isojen_lista'!J$1664,Isojen_lista!$A$1:'Isojen_lista'!$A$1664,_xlfn.XLOOKUP("*"&amp;$G17&amp;"*",Pienten_lista!J$1:'Pienten_lista'!J$692,Pienten_lista!$A$1:'Pienten_lista'!$A$692,,2),2),Tyoaikakoonti!$B$2:'Tyoaikakoonti'!$B$458,Tyoaikakoonti!$A$2:'Tyoaikakoonti'!$A$458)</f>
        <v>#N/A</v>
      </c>
      <c r="J17" s="61" t="e" cm="1">
        <f t="array" ref="J17">_xlfn.XLOOKUP(_xlfn.XLOOKUP("*"&amp;$G17&amp;"*",Isojen_lista!K$1:'Isojen_lista'!K$1664,Isojen_lista!$A$1:'Isojen_lista'!$A$1664,_xlfn.XLOOKUP("*"&amp;$G17&amp;"*",Pienten_lista!K$1:'Pienten_lista'!K$692,Pienten_lista!$A$1:'Pienten_lista'!$A$692,,2),2),Tyoaikakoonti!$B$2:'Tyoaikakoonti'!$B$458,Tyoaikakoonti!$A$2:'Tyoaikakoonti'!$A$458)</f>
        <v>#N/A</v>
      </c>
      <c r="K17" s="61" t="e" cm="1">
        <f t="array" ref="K17">_xlfn.XLOOKUP(_xlfn.XLOOKUP("*"&amp;$G17&amp;"*",Isojen_lista!L$1:'Isojen_lista'!L$1664,Isojen_lista!$A$1:'Isojen_lista'!$A$1664,_xlfn.XLOOKUP("*"&amp;$G17&amp;"*",Pienten_lista!L$1:'Pienten_lista'!L$692,Pienten_lista!$A$1:'Pienten_lista'!$A$692,,2),2),Tyoaikakoonti!$B$2:'Tyoaikakoonti'!$B$458,Tyoaikakoonti!$A$2:'Tyoaikakoonti'!$A$458)</f>
        <v>#N/A</v>
      </c>
      <c r="L17" s="61" t="e" cm="1">
        <f t="array" ref="L17">_xlfn.XLOOKUP(_xlfn.XLOOKUP("*"&amp;$G17&amp;"*",Isojen_lista!M$1:'Isojen_lista'!M$1664,Isojen_lista!$A$1:'Isojen_lista'!$A$1664,_xlfn.XLOOKUP("*"&amp;$G17&amp;"*",Pienten_lista!M$1:'Pienten_lista'!M$692,Pienten_lista!$A$1:'Pienten_lista'!$A$692,,2),2),Tyoaikakoonti!$B$2:'Tyoaikakoonti'!$B$458,Tyoaikakoonti!$A$2:'Tyoaikakoonti'!$A$458)</f>
        <v>#N/A</v>
      </c>
      <c r="M17" s="117" t="s">
        <v>230</v>
      </c>
      <c r="N17" s="61" t="e" cm="1">
        <f t="array" ref="N17">_xlfn.XLOOKUP(_xlfn.XLOOKUP("*"&amp;$M17&amp;"*",Isojen_lista!P$1:'Isojen_lista'!P$1664,Isojen_lista!$A$1:'Isojen_lista'!$A$1664,_xlfn.XLOOKUP("*"&amp;$M17&amp;"*",Pienten_lista!P$1:'Pienten_lista'!P$692,Pienten_lista!$A$1:'Pienten_lista'!$A$692,,2),2),Tyoaikakoonti!$B$2:'Tyoaikakoonti'!$B$458,Tyoaikakoonti!$A$2:'Tyoaikakoonti'!$A$458)</f>
        <v>#N/A</v>
      </c>
      <c r="O17" s="61" t="e" cm="1">
        <f t="array" ref="O17">_xlfn.XLOOKUP(_xlfn.XLOOKUP("*"&amp;$M17&amp;"*",Isojen_lista!Q$1:'Isojen_lista'!Q$1664,Isojen_lista!$A$1:'Isojen_lista'!$A$1664,_xlfn.XLOOKUP("*"&amp;$M17&amp;"*",Pienten_lista!Q$1:'Pienten_lista'!Q$692,Pienten_lista!$A$1:'Pienten_lista'!$A$692,,2),2),Tyoaikakoonti!$B$2:'Tyoaikakoonti'!$B$458,Tyoaikakoonti!$A$2:'Tyoaikakoonti'!$A$458)</f>
        <v>#N/A</v>
      </c>
      <c r="P17" s="61" t="e" cm="1">
        <f t="array" ref="P17">_xlfn.XLOOKUP(_xlfn.XLOOKUP("*"&amp;$M17&amp;"*",Isojen_lista!R$1:'Isojen_lista'!R$1664,Isojen_lista!$A$1:'Isojen_lista'!$A$1664,_xlfn.XLOOKUP("*"&amp;$M17&amp;"*",Pienten_lista!R$1:'Pienten_lista'!R$692,Pienten_lista!$A$1:'Pienten_lista'!$A$692,,2),2),Tyoaikakoonti!$B$2:'Tyoaikakoonti'!$B$458,Tyoaikakoonti!$A$2:'Tyoaikakoonti'!$A$458)</f>
        <v>#N/A</v>
      </c>
      <c r="Q17" s="61" t="e" cm="1">
        <f t="array" ref="Q17">_xlfn.XLOOKUP(_xlfn.XLOOKUP("*"&amp;$M17&amp;"*",Isojen_lista!S$1:'Isojen_lista'!S$1664,Isojen_lista!$A$1:'Isojen_lista'!$A$1664,_xlfn.XLOOKUP("*"&amp;$M17&amp;"*",Pienten_lista!S$1:'Pienten_lista'!S$692,Pienten_lista!$A$1:'Pienten_lista'!$A$692,,2),2),Tyoaikakoonti!$B$2:'Tyoaikakoonti'!$B$458,Tyoaikakoonti!$A$2:'Tyoaikakoonti'!$A$458)</f>
        <v>#N/A</v>
      </c>
      <c r="R17" s="61" t="e" cm="1">
        <f t="array" ref="R17">_xlfn.XLOOKUP(_xlfn.XLOOKUP("*"&amp;$M17&amp;"*",Isojen_lista!T$1:'Isojen_lista'!T$1664,Isojen_lista!$A$1:'Isojen_lista'!$A$1664,_xlfn.XLOOKUP("*"&amp;$M17&amp;"*",Pienten_lista!T$1:'Pienten_lista'!T$692,Pienten_lista!$A$1:'Pienten_lista'!$A$692,,2),2),Tyoaikakoonti!$B$2:'Tyoaikakoonti'!$B$458,Tyoaikakoonti!$A$2:'Tyoaikakoonti'!$A$458)</f>
        <v>#N/A</v>
      </c>
    </row>
    <row r="18" spans="1:18" ht="18" customHeight="1" x14ac:dyDescent="0.25">
      <c r="A18" s="91"/>
      <c r="B18" s="180" t="s">
        <v>223</v>
      </c>
      <c r="C18" s="181"/>
      <c r="D18" s="181"/>
      <c r="E18" s="181"/>
      <c r="F18" s="182"/>
      <c r="G18" s="91"/>
      <c r="H18" s="180" t="s">
        <v>223</v>
      </c>
      <c r="I18" s="181"/>
      <c r="J18" s="181"/>
      <c r="K18" s="181"/>
      <c r="L18" s="182"/>
      <c r="M18" s="91"/>
      <c r="N18" s="180" t="s">
        <v>223</v>
      </c>
      <c r="O18" s="181"/>
      <c r="P18" s="181"/>
      <c r="Q18" s="181"/>
      <c r="R18" s="182"/>
    </row>
    <row r="19" spans="1:18" ht="18" customHeight="1" x14ac:dyDescent="0.25">
      <c r="A19" s="117" t="s">
        <v>229</v>
      </c>
      <c r="B19" s="61" t="e" cm="1">
        <f t="array" ref="B19">_xlfn.XLOOKUP(_xlfn.XLOOKUP("*"&amp;$A19&amp;"*",Pienten_lista!B$1:'Pienten_lista'!B$692,Pienten_lista!$A$1:'Pienten_lista'!$A$692,,2),Tyoaikakoonti!$B$2:'Tyoaikakoonti'!$B$458,Tyoaikakoonti!$A$2:'Tyoaikakoonti'!$A$458)</f>
        <v>#N/A</v>
      </c>
      <c r="C19" s="61" t="e" cm="1">
        <f t="array" ref="C19">_xlfn.XLOOKUP(_xlfn.XLOOKUP("*"&amp;$A19&amp;"*",Pienten_lista!C$1:'Pienten_lista'!C$692,Pienten_lista!$A$1:'Pienten_lista'!$A$692,,2),Tyoaikakoonti!$B$2:'Tyoaikakoonti'!$B$458,Tyoaikakoonti!$A$2:'Tyoaikakoonti'!$A$458)</f>
        <v>#N/A</v>
      </c>
      <c r="D19" s="61" t="e" cm="1">
        <f t="array" ref="D19">_xlfn.XLOOKUP(_xlfn.XLOOKUP("*"&amp;$A19&amp;"*",Pienten_lista!D$1:'Pienten_lista'!D$692,Pienten_lista!$A$1:'Pienten_lista'!$A$692,,2),Tyoaikakoonti!$B$2:'Tyoaikakoonti'!$B$458,Tyoaikakoonti!$A$2:'Tyoaikakoonti'!$A$458)</f>
        <v>#N/A</v>
      </c>
      <c r="E19" s="61" t="e" cm="1">
        <f t="array" ref="E19">_xlfn.XLOOKUP(_xlfn.XLOOKUP("*"&amp;$A19&amp;"*",Pienten_lista!E$1:'Pienten_lista'!E$692,Pienten_lista!$A$1:'Pienten_lista'!$A$692,,2),Tyoaikakoonti!$B$2:'Tyoaikakoonti'!$B$458,Tyoaikakoonti!$A$2:'Tyoaikakoonti'!$A$458)</f>
        <v>#N/A</v>
      </c>
      <c r="F19" s="61" t="e" cm="1">
        <f t="array" ref="F19">_xlfn.XLOOKUP(_xlfn.XLOOKUP("*"&amp;$A19&amp;"*",Pienten_lista!F$1:'Pienten_lista'!F$692,Pienten_lista!$A$1:'Pienten_lista'!$A$692,,2),Tyoaikakoonti!$B$2:'Tyoaikakoonti'!$B$458,Tyoaikakoonti!$A$2:'Tyoaikakoonti'!$A$458)</f>
        <v>#N/A</v>
      </c>
      <c r="G19" s="117" t="s">
        <v>232</v>
      </c>
      <c r="H19" s="61" t="e" cm="1">
        <f t="array" ref="H19">_xlfn.XLOOKUP(_xlfn.XLOOKUP("*"&amp;$G19&amp;"*",Pienten_lista!I$1:'Pienten_lista'!I$692,Pienten_lista!$A$1:'Pienten_lista'!$A$692,,2),Tyoaikakoonti!$B$2:'Tyoaikakoonti'!$B$458,Tyoaikakoonti!$A$2:'Tyoaikakoonti'!$A$458)</f>
        <v>#N/A</v>
      </c>
      <c r="I19" s="61" t="e" cm="1">
        <f t="array" ref="I19">_xlfn.XLOOKUP(_xlfn.XLOOKUP("*"&amp;$G19&amp;"*",Pienten_lista!J$1:'Pienten_lista'!J$692,Pienten_lista!$A$1:'Pienten_lista'!$A$692,,2),Tyoaikakoonti!$B$2:'Tyoaikakoonti'!$B$458,Tyoaikakoonti!$A$2:'Tyoaikakoonti'!$A$458)</f>
        <v>#N/A</v>
      </c>
      <c r="J19" s="61" t="e" cm="1">
        <f t="array" ref="J19">_xlfn.XLOOKUP(_xlfn.XLOOKUP("*"&amp;$G19&amp;"*",Pienten_lista!K$1:'Pienten_lista'!K$692,Pienten_lista!$A$1:'Pienten_lista'!$A$692,,2),Tyoaikakoonti!$B$2:'Tyoaikakoonti'!$B$458,Tyoaikakoonti!$A$2:'Tyoaikakoonti'!$A$458)</f>
        <v>#N/A</v>
      </c>
      <c r="K19" s="61" t="e" cm="1">
        <f t="array" ref="K19">_xlfn.XLOOKUP(_xlfn.XLOOKUP("*"&amp;$G19&amp;"*",Pienten_lista!L$1:'Pienten_lista'!L$692,Pienten_lista!$A$1:'Pienten_lista'!$A$692,,2),Tyoaikakoonti!$B$2:'Tyoaikakoonti'!$B$458,Tyoaikakoonti!$A$2:'Tyoaikakoonti'!$A$458)</f>
        <v>#N/A</v>
      </c>
      <c r="L19" s="61" t="e" cm="1">
        <f t="array" ref="L19">_xlfn.XLOOKUP(_xlfn.XLOOKUP("*"&amp;$G19&amp;"*",Pienten_lista!M$1:'Pienten_lista'!M$692,Pienten_lista!$A$1:'Pienten_lista'!$A$692,,2),Tyoaikakoonti!$B$2:'Tyoaikakoonti'!$B$458,Tyoaikakoonti!$A$2:'Tyoaikakoonti'!$A$458)</f>
        <v>#N/A</v>
      </c>
      <c r="M19" s="117" t="s">
        <v>229</v>
      </c>
      <c r="N19" s="61" t="e" cm="1">
        <f t="array" ref="N19">_xlfn.XLOOKUP(_xlfn.XLOOKUP("*"&amp;$M19&amp;"*",Pienten_lista!P$1:'Pienten_lista'!P$692,Pienten_lista!$A$1:'Pienten_lista'!$A$692,,2),Tyoaikakoonti!$B$2:'Tyoaikakoonti'!$B$458,Tyoaikakoonti!$A$2:'Tyoaikakoonti'!$A$458)</f>
        <v>#N/A</v>
      </c>
      <c r="O19" s="61" t="e" cm="1">
        <f t="array" ref="O19">_xlfn.XLOOKUP(_xlfn.XLOOKUP("*"&amp;$M19&amp;"*",Pienten_lista!Q$1:'Pienten_lista'!Q$692,Pienten_lista!$A$1:'Pienten_lista'!$A$692,,2),Tyoaikakoonti!$B$2:'Tyoaikakoonti'!$B$458,Tyoaikakoonti!$A$2:'Tyoaikakoonti'!$A$458)</f>
        <v>#N/A</v>
      </c>
      <c r="P19" s="61" t="e" cm="1">
        <f t="array" ref="P19">_xlfn.XLOOKUP(_xlfn.XLOOKUP("*"&amp;$M19&amp;"*",Pienten_lista!R$1:'Pienten_lista'!R$692,Pienten_lista!$A$1:'Pienten_lista'!$A$692,,2),Tyoaikakoonti!$B$2:'Tyoaikakoonti'!$B$458,Tyoaikakoonti!$A$2:'Tyoaikakoonti'!$A$458)</f>
        <v>#N/A</v>
      </c>
      <c r="Q19" s="61" t="e" cm="1">
        <f t="array" ref="Q19">_xlfn.XLOOKUP(_xlfn.XLOOKUP("*"&amp;$M19&amp;"*",Pienten_lista!S$1:'Pienten_lista'!S$692,Pienten_lista!$A$1:'Pienten_lista'!$A$692,,2),Tyoaikakoonti!$B$2:'Tyoaikakoonti'!$B$458,Tyoaikakoonti!$A$2:'Tyoaikakoonti'!$A$458)</f>
        <v>#N/A</v>
      </c>
      <c r="R19" s="61" t="e" cm="1">
        <f t="array" ref="R19">_xlfn.XLOOKUP(_xlfn.XLOOKUP("*"&amp;$M19&amp;"*",Pienten_lista!T$1:'Pienten_lista'!T$692,Pienten_lista!$A$1:'Pienten_lista'!$A$692,,2),Tyoaikakoonti!$B$2:'Tyoaikakoonti'!$B$458,Tyoaikakoonti!$A$2:'Tyoaikakoonti'!$A$458)</f>
        <v>#N/A</v>
      </c>
    </row>
    <row r="20" spans="1:18" ht="18" customHeight="1" x14ac:dyDescent="0.25">
      <c r="A20" s="117" t="s">
        <v>231</v>
      </c>
      <c r="B20" s="61" t="e" cm="1">
        <f t="array" ref="B20">_xlfn.XLOOKUP(_xlfn.XLOOKUP("*"&amp;$A20&amp;"*",Pienten_lista!B$1:'Pienten_lista'!B$692,Pienten_lista!$A$1:'Pienten_lista'!$A$692,,2),Tyoaikakoonti!$B$2:'Tyoaikakoonti'!$B$458,Tyoaikakoonti!$A$2:'Tyoaikakoonti'!$A$458)</f>
        <v>#N/A</v>
      </c>
      <c r="C20" s="61" t="e" cm="1">
        <f t="array" ref="C20">_xlfn.XLOOKUP(_xlfn.XLOOKUP("*"&amp;$A20&amp;"*",Pienten_lista!C$1:'Pienten_lista'!C$692,Pienten_lista!$A$1:'Pienten_lista'!$A$692,,2),Tyoaikakoonti!$B$2:'Tyoaikakoonti'!$B$458,Tyoaikakoonti!$A$2:'Tyoaikakoonti'!$A$458)</f>
        <v>#N/A</v>
      </c>
      <c r="D20" s="61" t="e" cm="1">
        <f t="array" ref="D20">_xlfn.XLOOKUP(_xlfn.XLOOKUP("*"&amp;$A20&amp;"*",Pienten_lista!D$1:'Pienten_lista'!D$692,Pienten_lista!$A$1:'Pienten_lista'!$A$692,,2),Tyoaikakoonti!$B$2:'Tyoaikakoonti'!$B$458,Tyoaikakoonti!$A$2:'Tyoaikakoonti'!$A$458)</f>
        <v>#N/A</v>
      </c>
      <c r="E20" s="61" t="e" cm="1">
        <f t="array" ref="E20">_xlfn.XLOOKUP(_xlfn.XLOOKUP("*"&amp;$A20&amp;"*",Pienten_lista!E$1:'Pienten_lista'!E$692,Pienten_lista!$A$1:'Pienten_lista'!$A$692,,2),Tyoaikakoonti!$B$2:'Tyoaikakoonti'!$B$458,Tyoaikakoonti!$A$2:'Tyoaikakoonti'!$A$458)</f>
        <v>#N/A</v>
      </c>
      <c r="F20" s="61" t="e" cm="1">
        <f t="array" ref="F20">_xlfn.XLOOKUP(_xlfn.XLOOKUP("*"&amp;$A20&amp;"*",Pienten_lista!F$1:'Pienten_lista'!F$692,Pienten_lista!$A$1:'Pienten_lista'!$A$692,,2),Tyoaikakoonti!$B$2:'Tyoaikakoonti'!$B$458,Tyoaikakoonti!$A$2:'Tyoaikakoonti'!$A$458)</f>
        <v>#N/A</v>
      </c>
      <c r="G20" s="117" t="s">
        <v>230</v>
      </c>
      <c r="H20" s="61" t="e" cm="1">
        <f t="array" ref="H20">_xlfn.XLOOKUP(_xlfn.XLOOKUP("*"&amp;$G20&amp;"*",Pienten_lista!I$1:'Pienten_lista'!I$692,Pienten_lista!$A$1:'Pienten_lista'!$A$692,,2),Tyoaikakoonti!$B$2:'Tyoaikakoonti'!$B$458,Tyoaikakoonti!$A$2:'Tyoaikakoonti'!$A$458)</f>
        <v>#N/A</v>
      </c>
      <c r="I20" s="61" t="e" cm="1">
        <f t="array" ref="I20">_xlfn.XLOOKUP(_xlfn.XLOOKUP("*"&amp;$G20&amp;"*",Pienten_lista!J$1:'Pienten_lista'!J$692,Pienten_lista!$A$1:'Pienten_lista'!$A$692,,2),Tyoaikakoonti!$B$2:'Tyoaikakoonti'!$B$458,Tyoaikakoonti!$A$2:'Tyoaikakoonti'!$A$458)</f>
        <v>#N/A</v>
      </c>
      <c r="J20" s="61" t="e" cm="1">
        <f t="array" ref="J20">_xlfn.XLOOKUP(_xlfn.XLOOKUP("*"&amp;$G20&amp;"*",Pienten_lista!K$1:'Pienten_lista'!K$692,Pienten_lista!$A$1:'Pienten_lista'!$A$692,,2),Tyoaikakoonti!$B$2:'Tyoaikakoonti'!$B$458,Tyoaikakoonti!$A$2:'Tyoaikakoonti'!$A$458)</f>
        <v>#N/A</v>
      </c>
      <c r="K20" s="61" t="e" cm="1">
        <f t="array" ref="K20">_xlfn.XLOOKUP(_xlfn.XLOOKUP("*"&amp;$G20&amp;"*",Pienten_lista!L$1:'Pienten_lista'!L$692,Pienten_lista!$A$1:'Pienten_lista'!$A$692,,2),Tyoaikakoonti!$B$2:'Tyoaikakoonti'!$B$458,Tyoaikakoonti!$A$2:'Tyoaikakoonti'!$A$458)</f>
        <v>#N/A</v>
      </c>
      <c r="L20" s="61" t="e" cm="1">
        <f t="array" ref="L20">_xlfn.XLOOKUP(_xlfn.XLOOKUP("*"&amp;$G20&amp;"*",Pienten_lista!M$1:'Pienten_lista'!M$692,Pienten_lista!$A$1:'Pienten_lista'!$A$692,,2),Tyoaikakoonti!$B$2:'Tyoaikakoonti'!$B$458,Tyoaikakoonti!$A$2:'Tyoaikakoonti'!$A$458)</f>
        <v>#N/A</v>
      </c>
      <c r="M20" s="117" t="s">
        <v>231</v>
      </c>
      <c r="N20" s="61" t="e" cm="1">
        <f t="array" ref="N20">_xlfn.XLOOKUP(_xlfn.XLOOKUP("*"&amp;$M20&amp;"*",Pienten_lista!P$1:'Pienten_lista'!P$692,Pienten_lista!$A$1:'Pienten_lista'!$A$692,,2),Tyoaikakoonti!$B$2:'Tyoaikakoonti'!$B$458,Tyoaikakoonti!$A$2:'Tyoaikakoonti'!$A$458)</f>
        <v>#N/A</v>
      </c>
      <c r="O20" s="61" t="e" cm="1">
        <f t="array" ref="O20">_xlfn.XLOOKUP(_xlfn.XLOOKUP("*"&amp;$M20&amp;"*",Pienten_lista!Q$1:'Pienten_lista'!Q$692,Pienten_lista!$A$1:'Pienten_lista'!$A$692,,2),Tyoaikakoonti!$B$2:'Tyoaikakoonti'!$B$458,Tyoaikakoonti!$A$2:'Tyoaikakoonti'!$A$458)</f>
        <v>#N/A</v>
      </c>
      <c r="P20" s="61" t="e" cm="1">
        <f t="array" ref="P20">_xlfn.XLOOKUP(_xlfn.XLOOKUP("*"&amp;$M20&amp;"*",Pienten_lista!R$1:'Pienten_lista'!R$692,Pienten_lista!$A$1:'Pienten_lista'!$A$692,,2),Tyoaikakoonti!$B$2:'Tyoaikakoonti'!$B$458,Tyoaikakoonti!$A$2:'Tyoaikakoonti'!$A$458)</f>
        <v>#N/A</v>
      </c>
      <c r="Q20" s="61" t="e" cm="1">
        <f t="array" ref="Q20">_xlfn.XLOOKUP(_xlfn.XLOOKUP("*"&amp;$M20&amp;"*",Pienten_lista!S$1:'Pienten_lista'!S$692,Pienten_lista!$A$1:'Pienten_lista'!$A$692,,2),Tyoaikakoonti!$B$2:'Tyoaikakoonti'!$B$458,Tyoaikakoonti!$A$2:'Tyoaikakoonti'!$A$458)</f>
        <v>#N/A</v>
      </c>
      <c r="R20" s="61" t="e" cm="1">
        <f t="array" ref="R20">_xlfn.XLOOKUP(_xlfn.XLOOKUP("*"&amp;$M20&amp;"*",Pienten_lista!T$1:'Pienten_lista'!T$692,Pienten_lista!$A$1:'Pienten_lista'!$A$692,,2),Tyoaikakoonti!$B$2:'Tyoaikakoonti'!$B$458,Tyoaikakoonti!$A$2:'Tyoaikakoonti'!$A$458)</f>
        <v>#N/A</v>
      </c>
    </row>
    <row r="21" spans="1:18" x14ac:dyDescent="0.25">
      <c r="A21" s="118"/>
      <c r="E21" s="119"/>
      <c r="G21" s="118"/>
      <c r="M21" s="118"/>
    </row>
    <row r="22" spans="1:18" x14ac:dyDescent="0.25">
      <c r="A22" s="118"/>
      <c r="G22" s="118"/>
      <c r="M22" s="118"/>
    </row>
    <row r="23" spans="1:18" x14ac:dyDescent="0.25">
      <c r="A23" s="118"/>
      <c r="G23" s="118"/>
      <c r="M23" s="118"/>
    </row>
    <row r="24" spans="1:18" x14ac:dyDescent="0.25">
      <c r="A24" s="118"/>
      <c r="E24" s="118"/>
      <c r="G24" s="118"/>
      <c r="M24" s="118"/>
    </row>
    <row r="25" spans="1:18" x14ac:dyDescent="0.25">
      <c r="E25" s="119"/>
    </row>
    <row r="26" spans="1:18" x14ac:dyDescent="0.25">
      <c r="E26" s="119"/>
    </row>
    <row r="27" spans="1:18" x14ac:dyDescent="0.25">
      <c r="E27" s="119"/>
    </row>
    <row r="28" spans="1:18" x14ac:dyDescent="0.25">
      <c r="E28" s="119"/>
    </row>
    <row r="29" spans="1:18" x14ac:dyDescent="0.25">
      <c r="E29" s="119"/>
    </row>
    <row r="31" spans="1:18" x14ac:dyDescent="0.25">
      <c r="E31" s="119"/>
    </row>
    <row r="32" spans="1:18" x14ac:dyDescent="0.25">
      <c r="E32" s="119"/>
    </row>
    <row r="33" spans="5:5" x14ac:dyDescent="0.25">
      <c r="E33" s="119"/>
    </row>
    <row r="34" spans="5:5" x14ac:dyDescent="0.25">
      <c r="E34" s="119"/>
    </row>
    <row r="35" spans="5:5" x14ac:dyDescent="0.25">
      <c r="E35" s="119"/>
    </row>
  </sheetData>
  <mergeCells count="14">
    <mergeCell ref="N18:R18"/>
    <mergeCell ref="B18:F18"/>
    <mergeCell ref="H18:L18"/>
    <mergeCell ref="B4:F4"/>
    <mergeCell ref="H4:L4"/>
    <mergeCell ref="B9:F9"/>
    <mergeCell ref="H9:L9"/>
    <mergeCell ref="B12:F12"/>
    <mergeCell ref="H12:L12"/>
    <mergeCell ref="L1:N1"/>
    <mergeCell ref="U1:X1"/>
    <mergeCell ref="N4:R4"/>
    <mergeCell ref="N9:R9"/>
    <mergeCell ref="N12:R12"/>
  </mergeCells>
  <printOptions horizontalCentered="1"/>
  <pageMargins left="0.23622047244094491" right="0.23622047244094491" top="0.15748031496062992" bottom="0.15748031496062992" header="0.31496062992125984" footer="0.31496062992125984"/>
  <pageSetup paperSize="9" scale="78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E024C-D596-4C85-9AE8-122717063E94}">
  <sheetPr codeName="Sheet2">
    <tabColor theme="4" tint="0.39997558519241921"/>
  </sheetPr>
  <dimension ref="A1:AE2"/>
  <sheetViews>
    <sheetView zoomScale="145" zoomScaleNormal="145" workbookViewId="0">
      <selection activeCell="A4" sqref="A4"/>
    </sheetView>
  </sheetViews>
  <sheetFormatPr defaultRowHeight="15" x14ac:dyDescent="0.25"/>
  <cols>
    <col min="1" max="1" width="21.28515625" customWidth="1"/>
    <col min="2" max="2" width="32.5703125" customWidth="1"/>
  </cols>
  <sheetData>
    <row r="1" spans="1:31" ht="47.45" customHeight="1" thickBot="1" x14ac:dyDescent="0.8">
      <c r="A1" s="133"/>
      <c r="B1" s="122" t="s">
        <v>303</v>
      </c>
      <c r="C1" s="114"/>
      <c r="D1" s="122"/>
      <c r="E1" s="114"/>
      <c r="F1" s="114"/>
      <c r="G1" s="114"/>
      <c r="H1" s="114"/>
      <c r="I1" s="114"/>
      <c r="J1" s="114"/>
      <c r="K1" s="94" t="s">
        <v>0</v>
      </c>
      <c r="L1" s="174"/>
      <c r="M1" s="174"/>
      <c r="N1" s="174"/>
      <c r="O1" s="94" t="s">
        <v>0</v>
      </c>
      <c r="P1" s="94" t="s">
        <v>0</v>
      </c>
      <c r="Q1" s="94" t="s">
        <v>0</v>
      </c>
      <c r="R1" s="94" t="s">
        <v>0</v>
      </c>
      <c r="S1" s="94" t="s">
        <v>0</v>
      </c>
      <c r="T1" s="94" t="s">
        <v>0</v>
      </c>
      <c r="U1" s="175"/>
      <c r="V1" s="175"/>
      <c r="W1" s="175"/>
      <c r="X1" s="176"/>
      <c r="Y1" t="s">
        <v>0</v>
      </c>
      <c r="Z1" t="s">
        <v>0</v>
      </c>
      <c r="AA1" t="s">
        <v>0</v>
      </c>
      <c r="AB1" t="s">
        <v>0</v>
      </c>
      <c r="AC1" t="s">
        <v>0</v>
      </c>
      <c r="AD1" t="s">
        <v>0</v>
      </c>
      <c r="AE1" t="s">
        <v>0</v>
      </c>
    </row>
    <row r="2" spans="1:31" x14ac:dyDescent="0.25">
      <c r="A2" t="s">
        <v>304</v>
      </c>
      <c r="B2" t="s">
        <v>305</v>
      </c>
    </row>
  </sheetData>
  <mergeCells count="2">
    <mergeCell ref="L1:N1"/>
    <mergeCell ref="U1:X1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65F8C-50E1-45A6-825A-F4DD541603C4}">
  <sheetPr codeName="Sheet1">
    <tabColor rgb="FFFF0000"/>
  </sheetPr>
  <dimension ref="A1:AE3"/>
  <sheetViews>
    <sheetView zoomScale="115" zoomScaleNormal="115" workbookViewId="0">
      <selection activeCell="A4" sqref="A4"/>
    </sheetView>
  </sheetViews>
  <sheetFormatPr defaultRowHeight="15" x14ac:dyDescent="0.25"/>
  <cols>
    <col min="1" max="1" width="27.28515625" style="112" customWidth="1"/>
    <col min="2" max="2" width="27.140625" style="112" customWidth="1"/>
    <col min="3" max="3" width="27.7109375" style="112" customWidth="1"/>
    <col min="4" max="9" width="8.85546875" style="112"/>
  </cols>
  <sheetData>
    <row r="1" spans="1:31" ht="47.45" customHeight="1" thickBot="1" x14ac:dyDescent="0.8">
      <c r="A1" s="93"/>
      <c r="B1" s="122" t="s">
        <v>250</v>
      </c>
      <c r="C1" s="122"/>
      <c r="D1" s="122"/>
      <c r="E1" s="114"/>
      <c r="F1" s="114"/>
      <c r="G1" s="114"/>
      <c r="H1" s="114"/>
      <c r="I1" s="114"/>
      <c r="J1" s="114"/>
      <c r="K1" s="94" t="s">
        <v>0</v>
      </c>
      <c r="L1" s="174"/>
      <c r="M1" s="174"/>
      <c r="N1" s="174"/>
      <c r="O1" s="94" t="s">
        <v>0</v>
      </c>
      <c r="P1" s="94" t="s">
        <v>0</v>
      </c>
      <c r="Q1" s="94" t="s">
        <v>0</v>
      </c>
      <c r="R1" s="94" t="s">
        <v>0</v>
      </c>
      <c r="S1" s="94" t="s">
        <v>0</v>
      </c>
      <c r="T1" s="94" t="s">
        <v>0</v>
      </c>
      <c r="U1" s="175"/>
      <c r="V1" s="175"/>
      <c r="W1" s="175"/>
      <c r="X1" s="176"/>
      <c r="Y1" t="s">
        <v>0</v>
      </c>
      <c r="Z1" t="s">
        <v>0</v>
      </c>
      <c r="AA1" t="s">
        <v>0</v>
      </c>
      <c r="AB1" t="s">
        <v>0</v>
      </c>
      <c r="AC1" t="s">
        <v>0</v>
      </c>
      <c r="AD1" t="s">
        <v>0</v>
      </c>
      <c r="AE1" t="s">
        <v>0</v>
      </c>
    </row>
    <row r="2" spans="1:31" x14ac:dyDescent="0.25">
      <c r="A2" s="111" t="s">
        <v>235</v>
      </c>
      <c r="B2" s="111" t="s">
        <v>236</v>
      </c>
      <c r="C2" s="111" t="s">
        <v>237</v>
      </c>
    </row>
    <row r="3" spans="1:31" x14ac:dyDescent="0.25">
      <c r="A3" s="111"/>
      <c r="B3" s="111"/>
      <c r="C3" s="111"/>
    </row>
  </sheetData>
  <mergeCells count="2">
    <mergeCell ref="L1:N1"/>
    <mergeCell ref="U1:X1"/>
  </mergeCell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7B1A7-B206-4247-BBCD-F000CB3A1CC3}">
  <sheetPr codeName="Sheet3">
    <tabColor theme="7" tint="0.39997558519241921"/>
  </sheetPr>
  <dimension ref="A1:AC3"/>
  <sheetViews>
    <sheetView zoomScale="130" zoomScaleNormal="130" workbookViewId="0">
      <selection activeCell="A6" sqref="A6"/>
    </sheetView>
  </sheetViews>
  <sheetFormatPr defaultRowHeight="15" x14ac:dyDescent="0.25"/>
  <cols>
    <col min="1" max="1" width="13.7109375" customWidth="1"/>
    <col min="2" max="2" width="10.7109375" bestFit="1" customWidth="1"/>
    <col min="3" max="3" width="64" style="26" customWidth="1"/>
    <col min="4" max="4" width="8.42578125" style="137" bestFit="1" customWidth="1"/>
    <col min="5" max="5" width="10.28515625" style="135" bestFit="1" customWidth="1"/>
    <col min="6" max="6" width="11.42578125" style="136" bestFit="1" customWidth="1"/>
    <col min="7" max="7" width="147" style="135" customWidth="1"/>
  </cols>
  <sheetData>
    <row r="1" spans="1:29" ht="47.45" customHeight="1" thickBot="1" x14ac:dyDescent="0.8">
      <c r="A1" s="93"/>
      <c r="B1" s="114"/>
      <c r="C1" s="150" t="s">
        <v>284</v>
      </c>
      <c r="D1" s="138"/>
      <c r="E1" s="114"/>
      <c r="F1" s="114"/>
      <c r="G1" s="114"/>
      <c r="H1" s="114"/>
      <c r="I1" s="94" t="s">
        <v>0</v>
      </c>
      <c r="J1" s="174"/>
      <c r="K1" s="174"/>
      <c r="L1" s="174"/>
      <c r="M1" s="94" t="s">
        <v>0</v>
      </c>
      <c r="N1" s="94" t="s">
        <v>0</v>
      </c>
      <c r="O1" s="94" t="s">
        <v>0</v>
      </c>
      <c r="P1" s="94" t="s">
        <v>0</v>
      </c>
      <c r="Q1" s="94" t="s">
        <v>0</v>
      </c>
      <c r="R1" s="94" t="s">
        <v>0</v>
      </c>
      <c r="S1" s="175"/>
      <c r="T1" s="175"/>
      <c r="U1" s="175"/>
      <c r="V1" s="176"/>
      <c r="W1" t="s">
        <v>0</v>
      </c>
      <c r="X1" t="s">
        <v>0</v>
      </c>
      <c r="Y1" t="s">
        <v>0</v>
      </c>
      <c r="Z1" t="s">
        <v>0</v>
      </c>
      <c r="AA1" t="s">
        <v>0</v>
      </c>
      <c r="AB1" t="s">
        <v>0</v>
      </c>
      <c r="AC1" t="s">
        <v>0</v>
      </c>
    </row>
    <row r="2" spans="1:29" x14ac:dyDescent="0.25">
      <c r="A2" t="s">
        <v>88</v>
      </c>
      <c r="B2" t="s">
        <v>310</v>
      </c>
      <c r="C2" s="26" t="s">
        <v>214</v>
      </c>
      <c r="D2" s="137" t="s">
        <v>309</v>
      </c>
      <c r="E2" s="135" t="s">
        <v>307</v>
      </c>
      <c r="F2" s="134" t="s">
        <v>308</v>
      </c>
      <c r="G2" s="135" t="s">
        <v>306</v>
      </c>
    </row>
    <row r="3" spans="1:29" ht="13.5" customHeight="1" x14ac:dyDescent="0.25">
      <c r="C3"/>
      <c r="D3"/>
      <c r="E3"/>
      <c r="F3"/>
      <c r="G3"/>
    </row>
  </sheetData>
  <mergeCells count="2">
    <mergeCell ref="J1:L1"/>
    <mergeCell ref="S1:V1"/>
  </mergeCells>
  <dataValidations count="1">
    <dataValidation type="list" allowBlank="1" showInputMessage="1" showErrorMessage="1" sqref="B382:B1048576" xr:uid="{3D3BBF32-362D-4F76-90D5-324812F2D609}">
      <formula1>"Kyllä,Ei"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98FE-F7C3-4C79-AA20-DC936FB2D780}">
  <sheetPr codeName="Taul21">
    <tabColor rgb="FF00B050"/>
    <pageSetUpPr fitToPage="1"/>
  </sheetPr>
  <dimension ref="A1:X15"/>
  <sheetViews>
    <sheetView zoomScale="85" zoomScaleNormal="85" workbookViewId="0">
      <selection activeCell="D10" sqref="D10"/>
    </sheetView>
  </sheetViews>
  <sheetFormatPr defaultRowHeight="15" x14ac:dyDescent="0.25"/>
  <cols>
    <col min="1" max="1" width="24.28515625" style="8" customWidth="1"/>
    <col min="2" max="22" width="8.5703125" style="2" customWidth="1"/>
    <col min="23" max="23" width="6.5703125" style="7" customWidth="1"/>
    <col min="24" max="24" width="7.42578125" style="7" customWidth="1"/>
    <col min="25" max="26" width="9.140625" customWidth="1"/>
  </cols>
  <sheetData>
    <row r="1" spans="1:24" ht="32.25" customHeight="1" x14ac:dyDescent="0.4">
      <c r="A1" s="183" t="s">
        <v>215</v>
      </c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4"/>
    </row>
    <row r="2" spans="1:24" s="8" customFormat="1" ht="15" customHeight="1" x14ac:dyDescent="0.25">
      <c r="A2" s="14"/>
      <c r="B2" s="14" t="s">
        <v>301</v>
      </c>
      <c r="C2" s="14"/>
      <c r="D2" s="14"/>
      <c r="E2" s="14"/>
      <c r="F2" s="14"/>
      <c r="G2" s="14"/>
      <c r="H2" s="14"/>
      <c r="I2" s="14" t="s">
        <v>10</v>
      </c>
      <c r="J2" s="14"/>
      <c r="K2" s="14"/>
      <c r="L2" s="14"/>
      <c r="M2" s="14"/>
      <c r="N2" s="14"/>
      <c r="O2" s="14"/>
      <c r="P2" s="14" t="str">
        <f>Isojen_lista!P1</f>
        <v xml:space="preserve">   </v>
      </c>
      <c r="Q2" s="14"/>
      <c r="R2" s="14"/>
      <c r="S2" s="14"/>
      <c r="T2" s="14"/>
      <c r="U2" s="14"/>
      <c r="V2" s="14"/>
      <c r="W2" s="123"/>
      <c r="X2" s="124"/>
    </row>
    <row r="3" spans="1:24" s="8" customFormat="1" ht="15" customHeight="1" x14ac:dyDescent="0.25">
      <c r="A3" s="14"/>
      <c r="B3" s="14" t="s">
        <v>302</v>
      </c>
      <c r="C3" s="14"/>
      <c r="D3" s="14"/>
      <c r="E3" s="14"/>
      <c r="F3" s="14"/>
      <c r="G3" s="14"/>
      <c r="H3" s="14"/>
      <c r="I3" s="14" t="str">
        <f>Isojen_lista!I2</f>
        <v xml:space="preserve">   </v>
      </c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23"/>
      <c r="X3" s="125"/>
    </row>
    <row r="4" spans="1:24" s="8" customFormat="1" ht="15.75" customHeight="1" x14ac:dyDescent="0.25">
      <c r="A4" s="14"/>
      <c r="B4" s="14"/>
      <c r="C4" s="14"/>
      <c r="D4" s="14"/>
      <c r="E4" s="14"/>
      <c r="F4" s="14"/>
      <c r="G4" s="14"/>
      <c r="H4" s="14"/>
      <c r="I4" s="14" t="str">
        <f>Kopiot!S8</f>
        <v>02.10.2023-22.10.2023</v>
      </c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23"/>
      <c r="X4" s="126"/>
    </row>
    <row r="5" spans="1:24" s="18" customFormat="1" ht="15" customHeight="1" x14ac:dyDescent="0.25">
      <c r="A5" s="15"/>
      <c r="B5" s="16" t="s">
        <v>11</v>
      </c>
      <c r="C5" s="16" t="s">
        <v>12</v>
      </c>
      <c r="D5" s="16" t="s">
        <v>13</v>
      </c>
      <c r="E5" s="16" t="s">
        <v>14</v>
      </c>
      <c r="F5" s="16" t="s">
        <v>15</v>
      </c>
      <c r="G5" s="16" t="s">
        <v>16</v>
      </c>
      <c r="H5" s="17" t="s">
        <v>17</v>
      </c>
      <c r="I5" s="16" t="s">
        <v>11</v>
      </c>
      <c r="J5" s="16" t="s">
        <v>12</v>
      </c>
      <c r="K5" s="16" t="s">
        <v>13</v>
      </c>
      <c r="L5" s="16" t="s">
        <v>14</v>
      </c>
      <c r="M5" s="16" t="s">
        <v>15</v>
      </c>
      <c r="N5" s="16" t="s">
        <v>16</v>
      </c>
      <c r="O5" s="17" t="s">
        <v>17</v>
      </c>
      <c r="P5" s="16" t="s">
        <v>11</v>
      </c>
      <c r="Q5" s="16" t="s">
        <v>12</v>
      </c>
      <c r="R5" s="16" t="s">
        <v>13</v>
      </c>
      <c r="S5" s="16" t="s">
        <v>14</v>
      </c>
      <c r="T5" s="16" t="s">
        <v>15</v>
      </c>
      <c r="U5" s="16" t="s">
        <v>16</v>
      </c>
      <c r="V5" s="17" t="s">
        <v>17</v>
      </c>
      <c r="W5" s="130" t="s">
        <v>18</v>
      </c>
      <c r="X5" s="131" t="s">
        <v>19</v>
      </c>
    </row>
    <row r="6" spans="1:24" s="20" customFormat="1" ht="15" customHeight="1" thickBot="1" x14ac:dyDescent="0.3">
      <c r="A6" s="19"/>
      <c r="B6" s="65">
        <f>DATEVALUE(LEFT(Kopiot!S8,2)&amp;"."&amp;MID(Kopiot!S8,4,2)&amp;"."&amp;MID(Kopiot!S8,7,4))</f>
        <v>43739</v>
      </c>
      <c r="C6" s="65">
        <f>B6+1</f>
        <v>43740</v>
      </c>
      <c r="D6" s="65">
        <f t="shared" ref="D6:V6" si="0">C6+1</f>
        <v>43741</v>
      </c>
      <c r="E6" s="65">
        <f t="shared" si="0"/>
        <v>43742</v>
      </c>
      <c r="F6" s="65">
        <f t="shared" si="0"/>
        <v>43743</v>
      </c>
      <c r="G6" s="65">
        <f t="shared" si="0"/>
        <v>43744</v>
      </c>
      <c r="H6" s="65">
        <f t="shared" si="0"/>
        <v>43745</v>
      </c>
      <c r="I6" s="65">
        <f t="shared" si="0"/>
        <v>43746</v>
      </c>
      <c r="J6" s="65">
        <f t="shared" si="0"/>
        <v>43747</v>
      </c>
      <c r="K6" s="65">
        <f t="shared" si="0"/>
        <v>43748</v>
      </c>
      <c r="L6" s="65">
        <f t="shared" si="0"/>
        <v>43749</v>
      </c>
      <c r="M6" s="65">
        <f t="shared" si="0"/>
        <v>43750</v>
      </c>
      <c r="N6" s="65">
        <f t="shared" si="0"/>
        <v>43751</v>
      </c>
      <c r="O6" s="65">
        <f t="shared" si="0"/>
        <v>43752</v>
      </c>
      <c r="P6" s="65">
        <f t="shared" si="0"/>
        <v>43753</v>
      </c>
      <c r="Q6" s="65">
        <f t="shared" si="0"/>
        <v>43754</v>
      </c>
      <c r="R6" s="65">
        <f t="shared" si="0"/>
        <v>43755</v>
      </c>
      <c r="S6" s="65">
        <f t="shared" si="0"/>
        <v>43756</v>
      </c>
      <c r="T6" s="65">
        <f t="shared" si="0"/>
        <v>43757</v>
      </c>
      <c r="U6" s="65">
        <f t="shared" si="0"/>
        <v>43758</v>
      </c>
      <c r="V6" s="65">
        <f t="shared" si="0"/>
        <v>43759</v>
      </c>
      <c r="W6" s="132" t="s">
        <v>20</v>
      </c>
      <c r="X6" s="132" t="s">
        <v>21</v>
      </c>
    </row>
    <row r="7" spans="1:24" ht="40.5" customHeight="1" x14ac:dyDescent="0.25">
      <c r="A7" s="13" t="s">
        <v>83</v>
      </c>
      <c r="B7" s="9" t="e" cm="1">
        <f t="array" ref="B7">_xlfn.XLOOKUP($A7,Tyoaikakoonti!$I$2:'Tyoaikakoonti'!$I$428,Tyoaikakoonti!J$2:'Tyoaikakoonti'!J$428)</f>
        <v>#N/A</v>
      </c>
      <c r="C7" s="9" t="e" cm="1">
        <f t="array" ref="C7">_xlfn.XLOOKUP($A7,Tyoaikakoonti!$I$2:'Tyoaikakoonti'!$I$428,Tyoaikakoonti!K$2:'Tyoaikakoonti'!K$428)</f>
        <v>#N/A</v>
      </c>
      <c r="D7" s="9" t="e" cm="1">
        <f t="array" ref="D7">_xlfn.XLOOKUP($A7,Tyoaikakoonti!$I$2:'Tyoaikakoonti'!$I$428,Tyoaikakoonti!L$2:'Tyoaikakoonti'!L$428)</f>
        <v>#N/A</v>
      </c>
      <c r="E7" s="9" t="e" cm="1">
        <f t="array" ref="E7">_xlfn.XLOOKUP($A7,Tyoaikakoonti!$I$2:'Tyoaikakoonti'!$I$428,Tyoaikakoonti!M$2:'Tyoaikakoonti'!M$428)</f>
        <v>#N/A</v>
      </c>
      <c r="F7" s="9" t="e" cm="1">
        <f t="array" ref="F7">_xlfn.XLOOKUP($A7,Tyoaikakoonti!$I$2:'Tyoaikakoonti'!$I$428,Tyoaikakoonti!N$2:'Tyoaikakoonti'!N$428)</f>
        <v>#N/A</v>
      </c>
      <c r="G7" s="9" t="e" cm="1">
        <f t="array" ref="G7">_xlfn.XLOOKUP($A7,Tyoaikakoonti!$I$2:'Tyoaikakoonti'!$I$428,Tyoaikakoonti!O$2:'Tyoaikakoonti'!O$428)</f>
        <v>#N/A</v>
      </c>
      <c r="H7" s="10" t="e" cm="1">
        <f t="array" ref="H7">_xlfn.XLOOKUP($A7,Tyoaikakoonti!$I$2:'Tyoaikakoonti'!$I$428,Tyoaikakoonti!P$2:'Tyoaikakoonti'!P$428)</f>
        <v>#N/A</v>
      </c>
      <c r="I7" s="9" t="e" cm="1">
        <f t="array" ref="I7">_xlfn.XLOOKUP($A7,Tyoaikakoonti!$I$2:'Tyoaikakoonti'!$I$428,Tyoaikakoonti!Q$2:'Tyoaikakoonti'!Q$428)</f>
        <v>#N/A</v>
      </c>
      <c r="J7" s="9" t="e" cm="1">
        <f t="array" ref="J7">_xlfn.XLOOKUP($A7,Tyoaikakoonti!$I$2:'Tyoaikakoonti'!$I$428,Tyoaikakoonti!R$2:'Tyoaikakoonti'!R$428)</f>
        <v>#N/A</v>
      </c>
      <c r="K7" s="9" t="e" cm="1">
        <f t="array" ref="K7">_xlfn.XLOOKUP($A7,Tyoaikakoonti!$I$2:'Tyoaikakoonti'!$I$428,Tyoaikakoonti!S$2:'Tyoaikakoonti'!S$428)</f>
        <v>#N/A</v>
      </c>
      <c r="L7" s="9" t="e" cm="1">
        <f t="array" ref="L7">_xlfn.XLOOKUP($A7,Tyoaikakoonti!$I$2:'Tyoaikakoonti'!$I$428,Tyoaikakoonti!T$2:'Tyoaikakoonti'!T$428)</f>
        <v>#N/A</v>
      </c>
      <c r="M7" s="9" t="e" cm="1">
        <f t="array" ref="M7">_xlfn.XLOOKUP($A7,Tyoaikakoonti!$I$2:'Tyoaikakoonti'!$I$428,Tyoaikakoonti!U$2:'Tyoaikakoonti'!U$428)</f>
        <v>#N/A</v>
      </c>
      <c r="N7" s="9" t="e" cm="1">
        <f t="array" ref="N7">_xlfn.XLOOKUP($A7,Tyoaikakoonti!$I$2:'Tyoaikakoonti'!$I$428,Tyoaikakoonti!V$2:'Tyoaikakoonti'!V$428)</f>
        <v>#N/A</v>
      </c>
      <c r="O7" s="10" t="e" cm="1">
        <f t="array" ref="O7">_xlfn.XLOOKUP($A7,Tyoaikakoonti!$I$2:'Tyoaikakoonti'!$I$428,Tyoaikakoonti!W$2:'Tyoaikakoonti'!W$428)</f>
        <v>#N/A</v>
      </c>
      <c r="P7" s="9" t="e" cm="1">
        <f t="array" ref="P7">_xlfn.XLOOKUP($A7,Tyoaikakoonti!$I$2:'Tyoaikakoonti'!$I$428,Tyoaikakoonti!X$2:'Tyoaikakoonti'!X$428)</f>
        <v>#N/A</v>
      </c>
      <c r="Q7" s="9" t="e" cm="1">
        <f t="array" ref="Q7">_xlfn.XLOOKUP($A7,Tyoaikakoonti!$I$2:'Tyoaikakoonti'!$I$428,Tyoaikakoonti!Y$2:'Tyoaikakoonti'!Y$428)</f>
        <v>#N/A</v>
      </c>
      <c r="R7" s="9" t="e" cm="1">
        <f t="array" ref="R7">_xlfn.XLOOKUP($A7,Tyoaikakoonti!$I$2:'Tyoaikakoonti'!$I$428,Tyoaikakoonti!Z$2:'Tyoaikakoonti'!Z$428)</f>
        <v>#N/A</v>
      </c>
      <c r="S7" s="9" t="e" cm="1">
        <f t="array" ref="S7">_xlfn.XLOOKUP($A7,Tyoaikakoonti!$I$2:'Tyoaikakoonti'!$I$428,Tyoaikakoonti!AA$2:'Tyoaikakoonti'!AA$428)</f>
        <v>#N/A</v>
      </c>
      <c r="T7" s="9" t="e" cm="1">
        <f t="array" ref="T7">_xlfn.XLOOKUP($A7,Tyoaikakoonti!$I$2:'Tyoaikakoonti'!$I$428,Tyoaikakoonti!AB$2:'Tyoaikakoonti'!AB$428)</f>
        <v>#N/A</v>
      </c>
      <c r="U7" s="9" t="e" cm="1">
        <f t="array" ref="U7">_xlfn.XLOOKUP($A7,Tyoaikakoonti!$I$2:'Tyoaikakoonti'!$I$428,Tyoaikakoonti!AC$2:'Tyoaikakoonti'!AC$428)</f>
        <v>#N/A</v>
      </c>
      <c r="V7" s="10" t="e" cm="1">
        <f t="array" ref="V7">_xlfn.XLOOKUP($A7,Tyoaikakoonti!$I$2:'Tyoaikakoonti'!$I$428,Tyoaikakoonti!AD$2:'Tyoaikakoonti'!AD$428)</f>
        <v>#N/A</v>
      </c>
      <c r="W7" s="9" t="e" cm="1">
        <f t="array" ref="W7">_xlfn.XLOOKUP(_xlfn.XLOOKUP($A7,Tyoaikakoonti!$I$2:'Tyoaikakoonti'!$I$476,Tyoaikakoonti!$B$2:'Tyoaikakoonti'!$B$476),Isojen_lista!$A$1:'Isojen_lista'!$A$1312,Isojen_lista!$W$1:'Isojen_lista'!$W$1312,(_xlfn.XLOOKUP($A7,Tyoaikakoonti!$I$2:'Tyoaikakoonti'!$I$476,Tyoaikakoonti!$B$2:'Tyoaikakoonti'!$B$476),Isojen_lista!$A$1:'Isojen_lista'!$A$1312,Isojen_lista!$W$1:'Isojen_lista'!$W$1312))</f>
        <v>#N/A</v>
      </c>
      <c r="X7" s="9" t="e" cm="1">
        <f t="array" ref="X7">_xlfn.XLOOKUP(_xlfn.XLOOKUP($A7,Tyoaikakoonti!$I$2:'Tyoaikakoonti'!$I$476,Tyoaikakoonti!$B$2:'Tyoaikakoonti'!$B$476),Isojen_lista!$A$1:'Isojen_lista'!$A$1312,Isojen_lista!$X$1:'Isojen_lista'!$X$1312)</f>
        <v>#N/A</v>
      </c>
    </row>
    <row r="8" spans="1:24" ht="40.5" customHeight="1" x14ac:dyDescent="0.25">
      <c r="A8" s="13"/>
      <c r="B8" s="9" t="e" cm="1">
        <f t="array" ref="B8">_xlfn.XLOOKUP($A7,Tyoaikakoonti!$I$2:'Tyoaikakoonti'!$I$428,Tyoaikakoonti!AE$2:'Tyoaikakoonti'!AE$428)</f>
        <v>#N/A</v>
      </c>
      <c r="C8" s="9" t="e" cm="1">
        <f t="array" ref="C8">_xlfn.XLOOKUP($A7,Tyoaikakoonti!$I$2:'Tyoaikakoonti'!$I$428,Tyoaikakoonti!AF$2:'Tyoaikakoonti'!AF$428)</f>
        <v>#N/A</v>
      </c>
      <c r="D8" s="9" t="e" cm="1">
        <f t="array" ref="D8">_xlfn.XLOOKUP($A7,Tyoaikakoonti!$I$2:'Tyoaikakoonti'!$I$428,Tyoaikakoonti!AG$2:'Tyoaikakoonti'!AG$428)</f>
        <v>#N/A</v>
      </c>
      <c r="E8" s="9" t="e" cm="1">
        <f t="array" ref="E8">_xlfn.XLOOKUP($A7,Tyoaikakoonti!$I$2:'Tyoaikakoonti'!$I$428,Tyoaikakoonti!AH$2:'Tyoaikakoonti'!AH$428)</f>
        <v>#N/A</v>
      </c>
      <c r="F8" s="9" t="e" cm="1">
        <f t="array" ref="F8">_xlfn.XLOOKUP($A7,Tyoaikakoonti!$I$2:'Tyoaikakoonti'!$I$428,Tyoaikakoonti!AI$2:'Tyoaikakoonti'!AI$428)</f>
        <v>#N/A</v>
      </c>
      <c r="G8" s="9" t="e" cm="1">
        <f t="array" ref="G8">_xlfn.XLOOKUP($A7,Tyoaikakoonti!$I$2:'Tyoaikakoonti'!$I$428,Tyoaikakoonti!AJ$2:'Tyoaikakoonti'!AJ$428)</f>
        <v>#N/A</v>
      </c>
      <c r="H8" s="10" t="e" cm="1">
        <f t="array" ref="H8">_xlfn.XLOOKUP($A7,Tyoaikakoonti!$I$2:'Tyoaikakoonti'!$I$428,Tyoaikakoonti!AK$2:'Tyoaikakoonti'!AK$428)</f>
        <v>#N/A</v>
      </c>
      <c r="I8" s="9" t="e" cm="1">
        <f t="array" ref="I8">_xlfn.XLOOKUP($A7,Tyoaikakoonti!$I$2:'Tyoaikakoonti'!$I$428,Tyoaikakoonti!AL$2:'Tyoaikakoonti'!AL$428)</f>
        <v>#N/A</v>
      </c>
      <c r="J8" s="9" t="e" cm="1">
        <f t="array" ref="J8">_xlfn.XLOOKUP($A7,Tyoaikakoonti!$I$2:'Tyoaikakoonti'!$I$428,Tyoaikakoonti!AM$2:'Tyoaikakoonti'!AM$428)</f>
        <v>#N/A</v>
      </c>
      <c r="K8" s="9" t="e" cm="1">
        <f t="array" ref="K8">_xlfn.XLOOKUP($A7,Tyoaikakoonti!$I$2:'Tyoaikakoonti'!$I$428,Tyoaikakoonti!AN$2:'Tyoaikakoonti'!AN$428)</f>
        <v>#N/A</v>
      </c>
      <c r="L8" s="9" t="e" cm="1">
        <f t="array" ref="L8">_xlfn.XLOOKUP($A7,Tyoaikakoonti!$I$2:'Tyoaikakoonti'!$I$428,Tyoaikakoonti!AO$2:'Tyoaikakoonti'!AO$428)</f>
        <v>#N/A</v>
      </c>
      <c r="M8" s="9" t="e" cm="1">
        <f t="array" ref="M8">_xlfn.XLOOKUP($A7,Tyoaikakoonti!$I$2:'Tyoaikakoonti'!$I$428,Tyoaikakoonti!AP$2:'Tyoaikakoonti'!AP$428)</f>
        <v>#N/A</v>
      </c>
      <c r="N8" s="9" t="e" cm="1">
        <f t="array" ref="N8">_xlfn.XLOOKUP($A7,Tyoaikakoonti!$I$2:'Tyoaikakoonti'!$I$428,Tyoaikakoonti!AQ$2:'Tyoaikakoonti'!AQ$428)</f>
        <v>#N/A</v>
      </c>
      <c r="O8" s="10" t="e" cm="1">
        <f t="array" ref="O8">_xlfn.XLOOKUP($A7,Tyoaikakoonti!$I$2:'Tyoaikakoonti'!$I$428,Tyoaikakoonti!AR$2:'Tyoaikakoonti'!AR$428)</f>
        <v>#N/A</v>
      </c>
      <c r="P8" s="9" t="e" cm="1">
        <f t="array" ref="P8">_xlfn.XLOOKUP($A7,Tyoaikakoonti!$I$2:'Tyoaikakoonti'!$I$428,Tyoaikakoonti!AS$2:'Tyoaikakoonti'!AS$428)</f>
        <v>#N/A</v>
      </c>
      <c r="Q8" s="9" t="e" cm="1">
        <f t="array" ref="Q8">_xlfn.XLOOKUP($A7,Tyoaikakoonti!$I$2:'Tyoaikakoonti'!$I$428,Tyoaikakoonti!AT$2:'Tyoaikakoonti'!AT$428)</f>
        <v>#N/A</v>
      </c>
      <c r="R8" s="9" t="e" cm="1">
        <f t="array" ref="R8">_xlfn.XLOOKUP($A7,Tyoaikakoonti!$I$2:'Tyoaikakoonti'!$I$428,Tyoaikakoonti!AU$2:'Tyoaikakoonti'!AU$428)</f>
        <v>#N/A</v>
      </c>
      <c r="S8" s="9" t="e" cm="1">
        <f t="array" ref="S8">_xlfn.XLOOKUP($A7,Tyoaikakoonti!$I$2:'Tyoaikakoonti'!$I$428,Tyoaikakoonti!AV$2:'Tyoaikakoonti'!AV$428)</f>
        <v>#N/A</v>
      </c>
      <c r="T8" s="9" t="e" cm="1">
        <f t="array" ref="T8">_xlfn.XLOOKUP($A7,Tyoaikakoonti!$I$2:'Tyoaikakoonti'!$I$428,Tyoaikakoonti!AW$2:'Tyoaikakoonti'!AW$428)</f>
        <v>#N/A</v>
      </c>
      <c r="U8" s="9" t="e" cm="1">
        <f t="array" ref="U8">_xlfn.XLOOKUP($A7,Tyoaikakoonti!$I$2:'Tyoaikakoonti'!$I$428,Tyoaikakoonti!AX$2:'Tyoaikakoonti'!AX$428)</f>
        <v>#N/A</v>
      </c>
      <c r="V8" s="10" t="e" cm="1">
        <f t="array" ref="V8">_xlfn.XLOOKUP($A7,Tyoaikakoonti!$I$2:'Tyoaikakoonti'!$I$428,Tyoaikakoonti!AY$2:'Tyoaikakoonti'!AY$428)</f>
        <v>#N/A</v>
      </c>
      <c r="W8" s="11"/>
      <c r="X8" s="11"/>
    </row>
    <row r="9" spans="1:24" ht="43.5" customHeight="1" x14ac:dyDescent="0.25">
      <c r="A9" s="13"/>
      <c r="B9" s="9" t="e" cm="1">
        <f t="array" ref="B9">_xlfn.XLOOKUP($A7,Tyoaikakoonti!$I$2:'Tyoaikakoonti'!$I$428,Tyoaikakoonti!AZ$2:'Tyoaikakoonti'!AZ$428)&amp;_xlfn.XLOOKUP($A7,Tyoaikakoonti!$I$2:'Tyoaikakoonti'!$I$428,Tyoaikakoonti!BU$2:'Tyoaikakoonti'!BU$428)&amp;_xlfn.XLOOKUP($A7,Tyoaikakoonti!$I$2:'Tyoaikakoonti'!$I$428,Tyoaikakoonti!CP$2:'Tyoaikakoonti'!CP$428)</f>
        <v>#N/A</v>
      </c>
      <c r="C9" s="9" t="e" cm="1">
        <f t="array" ref="C9">_xlfn.XLOOKUP($A7,Tyoaikakoonti!$I$2:'Tyoaikakoonti'!$I$428,Tyoaikakoonti!BA$2:'Tyoaikakoonti'!BA$428)&amp;_xlfn.XLOOKUP($A7,Tyoaikakoonti!$I$2:'Tyoaikakoonti'!$I$428,Tyoaikakoonti!BV$2:'Tyoaikakoonti'!BV$428)&amp;_xlfn.XLOOKUP($A7,Tyoaikakoonti!$I$2:'Tyoaikakoonti'!$I$428,Tyoaikakoonti!CQ$2:'Tyoaikakoonti'!CQ$428)</f>
        <v>#N/A</v>
      </c>
      <c r="D9" s="9" t="e" cm="1">
        <f t="array" ref="D9">_xlfn.XLOOKUP($A7,Tyoaikakoonti!$I$2:'Tyoaikakoonti'!$I$428,Tyoaikakoonti!BB$2:'Tyoaikakoonti'!BB$428)&amp;_xlfn.XLOOKUP($A7,Tyoaikakoonti!$I$2:'Tyoaikakoonti'!$I$428,Tyoaikakoonti!BW$2:'Tyoaikakoonti'!BW$428)&amp;_xlfn.XLOOKUP($A7,Tyoaikakoonti!$I$2:'Tyoaikakoonti'!$I$428,Tyoaikakoonti!CR$2:'Tyoaikakoonti'!CR$428)</f>
        <v>#N/A</v>
      </c>
      <c r="E9" s="9" t="e" cm="1">
        <f t="array" ref="E9">_xlfn.XLOOKUP($A7,Tyoaikakoonti!$I$2:'Tyoaikakoonti'!$I$428,Tyoaikakoonti!BC$2:'Tyoaikakoonti'!BC$428)&amp;_xlfn.XLOOKUP($A7,Tyoaikakoonti!$I$2:'Tyoaikakoonti'!$I$428,Tyoaikakoonti!BX$2:'Tyoaikakoonti'!BX$428)&amp;_xlfn.XLOOKUP($A7,Tyoaikakoonti!$I$2:'Tyoaikakoonti'!$I$428,Tyoaikakoonti!CS$2:'Tyoaikakoonti'!CS$428)</f>
        <v>#N/A</v>
      </c>
      <c r="F9" s="9" t="e" cm="1">
        <f t="array" ref="F9">_xlfn.XLOOKUP($A7,Tyoaikakoonti!$I$2:'Tyoaikakoonti'!$I$428,Tyoaikakoonti!BD$2:'Tyoaikakoonti'!BD$428)&amp;_xlfn.XLOOKUP($A7,Tyoaikakoonti!$I$2:'Tyoaikakoonti'!$I$428,Tyoaikakoonti!BY$2:'Tyoaikakoonti'!BY$428)&amp;_xlfn.XLOOKUP($A7,Tyoaikakoonti!$I$2:'Tyoaikakoonti'!$I$428,Tyoaikakoonti!CT$2:'Tyoaikakoonti'!CT$428)</f>
        <v>#N/A</v>
      </c>
      <c r="G9" s="9" t="e" cm="1">
        <f t="array" ref="G9">_xlfn.XLOOKUP($A7,Tyoaikakoonti!$I$2:'Tyoaikakoonti'!$I$428,Tyoaikakoonti!BE$2:'Tyoaikakoonti'!BE$428)&amp;_xlfn.XLOOKUP($A7,Tyoaikakoonti!$I$2:'Tyoaikakoonti'!$I$428,Tyoaikakoonti!BZ$2:'Tyoaikakoonti'!BZ$428)&amp;_xlfn.XLOOKUP($A7,Tyoaikakoonti!$I$2:'Tyoaikakoonti'!$I$428,Tyoaikakoonti!CU$2:'Tyoaikakoonti'!CU$428)</f>
        <v>#N/A</v>
      </c>
      <c r="H9" s="10" t="e" cm="1">
        <f t="array" ref="H9">_xlfn.XLOOKUP($A7,Tyoaikakoonti!$I$2:'Tyoaikakoonti'!$I$428,Tyoaikakoonti!BF$2:'Tyoaikakoonti'!BF$428)&amp;_xlfn.XLOOKUP($A7,Tyoaikakoonti!$I$2:'Tyoaikakoonti'!$I$428,Tyoaikakoonti!CA$2:'Tyoaikakoonti'!CA$428)&amp;_xlfn.XLOOKUP($A7,Tyoaikakoonti!$I$2:'Tyoaikakoonti'!$I$428,Tyoaikakoonti!CV$2:'Tyoaikakoonti'!CV$428)</f>
        <v>#N/A</v>
      </c>
      <c r="I9" s="9" t="e" cm="1">
        <f t="array" ref="I9">_xlfn.XLOOKUP($A7,Tyoaikakoonti!$I$2:'Tyoaikakoonti'!$I$428,Tyoaikakoonti!BG$2:'Tyoaikakoonti'!BG$428)&amp;_xlfn.XLOOKUP($A7,Tyoaikakoonti!$I$2:'Tyoaikakoonti'!$I$428,Tyoaikakoonti!CB$2:'Tyoaikakoonti'!CB$428)&amp;_xlfn.XLOOKUP($A7,Tyoaikakoonti!$I$2:'Tyoaikakoonti'!$I$428,Tyoaikakoonti!CW$2:'Tyoaikakoonti'!CW$428)</f>
        <v>#N/A</v>
      </c>
      <c r="J9" s="9" t="e" cm="1">
        <f t="array" ref="J9">_xlfn.XLOOKUP($A7,Tyoaikakoonti!$I$2:'Tyoaikakoonti'!$I$428,Tyoaikakoonti!BH$2:'Tyoaikakoonti'!BH$428)&amp;_xlfn.XLOOKUP($A7,Tyoaikakoonti!$I$2:'Tyoaikakoonti'!$I$428,Tyoaikakoonti!CC$2:'Tyoaikakoonti'!CC$428)&amp;_xlfn.XLOOKUP($A7,Tyoaikakoonti!$I$2:'Tyoaikakoonti'!$I$428,Tyoaikakoonti!CX$2:'Tyoaikakoonti'!CX$428)</f>
        <v>#N/A</v>
      </c>
      <c r="K9" s="9" t="e" cm="1">
        <f t="array" ref="K9">_xlfn.XLOOKUP($A7,Tyoaikakoonti!$I$2:'Tyoaikakoonti'!$I$428,Tyoaikakoonti!BI$2:'Tyoaikakoonti'!BI$428)&amp;_xlfn.XLOOKUP($A7,Tyoaikakoonti!$I$2:'Tyoaikakoonti'!$I$428,Tyoaikakoonti!CD$2:'Tyoaikakoonti'!CD$428)&amp;_xlfn.XLOOKUP($A7,Tyoaikakoonti!$I$2:'Tyoaikakoonti'!$I$428,Tyoaikakoonti!CY$2:'Tyoaikakoonti'!CY$428)</f>
        <v>#N/A</v>
      </c>
      <c r="L9" s="9" t="e" cm="1">
        <f t="array" ref="L9">_xlfn.XLOOKUP($A7,Tyoaikakoonti!$I$2:'Tyoaikakoonti'!$I$428,Tyoaikakoonti!BJ$2:'Tyoaikakoonti'!BJ$428)&amp;_xlfn.XLOOKUP($A7,Tyoaikakoonti!$I$2:'Tyoaikakoonti'!$I$428,Tyoaikakoonti!CE$2:'Tyoaikakoonti'!CE$428)&amp;_xlfn.XLOOKUP($A7,Tyoaikakoonti!$I$2:'Tyoaikakoonti'!$I$428,Tyoaikakoonti!CZ$2:'Tyoaikakoonti'!CZ$428)</f>
        <v>#N/A</v>
      </c>
      <c r="M9" s="9" t="e" cm="1">
        <f t="array" ref="M9">_xlfn.XLOOKUP($A7,Tyoaikakoonti!$I$2:'Tyoaikakoonti'!$I$428,Tyoaikakoonti!BK$2:'Tyoaikakoonti'!BK$428)&amp;_xlfn.XLOOKUP($A7,Tyoaikakoonti!$I$2:'Tyoaikakoonti'!$I$428,Tyoaikakoonti!CF$2:'Tyoaikakoonti'!CF$428)&amp;_xlfn.XLOOKUP($A7,Tyoaikakoonti!$I$2:'Tyoaikakoonti'!$I$428,Tyoaikakoonti!DA$2:'Tyoaikakoonti'!DA$428)</f>
        <v>#N/A</v>
      </c>
      <c r="N9" s="9" t="e" cm="1">
        <f t="array" ref="N9">_xlfn.XLOOKUP($A7,Tyoaikakoonti!$I$2:'Tyoaikakoonti'!$I$428,Tyoaikakoonti!BL$2:'Tyoaikakoonti'!BL$428)&amp;_xlfn.XLOOKUP($A7,Tyoaikakoonti!$I$2:'Tyoaikakoonti'!$I$428,Tyoaikakoonti!CG$2:'Tyoaikakoonti'!CG$428)&amp;_xlfn.XLOOKUP($A7,Tyoaikakoonti!$I$2:'Tyoaikakoonti'!$I$428,Tyoaikakoonti!DB$2:'Tyoaikakoonti'!DB$428)</f>
        <v>#N/A</v>
      </c>
      <c r="O9" s="10" t="e" cm="1">
        <f t="array" ref="O9">_xlfn.XLOOKUP($A7,Tyoaikakoonti!$I$2:'Tyoaikakoonti'!$I$428,Tyoaikakoonti!BM$2:'Tyoaikakoonti'!BM$428)&amp;_xlfn.XLOOKUP($A7,Tyoaikakoonti!$I$2:'Tyoaikakoonti'!$I$428,Tyoaikakoonti!CH$2:'Tyoaikakoonti'!CH$428)&amp;_xlfn.XLOOKUP($A7,Tyoaikakoonti!$I$2:'Tyoaikakoonti'!$I$428,Tyoaikakoonti!DC$2:'Tyoaikakoonti'!DC$428)</f>
        <v>#N/A</v>
      </c>
      <c r="P9" s="9" t="e" cm="1">
        <f t="array" ref="P9">_xlfn.XLOOKUP($A7,Tyoaikakoonti!$I$2:'Tyoaikakoonti'!$I$428,Tyoaikakoonti!BN$2:'Tyoaikakoonti'!BN$428)&amp;_xlfn.XLOOKUP($A7,Tyoaikakoonti!$I$2:'Tyoaikakoonti'!$I$428,Tyoaikakoonti!CI$2:'Tyoaikakoonti'!CI$428)&amp;_xlfn.XLOOKUP($A7,Tyoaikakoonti!$I$2:'Tyoaikakoonti'!$I$428,Tyoaikakoonti!DD$2:'Tyoaikakoonti'!DD$428)</f>
        <v>#N/A</v>
      </c>
      <c r="Q9" s="9" t="e" cm="1">
        <f t="array" ref="Q9">_xlfn.XLOOKUP($A7,Tyoaikakoonti!$I$2:'Tyoaikakoonti'!$I$428,Tyoaikakoonti!BO$2:'Tyoaikakoonti'!BO$428)&amp;_xlfn.XLOOKUP($A7,Tyoaikakoonti!$I$2:'Tyoaikakoonti'!$I$428,Tyoaikakoonti!CJ$2:'Tyoaikakoonti'!CJ$428)&amp;_xlfn.XLOOKUP($A7,Tyoaikakoonti!$I$2:'Tyoaikakoonti'!$I$428,Tyoaikakoonti!DE$2:'Tyoaikakoonti'!DE$428)</f>
        <v>#N/A</v>
      </c>
      <c r="R9" s="9" t="e" cm="1">
        <f t="array" ref="R9">_xlfn.XLOOKUP($A7,Tyoaikakoonti!$I$2:'Tyoaikakoonti'!$I$428,Tyoaikakoonti!BP$2:'Tyoaikakoonti'!BP$428)&amp;_xlfn.XLOOKUP($A7,Tyoaikakoonti!$I$2:'Tyoaikakoonti'!$I$428,Tyoaikakoonti!CK$2:'Tyoaikakoonti'!CK$428)&amp;_xlfn.XLOOKUP($A7,Tyoaikakoonti!$I$2:'Tyoaikakoonti'!$I$428,Tyoaikakoonti!DF$2:'Tyoaikakoonti'!DF$428)</f>
        <v>#N/A</v>
      </c>
      <c r="S9" s="9" t="e" cm="1">
        <f t="array" ref="S9">_xlfn.XLOOKUP($A7,Tyoaikakoonti!$I$2:'Tyoaikakoonti'!$I$428,Tyoaikakoonti!BQ$2:'Tyoaikakoonti'!BQ$428)&amp;_xlfn.XLOOKUP($A7,Tyoaikakoonti!$I$2:'Tyoaikakoonti'!$I$428,Tyoaikakoonti!CL$2:'Tyoaikakoonti'!CL$428)&amp;_xlfn.XLOOKUP($A7,Tyoaikakoonti!$I$2:'Tyoaikakoonti'!$I$428,Tyoaikakoonti!DG$2:'Tyoaikakoonti'!DG$428)</f>
        <v>#N/A</v>
      </c>
      <c r="T9" s="9" t="e" cm="1">
        <f t="array" ref="T9">_xlfn.XLOOKUP($A7,Tyoaikakoonti!$I$2:'Tyoaikakoonti'!$I$428,Tyoaikakoonti!BR$2:'Tyoaikakoonti'!BR$428)&amp;_xlfn.XLOOKUP($A7,Tyoaikakoonti!$I$2:'Tyoaikakoonti'!$I$428,Tyoaikakoonti!CM$2:'Tyoaikakoonti'!CM$428)&amp;_xlfn.XLOOKUP($A7,Tyoaikakoonti!$I$2:'Tyoaikakoonti'!$I$428,Tyoaikakoonti!DH$2:'Tyoaikakoonti'!DH$428)</f>
        <v>#N/A</v>
      </c>
      <c r="U9" s="9" t="e" cm="1">
        <f t="array" ref="U9">_xlfn.XLOOKUP($A7,Tyoaikakoonti!$I$2:'Tyoaikakoonti'!$I$428,Tyoaikakoonti!BS$2:'Tyoaikakoonti'!BS$428)&amp;_xlfn.XLOOKUP($A7,Tyoaikakoonti!$I$2:'Tyoaikakoonti'!$I$428,Tyoaikakoonti!CN$2:'Tyoaikakoonti'!CN$428)&amp;_xlfn.XLOOKUP($A7,Tyoaikakoonti!$I$2:'Tyoaikakoonti'!$I$428,Tyoaikakoonti!DI$2:'Tyoaikakoonti'!DI$428)</f>
        <v>#N/A</v>
      </c>
      <c r="V9" s="10" t="e" cm="1">
        <f t="array" ref="V9">_xlfn.XLOOKUP($A7,Tyoaikakoonti!$I$2:'Tyoaikakoonti'!$I$428,Tyoaikakoonti!BT$2:'Tyoaikakoonti'!BT$428)&amp;_xlfn.XLOOKUP($A7,Tyoaikakoonti!$I$2:'Tyoaikakoonti'!$I$428,Tyoaikakoonti!CO$2:'Tyoaikakoonti'!CO$428)&amp;_xlfn.XLOOKUP($A7,Tyoaikakoonti!$I$2:'Tyoaikakoonti'!$I$428,Tyoaikakoonti!DJ$2:'Tyoaikakoonti'!DJ$428)</f>
        <v>#N/A</v>
      </c>
      <c r="W9" s="11"/>
      <c r="X9" s="11"/>
    </row>
    <row r="10" spans="1:24" ht="40.5" customHeight="1" x14ac:dyDescent="0.25">
      <c r="A10" s="12" t="s">
        <v>200</v>
      </c>
      <c r="B10" s="9"/>
      <c r="C10" s="9"/>
      <c r="D10" s="9"/>
      <c r="E10" s="9"/>
      <c r="F10" s="9"/>
      <c r="G10" s="9" t="e">
        <f>IF(G7="3 6:00-10:00             ", "varalla","")</f>
        <v>#N/A</v>
      </c>
      <c r="H10" s="10" t="e">
        <f>IF(H7="3 6:00-10:00             ", "varalla","")</f>
        <v>#N/A</v>
      </c>
      <c r="I10" s="9"/>
      <c r="J10" s="9"/>
      <c r="K10" s="9"/>
      <c r="L10" s="9"/>
      <c r="M10" s="9"/>
      <c r="N10" s="9" t="e">
        <f>IF(N7="3 6:00-10:00             ", "varalla","")</f>
        <v>#N/A</v>
      </c>
      <c r="O10" s="10" t="e">
        <f>IF(O7="3 6:00-10:00             ", "varalla","")</f>
        <v>#N/A</v>
      </c>
      <c r="P10" s="9"/>
      <c r="Q10" s="9"/>
      <c r="R10" s="9"/>
      <c r="S10" s="9"/>
      <c r="T10" s="9"/>
      <c r="U10" s="9" t="e">
        <f>IF(U7="3 6:00-10:00             ", "varalla","")</f>
        <v>#N/A</v>
      </c>
      <c r="V10" s="10" t="e">
        <f>IF(V7="3 6:00-10:00             ", "varalla","")</f>
        <v>#N/A</v>
      </c>
      <c r="W10" s="11"/>
      <c r="X10" s="11"/>
    </row>
    <row r="11" spans="1:24" ht="40.5" customHeight="1" thickBot="1" x14ac:dyDescent="0.3">
      <c r="A11" s="95" t="s">
        <v>201</v>
      </c>
      <c r="B11" s="96"/>
      <c r="C11" s="96"/>
      <c r="D11" s="96"/>
      <c r="E11" s="96"/>
      <c r="F11" s="96"/>
      <c r="G11" s="96"/>
      <c r="H11" s="97"/>
      <c r="I11" s="96"/>
      <c r="J11" s="96"/>
      <c r="K11" s="96"/>
      <c r="L11" s="96"/>
      <c r="M11" s="96"/>
      <c r="N11" s="96"/>
      <c r="O11" s="97"/>
      <c r="P11" s="96"/>
      <c r="Q11" s="96"/>
      <c r="R11" s="96"/>
      <c r="S11" s="96"/>
      <c r="T11" s="96"/>
      <c r="U11" s="96"/>
      <c r="V11" s="97"/>
      <c r="W11" s="98"/>
      <c r="X11" s="98"/>
    </row>
    <row r="12" spans="1:24" ht="111" customHeight="1" x14ac:dyDescent="0.25">
      <c r="A12" s="99" t="s">
        <v>213</v>
      </c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2"/>
    </row>
    <row r="13" spans="1:24" ht="108" customHeight="1" thickBot="1" x14ac:dyDescent="0.3">
      <c r="A13" s="100" t="s">
        <v>2</v>
      </c>
      <c r="B13" s="103"/>
      <c r="C13" s="103"/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  <c r="S13" s="103"/>
      <c r="T13" s="103"/>
      <c r="U13" s="103"/>
      <c r="V13" s="103"/>
      <c r="W13" s="103"/>
      <c r="X13" s="104"/>
    </row>
    <row r="15" spans="1:24" x14ac:dyDescent="0.25">
      <c r="E15" s="2" t="s">
        <v>95</v>
      </c>
    </row>
  </sheetData>
  <dataConsolidate/>
  <mergeCells count="1">
    <mergeCell ref="A1:X1"/>
  </mergeCells>
  <conditionalFormatting sqref="A2:XFD5 B12:X13 A6 W6:XFD6">
    <cfRule type="cellIs" dxfId="140" priority="26" operator="equal">
      <formula>0</formula>
    </cfRule>
  </conditionalFormatting>
  <conditionalFormatting sqref="I8:N9 P8:U9 W8:X9 B8:G9 B7:X7">
    <cfRule type="cellIs" dxfId="139" priority="13" operator="equal">
      <formula>0</formula>
    </cfRule>
  </conditionalFormatting>
  <conditionalFormatting sqref="A1:X1">
    <cfRule type="cellIs" dxfId="138" priority="1" operator="equal">
      <formula>"Vain koko päiväkoti"</formula>
    </cfRule>
    <cfRule type="cellIs" dxfId="137" priority="2" operator="equal">
      <formula>"Ei"</formula>
    </cfRule>
    <cfRule type="cellIs" dxfId="136" priority="3" operator="equal">
      <formula>"Usvaset"</formula>
    </cfRule>
    <cfRule type="cellIs" dxfId="135" priority="4" operator="equal">
      <formula>"Utuset"</formula>
    </cfRule>
    <cfRule type="cellIs" dxfId="134" priority="5" operator="equal">
      <formula>"Myötätuulet"</formula>
    </cfRule>
    <cfRule type="cellIs" dxfId="133" priority="6" operator="equal">
      <formula>"Lounatuulet"</formula>
    </cfRule>
    <cfRule type="cellIs" dxfId="132" priority="7" operator="equal">
      <formula>"Iltatuulet"</formula>
    </cfRule>
  </conditionalFormatting>
  <printOptions horizontalCentered="1" gridLines="1"/>
  <pageMargins left="0.23622047244094491" right="0.23622047244094491" top="0.15748031496062992" bottom="0.15748031496062992" header="0.31496062992125984" footer="0.31496062992125984"/>
  <pageSetup paperSize="8" scale="65" fitToHeight="5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BD08E-ED65-4411-8C21-C9367E9A8D73}">
  <sheetPr codeName="Taul41">
    <tabColor rgb="FFFFFF00"/>
  </sheetPr>
  <dimension ref="A1:H11"/>
  <sheetViews>
    <sheetView zoomScale="160" zoomScaleNormal="160" workbookViewId="0">
      <selection activeCell="B8" sqref="B8"/>
    </sheetView>
  </sheetViews>
  <sheetFormatPr defaultRowHeight="15" x14ac:dyDescent="0.25"/>
  <cols>
    <col min="1" max="1" width="14.7109375" customWidth="1"/>
    <col min="2" max="2" width="15.28515625" style="26" customWidth="1"/>
    <col min="3" max="8" width="11.7109375" style="26" customWidth="1"/>
  </cols>
  <sheetData>
    <row r="1" spans="1:8" ht="52.15" customHeight="1" x14ac:dyDescent="0.25">
      <c r="A1" s="189"/>
      <c r="B1" s="189"/>
      <c r="C1" s="40" t="s">
        <v>202</v>
      </c>
      <c r="D1" s="64" t="str">
        <f>Isojen_lista!I2 &amp; ": " &amp; Isojen_lista!I3</f>
        <v xml:space="preserve">   :    </v>
      </c>
      <c r="E1" s="38"/>
      <c r="F1" s="39"/>
      <c r="G1" s="30"/>
      <c r="H1" s="39" t="str">
        <f>"Viikko: "&amp;WEEKNUM(B6)</f>
        <v>Viikko: 40</v>
      </c>
    </row>
    <row r="2" spans="1:8" ht="15.75" customHeight="1" x14ac:dyDescent="0.25">
      <c r="A2" s="27" t="s">
        <v>210</v>
      </c>
      <c r="B2" s="46"/>
      <c r="C2" s="46"/>
      <c r="D2" s="46"/>
      <c r="E2" s="46"/>
      <c r="F2" s="46"/>
      <c r="G2" s="55"/>
      <c r="H2" s="55"/>
    </row>
    <row r="3" spans="1:8" ht="15.75" customHeight="1" x14ac:dyDescent="0.25">
      <c r="A3" s="27" t="s">
        <v>211</v>
      </c>
      <c r="B3" s="46"/>
      <c r="C3" s="46"/>
      <c r="D3" s="46"/>
      <c r="E3" s="46"/>
      <c r="F3" s="46"/>
      <c r="G3" s="55"/>
      <c r="H3" s="55"/>
    </row>
    <row r="4" spans="1:8" ht="15.75" customHeight="1" thickBot="1" x14ac:dyDescent="0.3">
      <c r="A4" s="27" t="s">
        <v>212</v>
      </c>
      <c r="B4" s="107"/>
      <c r="C4" s="107"/>
      <c r="D4" s="107"/>
      <c r="E4" s="107"/>
      <c r="F4" s="107"/>
      <c r="G4" s="108"/>
      <c r="H4" s="108"/>
    </row>
    <row r="5" spans="1:8" ht="12.75" customHeight="1" x14ac:dyDescent="0.25">
      <c r="A5" s="185"/>
      <c r="B5" s="28" t="s">
        <v>203</v>
      </c>
      <c r="C5" s="29" t="s">
        <v>204</v>
      </c>
      <c r="D5" s="29" t="s">
        <v>205</v>
      </c>
      <c r="E5" s="29" t="s">
        <v>206</v>
      </c>
      <c r="F5" s="29" t="s">
        <v>207</v>
      </c>
      <c r="G5" s="21" t="s">
        <v>208</v>
      </c>
      <c r="H5" s="22" t="s">
        <v>209</v>
      </c>
    </row>
    <row r="6" spans="1:8" ht="15.6" customHeight="1" thickBot="1" x14ac:dyDescent="0.3">
      <c r="A6" s="186"/>
      <c r="B6" s="65">
        <f>DATEVALUE(LEFT(Kopiot!S8,2)&amp;"."&amp;MID(Kopiot!S8,4,2)&amp;"."&amp;MID(Kopiot!S8,7,4))</f>
        <v>43739</v>
      </c>
      <c r="C6" s="65">
        <f>B6+1</f>
        <v>43740</v>
      </c>
      <c r="D6" s="65">
        <f t="shared" ref="D6:H6" si="0">C6+1</f>
        <v>43741</v>
      </c>
      <c r="E6" s="65">
        <f t="shared" si="0"/>
        <v>43742</v>
      </c>
      <c r="F6" s="65">
        <f t="shared" si="0"/>
        <v>43743</v>
      </c>
      <c r="G6" s="65">
        <f t="shared" si="0"/>
        <v>43744</v>
      </c>
      <c r="H6" s="65">
        <f t="shared" si="0"/>
        <v>43745</v>
      </c>
    </row>
    <row r="7" spans="1:8" ht="19.5" customHeight="1" thickBot="1" x14ac:dyDescent="0.3">
      <c r="A7" s="187" t="s">
        <v>199</v>
      </c>
      <c r="B7" s="31" t="e" cm="1">
        <f t="array" ref="B7">_xlfn.XLOOKUP($A7,Tyoaikakoonti!$I$2:'Tyoaikakoonti'!$I$428,Tyoaikakoonti!J$2:'Tyoaikakoonti'!J$428)</f>
        <v>#N/A</v>
      </c>
      <c r="C7" s="31" t="e" cm="1">
        <f t="array" ref="C7">_xlfn.XLOOKUP($A7,Tyoaikakoonti!$I$2:'Tyoaikakoonti'!$I$428,Tyoaikakoonti!K$2:'Tyoaikakoonti'!K$428)</f>
        <v>#N/A</v>
      </c>
      <c r="D7" s="31" t="e" cm="1">
        <f t="array" ref="D7">_xlfn.XLOOKUP($A7,Tyoaikakoonti!$I$2:'Tyoaikakoonti'!$I$428,Tyoaikakoonti!L$2:'Tyoaikakoonti'!L$428)</f>
        <v>#N/A</v>
      </c>
      <c r="E7" s="31" t="e" cm="1">
        <f t="array" ref="E7">_xlfn.XLOOKUP($A7,Tyoaikakoonti!$I$2:'Tyoaikakoonti'!$I$428,Tyoaikakoonti!M$2:'Tyoaikakoonti'!M$428)</f>
        <v>#N/A</v>
      </c>
      <c r="F7" s="31" t="e" cm="1">
        <f t="array" ref="F7">_xlfn.XLOOKUP($A7,Tyoaikakoonti!$I$2:'Tyoaikakoonti'!$I$428,Tyoaikakoonti!N$2:'Tyoaikakoonti'!N$428)</f>
        <v>#N/A</v>
      </c>
      <c r="G7" s="41" t="e" cm="1">
        <f t="array" ref="G7">_xlfn.XLOOKUP($A7,Tyoaikakoonti!$I$2:'Tyoaikakoonti'!$I$428,Tyoaikakoonti!O$2:'Tyoaikakoonti'!O$428)</f>
        <v>#N/A</v>
      </c>
      <c r="H7" s="42" t="e" cm="1">
        <f t="array" ref="H7">_xlfn.XLOOKUP($A7,Tyoaikakoonti!$I$2:'Tyoaikakoonti'!$I$428,Tyoaikakoonti!P$2:'Tyoaikakoonti'!P$428)</f>
        <v>#N/A</v>
      </c>
    </row>
    <row r="8" spans="1:8" ht="15.75" customHeight="1" thickBot="1" x14ac:dyDescent="0.3">
      <c r="A8" s="188"/>
      <c r="B8" s="33" t="e" cm="1">
        <f t="array" ref="B8">_xlfn.XLOOKUP($A7,Tyoaikakoonti!$I$2:'Tyoaikakoonti'!$I$428,Tyoaikakoonti!AE$2:'Tyoaikakoonti'!AE$428)</f>
        <v>#N/A</v>
      </c>
      <c r="C8" s="33" t="e" cm="1">
        <f t="array" ref="C8">_xlfn.XLOOKUP($A7,Tyoaikakoonti!$I$2:'Tyoaikakoonti'!$I$428,Tyoaikakoonti!AF$2:'Tyoaikakoonti'!AF$428)</f>
        <v>#N/A</v>
      </c>
      <c r="D8" s="33" t="e" cm="1">
        <f t="array" ref="D8">_xlfn.XLOOKUP($A7,Tyoaikakoonti!$I$2:'Tyoaikakoonti'!$I$428,Tyoaikakoonti!AG$2:'Tyoaikakoonti'!AG$428)</f>
        <v>#N/A</v>
      </c>
      <c r="E8" s="33" t="e" cm="1">
        <f t="array" ref="E8">_xlfn.XLOOKUP($A7,Tyoaikakoonti!$I$2:'Tyoaikakoonti'!$I$428,Tyoaikakoonti!AH$2:'Tyoaikakoonti'!AH$428)</f>
        <v>#N/A</v>
      </c>
      <c r="F8" s="33" t="e" cm="1">
        <f t="array" ref="F8">_xlfn.XLOOKUP($A7,Tyoaikakoonti!$I$2:'Tyoaikakoonti'!$I$428,Tyoaikakoonti!AI$2:'Tyoaikakoonti'!AI$428)</f>
        <v>#N/A</v>
      </c>
      <c r="G8" s="43" t="e" cm="1">
        <f t="array" ref="G8">_xlfn.XLOOKUP($A7,Tyoaikakoonti!$I$2:'Tyoaikakoonti'!$I$428,Tyoaikakoonti!AJ$2:'Tyoaikakoonti'!AJ$428)</f>
        <v>#N/A</v>
      </c>
      <c r="H8" s="44" t="e" cm="1">
        <f t="array" ref="H8">_xlfn.XLOOKUP($A7,Tyoaikakoonti!$I$2:'Tyoaikakoonti'!$I$428,Tyoaikakoonti!AK$2:'Tyoaikakoonti'!AK$428)</f>
        <v>#N/A</v>
      </c>
    </row>
    <row r="9" spans="1:8" s="7" customFormat="1" ht="25.5" customHeight="1" thickBot="1" x14ac:dyDescent="0.3">
      <c r="A9" s="35" t="e" cm="1">
        <f t="array" ref="A9">_xlfn.XLOOKUP(A7,#REF!:#REF!,#REF!:#REF!,"")</f>
        <v>#REF!</v>
      </c>
      <c r="B9" s="34" t="e" cm="1">
        <f t="array" ref="B9">_xlfn.XLOOKUP($A7,Tyoaikakoonti!$I$2:'Tyoaikakoonti'!$I$428,Tyoaikakoonti!AZ$2:'Tyoaikakoonti'!AZ$428)&amp;_xlfn.XLOOKUP($A7,Tyoaikakoonti!$I$2:'Tyoaikakoonti'!$I$428,Tyoaikakoonti!BU$2:'Tyoaikakoonti'!BU$428)&amp;_xlfn.XLOOKUP($A7,Tyoaikakoonti!$I$2:'Tyoaikakoonti'!$I$428,Tyoaikakoonti!CP$2:'Tyoaikakoonti'!CP$428)</f>
        <v>#N/A</v>
      </c>
      <c r="C9" s="34" t="e" cm="1">
        <f t="array" ref="C9">_xlfn.XLOOKUP($A7,Tyoaikakoonti!$I$2:'Tyoaikakoonti'!$I$428,Tyoaikakoonti!BA$2:'Tyoaikakoonti'!BA$428)&amp;_xlfn.XLOOKUP($A7,Tyoaikakoonti!$I$2:'Tyoaikakoonti'!$I$428,Tyoaikakoonti!BV$2:'Tyoaikakoonti'!BV$428)&amp;_xlfn.XLOOKUP($A7,Tyoaikakoonti!$I$2:'Tyoaikakoonti'!$I$428,Tyoaikakoonti!CQ$2:'Tyoaikakoonti'!CQ$428)</f>
        <v>#N/A</v>
      </c>
      <c r="D9" s="34" t="e" cm="1">
        <f t="array" ref="D9">_xlfn.XLOOKUP($A7,Tyoaikakoonti!$I$2:'Tyoaikakoonti'!$I$428,Tyoaikakoonti!BB$2:'Tyoaikakoonti'!BB$428)&amp;_xlfn.XLOOKUP($A7,Tyoaikakoonti!$I$2:'Tyoaikakoonti'!$I$428,Tyoaikakoonti!BW$2:'Tyoaikakoonti'!BW$428)&amp;_xlfn.XLOOKUP($A7,Tyoaikakoonti!$I$2:'Tyoaikakoonti'!$I$428,Tyoaikakoonti!CR$2:'Tyoaikakoonti'!CR$428)</f>
        <v>#N/A</v>
      </c>
      <c r="E9" s="34" t="e" cm="1">
        <f t="array" ref="E9">_xlfn.XLOOKUP($A7,Tyoaikakoonti!$I$2:'Tyoaikakoonti'!$I$428,Tyoaikakoonti!BC$2:'Tyoaikakoonti'!BC$428)&amp;_xlfn.XLOOKUP($A7,Tyoaikakoonti!$I$2:'Tyoaikakoonti'!$I$428,Tyoaikakoonti!BX$2:'Tyoaikakoonti'!BX$428)&amp;_xlfn.XLOOKUP($A7,Tyoaikakoonti!$I$2:'Tyoaikakoonti'!$I$428,Tyoaikakoonti!CS$2:'Tyoaikakoonti'!CS$428)</f>
        <v>#N/A</v>
      </c>
      <c r="F9" s="34" t="e" cm="1">
        <f t="array" ref="F9">_xlfn.XLOOKUP($A7,Tyoaikakoonti!$I$2:'Tyoaikakoonti'!$I$428,Tyoaikakoonti!BD$2:'Tyoaikakoonti'!BD$428)&amp;_xlfn.XLOOKUP($A7,Tyoaikakoonti!$I$2:'Tyoaikakoonti'!$I$428,Tyoaikakoonti!BY$2:'Tyoaikakoonti'!BY$428)&amp;_xlfn.XLOOKUP($A7,Tyoaikakoonti!$I$2:'Tyoaikakoonti'!$I$428,Tyoaikakoonti!CT$2:'Tyoaikakoonti'!CT$428)</f>
        <v>#N/A</v>
      </c>
      <c r="G9" s="45" t="e">
        <f>IF(G7="3 6:00-10:00             ", "varalla","")</f>
        <v>#N/A</v>
      </c>
      <c r="H9" s="45" t="e">
        <f>IF(H7="3 6:00-10:00             ", "varalla","")</f>
        <v>#N/A</v>
      </c>
    </row>
    <row r="10" spans="1:8" ht="50.25" customHeight="1" thickBot="1" x14ac:dyDescent="0.3">
      <c r="A10" s="105" t="s">
        <v>213</v>
      </c>
      <c r="B10" s="79"/>
      <c r="C10" s="79"/>
      <c r="D10" s="79"/>
      <c r="E10" s="79"/>
      <c r="F10" s="141"/>
      <c r="G10" s="143"/>
      <c r="H10" s="140"/>
    </row>
    <row r="11" spans="1:8" ht="69" customHeight="1" thickBot="1" x14ac:dyDescent="0.3">
      <c r="A11" s="37" t="s">
        <v>2</v>
      </c>
      <c r="B11" s="79"/>
      <c r="C11" s="79"/>
      <c r="D11" s="79"/>
      <c r="E11" s="79"/>
      <c r="F11" s="141"/>
      <c r="G11" s="145"/>
      <c r="H11" s="145"/>
    </row>
  </sheetData>
  <dataConsolidate/>
  <mergeCells count="3">
    <mergeCell ref="A5:A6"/>
    <mergeCell ref="A7:A8"/>
    <mergeCell ref="A1:B1"/>
  </mergeCells>
  <conditionalFormatting sqref="B7:H8">
    <cfRule type="containsText" dxfId="131" priority="452" operator="containsText" text="IT: ">
      <formula>NOT(ISERROR(SEARCH("IT: ",B7)))</formula>
    </cfRule>
    <cfRule type="containsText" dxfId="130" priority="453" operator="containsText" text="TU: ">
      <formula>NOT(ISERROR(SEARCH("TU: ",B7)))</formula>
    </cfRule>
    <cfRule type="containsText" dxfId="129" priority="454" operator="containsText" text="US: ">
      <formula>NOT(ISERROR(SEARCH("US: ",B7)))</formula>
    </cfRule>
    <cfRule type="containsText" dxfId="128" priority="455" operator="containsText" text="MT: ">
      <formula>NOT(ISERROR(SEARCH("MT: ",B7)))</formula>
    </cfRule>
    <cfRule type="containsText" dxfId="127" priority="456" operator="containsText" text="LT: ">
      <formula>NOT(ISERROR(SEARCH("LT: ",B7)))</formula>
    </cfRule>
    <cfRule type="cellIs" dxfId="126" priority="457" operator="equal">
      <formula>0</formula>
    </cfRule>
  </conditionalFormatting>
  <conditionalFormatting sqref="B10:F10">
    <cfRule type="containsText" dxfId="125" priority="446" operator="containsText" text="IT: ">
      <formula>NOT(ISERROR(SEARCH("IT: ",B10)))</formula>
    </cfRule>
    <cfRule type="containsText" dxfId="124" priority="447" operator="containsText" text="TU: ">
      <formula>NOT(ISERROR(SEARCH("TU: ",B10)))</formula>
    </cfRule>
    <cfRule type="containsText" dxfId="123" priority="448" operator="containsText" text="US: ">
      <formula>NOT(ISERROR(SEARCH("US: ",B10)))</formula>
    </cfRule>
    <cfRule type="containsText" dxfId="122" priority="449" operator="containsText" text="MT: ">
      <formula>NOT(ISERROR(SEARCH("MT: ",B10)))</formula>
    </cfRule>
    <cfRule type="containsText" dxfId="121" priority="450" operator="containsText" text="LT: ">
      <formula>NOT(ISERROR(SEARCH("LT: ",B10)))</formula>
    </cfRule>
    <cfRule type="cellIs" dxfId="120" priority="451" operator="equal">
      <formula>0</formula>
    </cfRule>
  </conditionalFormatting>
  <conditionalFormatting sqref="A9">
    <cfRule type="containsText" dxfId="119" priority="440" operator="containsText" text="IT: ">
      <formula>NOT(ISERROR(SEARCH("IT: ",A9)))</formula>
    </cfRule>
    <cfRule type="containsText" dxfId="118" priority="441" operator="containsText" text="TU: ">
      <formula>NOT(ISERROR(SEARCH("TU: ",A9)))</formula>
    </cfRule>
    <cfRule type="containsText" dxfId="117" priority="442" operator="containsText" text="US: ">
      <formula>NOT(ISERROR(SEARCH("US: ",A9)))</formula>
    </cfRule>
    <cfRule type="containsText" dxfId="116" priority="443" operator="containsText" text="MT: ">
      <formula>NOT(ISERROR(SEARCH("MT: ",A9)))</formula>
    </cfRule>
    <cfRule type="containsText" dxfId="115" priority="444" operator="containsText" text="LT: ">
      <formula>NOT(ISERROR(SEARCH("LT: ",A9)))</formula>
    </cfRule>
    <cfRule type="cellIs" dxfId="114" priority="445" operator="equal">
      <formula>0</formula>
    </cfRule>
  </conditionalFormatting>
  <conditionalFormatting sqref="B9:F9">
    <cfRule type="containsText" dxfId="113" priority="368" operator="containsText" text="IT: ">
      <formula>NOT(ISERROR(SEARCH("IT: ",B9)))</formula>
    </cfRule>
    <cfRule type="containsText" dxfId="112" priority="369" operator="containsText" text="TU: ">
      <formula>NOT(ISERROR(SEARCH("TU: ",B9)))</formula>
    </cfRule>
    <cfRule type="containsText" dxfId="111" priority="370" operator="containsText" text="US: ">
      <formula>NOT(ISERROR(SEARCH("US: ",B9)))</formula>
    </cfRule>
    <cfRule type="containsText" dxfId="110" priority="371" operator="containsText" text="MT: ">
      <formula>NOT(ISERROR(SEARCH("MT: ",B9)))</formula>
    </cfRule>
    <cfRule type="containsText" dxfId="109" priority="372" operator="containsText" text="LT: ">
      <formula>NOT(ISERROR(SEARCH("LT: ",B9)))</formula>
    </cfRule>
    <cfRule type="cellIs" dxfId="108" priority="373" operator="equal">
      <formula>0</formula>
    </cfRule>
  </conditionalFormatting>
  <conditionalFormatting sqref="B11:F11">
    <cfRule type="containsText" dxfId="107" priority="235" operator="containsText" text="IT: ">
      <formula>NOT(ISERROR(SEARCH("IT: ",B11)))</formula>
    </cfRule>
    <cfRule type="containsText" dxfId="106" priority="236" operator="containsText" text="TU: ">
      <formula>NOT(ISERROR(SEARCH("TU: ",B11)))</formula>
    </cfRule>
    <cfRule type="containsText" dxfId="105" priority="237" operator="containsText" text="US: ">
      <formula>NOT(ISERROR(SEARCH("US: ",B11)))</formula>
    </cfRule>
    <cfRule type="containsText" dxfId="104" priority="238" operator="containsText" text="MT: ">
      <formula>NOT(ISERROR(SEARCH("MT: ",B11)))</formula>
    </cfRule>
    <cfRule type="containsText" dxfId="103" priority="239" operator="containsText" text="LT: ">
      <formula>NOT(ISERROR(SEARCH("LT: ",B11)))</formula>
    </cfRule>
    <cfRule type="cellIs" dxfId="102" priority="240" operator="equal">
      <formula>0</formula>
    </cfRule>
  </conditionalFormatting>
  <conditionalFormatting sqref="G9">
    <cfRule type="containsText" dxfId="101" priority="19" operator="containsText" text="IT: ">
      <formula>NOT(ISERROR(SEARCH("IT: ",G9)))</formula>
    </cfRule>
    <cfRule type="containsText" dxfId="100" priority="20" operator="containsText" text="TU: ">
      <formula>NOT(ISERROR(SEARCH("TU: ",G9)))</formula>
    </cfRule>
    <cfRule type="containsText" dxfId="99" priority="21" operator="containsText" text="US: ">
      <formula>NOT(ISERROR(SEARCH("US: ",G9)))</formula>
    </cfRule>
    <cfRule type="containsText" dxfId="98" priority="22" operator="containsText" text="MT: ">
      <formula>NOT(ISERROR(SEARCH("MT: ",G9)))</formula>
    </cfRule>
    <cfRule type="containsText" dxfId="97" priority="23" operator="containsText" text="LT: ">
      <formula>NOT(ISERROR(SEARCH("LT: ",G9)))</formula>
    </cfRule>
    <cfRule type="cellIs" dxfId="96" priority="24" operator="equal">
      <formula>0</formula>
    </cfRule>
  </conditionalFormatting>
  <conditionalFormatting sqref="H9">
    <cfRule type="containsText" dxfId="95" priority="13" operator="containsText" text="IT: ">
      <formula>NOT(ISERROR(SEARCH("IT: ",H9)))</formula>
    </cfRule>
    <cfRule type="containsText" dxfId="94" priority="14" operator="containsText" text="TU: ">
      <formula>NOT(ISERROR(SEARCH("TU: ",H9)))</formula>
    </cfRule>
    <cfRule type="containsText" dxfId="93" priority="15" operator="containsText" text="US: ">
      <formula>NOT(ISERROR(SEARCH("US: ",H9)))</formula>
    </cfRule>
    <cfRule type="containsText" dxfId="92" priority="16" operator="containsText" text="MT: ">
      <formula>NOT(ISERROR(SEARCH("MT: ",H9)))</formula>
    </cfRule>
    <cfRule type="containsText" dxfId="91" priority="17" operator="containsText" text="LT: ">
      <formula>NOT(ISERROR(SEARCH("LT: ",H9)))</formula>
    </cfRule>
    <cfRule type="cellIs" dxfId="90" priority="18" operator="equal">
      <formula>0</formula>
    </cfRule>
  </conditionalFormatting>
  <conditionalFormatting sqref="G11:H11">
    <cfRule type="containsText" dxfId="89" priority="7" operator="containsText" text="IT: ">
      <formula>NOT(ISERROR(SEARCH("IT: ",G11)))</formula>
    </cfRule>
    <cfRule type="containsText" dxfId="88" priority="8" operator="containsText" text="TU: ">
      <formula>NOT(ISERROR(SEARCH("TU: ",G11)))</formula>
    </cfRule>
    <cfRule type="containsText" dxfId="87" priority="9" operator="containsText" text="US: ">
      <formula>NOT(ISERROR(SEARCH("US: ",G11)))</formula>
    </cfRule>
    <cfRule type="containsText" dxfId="86" priority="10" operator="containsText" text="MT: ">
      <formula>NOT(ISERROR(SEARCH("MT: ",G11)))</formula>
    </cfRule>
    <cfRule type="containsText" dxfId="85" priority="11" operator="containsText" text="LT: ">
      <formula>NOT(ISERROR(SEARCH("LT: ",G11)))</formula>
    </cfRule>
    <cfRule type="cellIs" dxfId="84" priority="12" operator="equal">
      <formula>0</formula>
    </cfRule>
  </conditionalFormatting>
  <conditionalFormatting sqref="G10:H10">
    <cfRule type="containsText" dxfId="83" priority="1" operator="containsText" text="IT: ">
      <formula>NOT(ISERROR(SEARCH("IT: ",G10)))</formula>
    </cfRule>
    <cfRule type="containsText" dxfId="82" priority="2" operator="containsText" text="TU: ">
      <formula>NOT(ISERROR(SEARCH("TU: ",G10)))</formula>
    </cfRule>
    <cfRule type="containsText" dxfId="81" priority="3" operator="containsText" text="US: ">
      <formula>NOT(ISERROR(SEARCH("US: ",G10)))</formula>
    </cfRule>
    <cfRule type="containsText" dxfId="80" priority="4" operator="containsText" text="MT: ">
      <formula>NOT(ISERROR(SEARCH("MT: ",G10)))</formula>
    </cfRule>
    <cfRule type="containsText" dxfId="79" priority="5" operator="containsText" text="LT: ">
      <formula>NOT(ISERROR(SEARCH("LT: ",G10)))</formula>
    </cfRule>
    <cfRule type="cellIs" dxfId="78" priority="6" operator="equal">
      <formula>0</formula>
    </cfRule>
  </conditionalFormatting>
  <printOptions horizontalCentered="1"/>
  <pageMargins left="0.23622047244094491" right="0.23622047244094491" top="0.15748031496062992" bottom="0.15748031496062992" header="0.31496062992125984" footer="0.31496062992125984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BA70D-0371-4D20-94D0-224B25E25B37}">
  <sheetPr codeName="Taul42">
    <tabColor rgb="FF0070C0"/>
  </sheetPr>
  <dimension ref="A1:H11"/>
  <sheetViews>
    <sheetView zoomScale="175" zoomScaleNormal="175" workbookViewId="0">
      <selection activeCell="B6" sqref="B6:C6"/>
    </sheetView>
  </sheetViews>
  <sheetFormatPr defaultRowHeight="15" x14ac:dyDescent="0.25"/>
  <cols>
    <col min="1" max="1" width="14.7109375" customWidth="1"/>
    <col min="2" max="8" width="11.7109375" style="26" customWidth="1"/>
  </cols>
  <sheetData>
    <row r="1" spans="1:8" ht="52.15" customHeight="1" x14ac:dyDescent="0.25">
      <c r="A1" s="190"/>
      <c r="B1" s="190"/>
      <c r="C1" s="40" t="s">
        <v>202</v>
      </c>
      <c r="D1" s="64" t="str">
        <f>Isojen_lista!I2 &amp; ": " &amp; Isojen_lista!I3</f>
        <v xml:space="preserve">   :    </v>
      </c>
      <c r="E1" s="38"/>
      <c r="F1" s="39"/>
      <c r="G1" s="30"/>
      <c r="H1" s="39" t="str">
        <f>"Viikko: "&amp;WEEKNUM(B6)</f>
        <v>Viikko: 40</v>
      </c>
    </row>
    <row r="2" spans="1:8" ht="15.75" customHeight="1" x14ac:dyDescent="0.25">
      <c r="A2" s="27" t="s">
        <v>210</v>
      </c>
      <c r="B2" s="46"/>
      <c r="C2" s="106"/>
      <c r="D2" s="106"/>
      <c r="E2" s="46"/>
      <c r="F2" s="46"/>
      <c r="G2" s="55"/>
      <c r="H2" s="55"/>
    </row>
    <row r="3" spans="1:8" ht="15.75" customHeight="1" x14ac:dyDescent="0.25">
      <c r="A3" s="27" t="s">
        <v>211</v>
      </c>
      <c r="B3" s="46"/>
      <c r="C3" s="106"/>
      <c r="D3" s="46"/>
      <c r="E3" s="46"/>
      <c r="F3" s="46"/>
      <c r="G3" s="55"/>
      <c r="H3" s="55"/>
    </row>
    <row r="4" spans="1:8" ht="15.75" customHeight="1" thickBot="1" x14ac:dyDescent="0.3">
      <c r="A4" s="27" t="s">
        <v>212</v>
      </c>
      <c r="B4" s="110"/>
      <c r="C4" s="106"/>
      <c r="D4" s="46"/>
      <c r="E4" s="46"/>
      <c r="F4" s="46"/>
      <c r="G4" s="55"/>
      <c r="H4" s="55"/>
    </row>
    <row r="5" spans="1:8" ht="12.75" customHeight="1" x14ac:dyDescent="0.25">
      <c r="A5" s="185"/>
      <c r="B5" s="28" t="s">
        <v>203</v>
      </c>
      <c r="C5" s="29" t="s">
        <v>204</v>
      </c>
      <c r="D5" s="29" t="s">
        <v>205</v>
      </c>
      <c r="E5" s="29" t="s">
        <v>206</v>
      </c>
      <c r="F5" s="29" t="s">
        <v>207</v>
      </c>
      <c r="G5" s="21" t="s">
        <v>208</v>
      </c>
      <c r="H5" s="22" t="s">
        <v>209</v>
      </c>
    </row>
    <row r="6" spans="1:8" ht="18.75" customHeight="1" thickBot="1" x14ac:dyDescent="0.3">
      <c r="A6" s="186"/>
      <c r="B6" s="65">
        <f>DATEVALUE(LEFT(Kopiot!S8,2)&amp;"."&amp;MID(Kopiot!S8,4,2)&amp;"."&amp;MID(Kopiot!S8,7,4))</f>
        <v>43739</v>
      </c>
      <c r="C6" s="65">
        <f>B6+1</f>
        <v>43740</v>
      </c>
      <c r="D6" s="65">
        <f t="shared" ref="D6:H6" si="0">C6+1</f>
        <v>43741</v>
      </c>
      <c r="E6" s="65">
        <f t="shared" si="0"/>
        <v>43742</v>
      </c>
      <c r="F6" s="65">
        <f t="shared" si="0"/>
        <v>43743</v>
      </c>
      <c r="G6" s="65">
        <f t="shared" si="0"/>
        <v>43744</v>
      </c>
      <c r="H6" s="65">
        <f t="shared" si="0"/>
        <v>43745</v>
      </c>
    </row>
    <row r="7" spans="1:8" ht="19.5" customHeight="1" thickBot="1" x14ac:dyDescent="0.3">
      <c r="A7" s="187" t="s">
        <v>199</v>
      </c>
      <c r="B7" s="32" t="e" cm="1">
        <f t="array" ref="B7">_xlfn.XLOOKUP($A7,Tyoaikakoonti!$I$2:'Tyoaikakoonti'!$I$476,Tyoaikakoonti!Q$2:'Tyoaikakoonti'!Q$476)</f>
        <v>#N/A</v>
      </c>
      <c r="C7" s="32" t="e" cm="1">
        <f t="array" ref="C7">_xlfn.XLOOKUP($A7,Tyoaikakoonti!$I$2:'Tyoaikakoonti'!$I$476,Tyoaikakoonti!R$2:'Tyoaikakoonti'!R$476)</f>
        <v>#N/A</v>
      </c>
      <c r="D7" s="32" t="e" cm="1">
        <f t="array" ref="D7">_xlfn.XLOOKUP($A7,Tyoaikakoonti!$I$2:'Tyoaikakoonti'!$I$476,Tyoaikakoonti!S$2:'Tyoaikakoonti'!S$476)</f>
        <v>#N/A</v>
      </c>
      <c r="E7" s="32" t="e" cm="1">
        <f t="array" ref="E7">_xlfn.XLOOKUP($A7,Tyoaikakoonti!$I$2:'Tyoaikakoonti'!$I$476,Tyoaikakoonti!T$2:'Tyoaikakoonti'!T$476)</f>
        <v>#N/A</v>
      </c>
      <c r="F7" s="32" t="e" cm="1">
        <f t="array" ref="F7">_xlfn.XLOOKUP($A7,Tyoaikakoonti!$I$2:'Tyoaikakoonti'!$I$476,Tyoaikakoonti!U$2:'Tyoaikakoonti'!U$476)</f>
        <v>#N/A</v>
      </c>
      <c r="G7" s="41" t="e" cm="1">
        <f t="array" ref="G7">_xlfn.XLOOKUP($A7,Tyoaikakoonti!$I$2:'Tyoaikakoonti'!$I$476,Tyoaikakoonti!V$2:'Tyoaikakoonti'!V$476)</f>
        <v>#N/A</v>
      </c>
      <c r="H7" s="41" t="e" cm="1">
        <f t="array" ref="H7">_xlfn.XLOOKUP($A7,Tyoaikakoonti!$I$2:'Tyoaikakoonti'!$I$476,Tyoaikakoonti!W$2:'Tyoaikakoonti'!W$476)</f>
        <v>#N/A</v>
      </c>
    </row>
    <row r="8" spans="1:8" ht="15.75" customHeight="1" thickBot="1" x14ac:dyDescent="0.3">
      <c r="A8" s="188"/>
      <c r="B8" s="36" t="e" cm="1">
        <f t="array" ref="B8">_xlfn.XLOOKUP($A7,Tyoaikakoonti!$I$2:'Tyoaikakoonti'!$I$476,Tyoaikakoonti!AL$2:'Tyoaikakoonti'!AL$476)</f>
        <v>#N/A</v>
      </c>
      <c r="C8" s="36" t="e" cm="1">
        <f t="array" ref="C8">_xlfn.XLOOKUP($A7,Tyoaikakoonti!$I$2:'Tyoaikakoonti'!$I$476,Tyoaikakoonti!AM$2:'Tyoaikakoonti'!AM$476)</f>
        <v>#N/A</v>
      </c>
      <c r="D8" s="36" t="e" cm="1">
        <f t="array" ref="D8">_xlfn.XLOOKUP($A7,Tyoaikakoonti!$I$2:'Tyoaikakoonti'!$I$476,Tyoaikakoonti!AN$2:'Tyoaikakoonti'!AN$476)</f>
        <v>#N/A</v>
      </c>
      <c r="E8" s="36" t="e" cm="1">
        <f t="array" ref="E8">_xlfn.XLOOKUP($A7,Tyoaikakoonti!$I$2:'Tyoaikakoonti'!$I$476,Tyoaikakoonti!AO$2:'Tyoaikakoonti'!AO$476)</f>
        <v>#N/A</v>
      </c>
      <c r="F8" s="36" t="e" cm="1">
        <f t="array" ref="F8">_xlfn.XLOOKUP($A7,Tyoaikakoonti!$I$2:'Tyoaikakoonti'!$I$476,Tyoaikakoonti!AP$2:'Tyoaikakoonti'!AP$476)</f>
        <v>#N/A</v>
      </c>
      <c r="G8" s="45" t="e" cm="1">
        <f t="array" ref="G8">_xlfn.XLOOKUP($A7,Tyoaikakoonti!$I$2:'Tyoaikakoonti'!$I$476,Tyoaikakoonti!AQ$2:'Tyoaikakoonti'!AQ$476)</f>
        <v>#N/A</v>
      </c>
      <c r="H8" s="45" t="e" cm="1">
        <f t="array" ref="H8">_xlfn.XLOOKUP($A7,Tyoaikakoonti!$I$2:'Tyoaikakoonti'!$I$476,Tyoaikakoonti!AR$2:'Tyoaikakoonti'!AR$476)</f>
        <v>#N/A</v>
      </c>
    </row>
    <row r="9" spans="1:8" s="1" customFormat="1" ht="25.5" customHeight="1" thickBot="1" x14ac:dyDescent="0.3">
      <c r="A9" s="81" t="e" cm="1">
        <f t="array" ref="A9">_xlfn.XLOOKUP(A7,#REF!:#REF!,#REF!:#REF!,"")</f>
        <v>#REF!</v>
      </c>
      <c r="B9" s="83" t="e" cm="1">
        <f t="array" ref="B9">_xlfn.XLOOKUP($A7,Tyoaikakoonti!$I$2:'Tyoaikakoonti'!$I$476,Tyoaikakoonti!BG$2:'Tyoaikakoonti'!BG$476)&amp;_xlfn.XLOOKUP($A7,Tyoaikakoonti!$I$2:'Tyoaikakoonti'!$I$476,Tyoaikakoonti!CB$2:'Tyoaikakoonti'!CB$476)&amp;_xlfn.XLOOKUP($A7,Tyoaikakoonti!$I$2:'Tyoaikakoonti'!$I$476,Tyoaikakoonti!CW$2:'Tyoaikakoonti'!CW$476)</f>
        <v>#N/A</v>
      </c>
      <c r="C9" s="83" t="e" cm="1">
        <f t="array" ref="C9">_xlfn.XLOOKUP($A7,Tyoaikakoonti!$I$2:'Tyoaikakoonti'!$I$476,Tyoaikakoonti!BH$2:'Tyoaikakoonti'!BH$476)&amp;_xlfn.XLOOKUP($A7,Tyoaikakoonti!$I$2:'Tyoaikakoonti'!$I$476,Tyoaikakoonti!CC$2:'Tyoaikakoonti'!CC$476)&amp;_xlfn.XLOOKUP($A7,Tyoaikakoonti!$I$2:'Tyoaikakoonti'!$I$476,Tyoaikakoonti!CX$2:'Tyoaikakoonti'!CX$476)</f>
        <v>#N/A</v>
      </c>
      <c r="D9" s="83" t="e" cm="1">
        <f t="array" ref="D9">_xlfn.XLOOKUP($A7,Tyoaikakoonti!$I$2:'Tyoaikakoonti'!$I$476,Tyoaikakoonti!BI$2:'Tyoaikakoonti'!BI$476)&amp;_xlfn.XLOOKUP($A7,Tyoaikakoonti!$I$2:'Tyoaikakoonti'!$I$476,Tyoaikakoonti!CD$2:'Tyoaikakoonti'!CD$476)&amp;_xlfn.XLOOKUP($A7,Tyoaikakoonti!$I$2:'Tyoaikakoonti'!$I$476,Tyoaikakoonti!CY$2:'Tyoaikakoonti'!CY$476)</f>
        <v>#N/A</v>
      </c>
      <c r="E9" s="83" t="e" cm="1">
        <f t="array" ref="E9">_xlfn.XLOOKUP($A7,Tyoaikakoonti!$I$2:'Tyoaikakoonti'!$I$476,Tyoaikakoonti!BJ$2:'Tyoaikakoonti'!BJ$476)&amp;_xlfn.XLOOKUP($A7,Tyoaikakoonti!$I$2:'Tyoaikakoonti'!$I$476,Tyoaikakoonti!CE$2:'Tyoaikakoonti'!CE$476)&amp;_xlfn.XLOOKUP($A7,Tyoaikakoonti!$I$2:'Tyoaikakoonti'!$I$476,Tyoaikakoonti!CZ$2:'Tyoaikakoonti'!CZ$476)</f>
        <v>#N/A</v>
      </c>
      <c r="F9" s="83" t="e" cm="1">
        <f t="array" ref="F9">_xlfn.XLOOKUP($A7,Tyoaikakoonti!$I$2:'Tyoaikakoonti'!$I$476,Tyoaikakoonti!BK$2:'Tyoaikakoonti'!BK$476)&amp;_xlfn.XLOOKUP($A7,Tyoaikakoonti!$I$2:'Tyoaikakoonti'!$I$476,Tyoaikakoonti!CF$2:'Tyoaikakoonti'!CF$476)&amp;_xlfn.XLOOKUP($A7,Tyoaikakoonti!$I$2:'Tyoaikakoonti'!$I$476,Tyoaikakoonti!DA$2:'Tyoaikakoonti'!DA$476)</f>
        <v>#N/A</v>
      </c>
      <c r="G9" s="60" t="e">
        <f>IF(G7="3 6:00-10:00             ", "varalla","")</f>
        <v>#N/A</v>
      </c>
      <c r="H9" s="60" t="e">
        <f>IF(H7="3 6:00-10:00             ", "varalla","")</f>
        <v>#N/A</v>
      </c>
    </row>
    <row r="10" spans="1:8" ht="50.25" customHeight="1" thickBot="1" x14ac:dyDescent="0.3">
      <c r="A10" s="105" t="s">
        <v>213</v>
      </c>
      <c r="B10" s="84"/>
      <c r="C10" s="84"/>
      <c r="D10" s="84"/>
      <c r="E10" s="84"/>
      <c r="F10" s="84"/>
      <c r="G10" s="140"/>
      <c r="H10" s="140"/>
    </row>
    <row r="11" spans="1:8" ht="69" customHeight="1" thickBot="1" x14ac:dyDescent="0.3">
      <c r="A11" s="37" t="s">
        <v>2</v>
      </c>
      <c r="B11" s="78"/>
      <c r="C11" s="78"/>
      <c r="D11" s="78"/>
      <c r="E11" s="78"/>
      <c r="F11" s="139"/>
      <c r="G11" s="145"/>
      <c r="H11" s="145"/>
    </row>
  </sheetData>
  <mergeCells count="3">
    <mergeCell ref="A5:A6"/>
    <mergeCell ref="A7:A8"/>
    <mergeCell ref="A1:B1"/>
  </mergeCells>
  <conditionalFormatting sqref="B11:F11">
    <cfRule type="containsText" dxfId="77" priority="145" operator="containsText" text="IT: ">
      <formula>NOT(ISERROR(SEARCH("IT: ",B11)))</formula>
    </cfRule>
    <cfRule type="containsText" dxfId="76" priority="146" operator="containsText" text="TU: ">
      <formula>NOT(ISERROR(SEARCH("TU: ",B11)))</formula>
    </cfRule>
    <cfRule type="containsText" dxfId="75" priority="147" operator="containsText" text="US: ">
      <formula>NOT(ISERROR(SEARCH("US: ",B11)))</formula>
    </cfRule>
    <cfRule type="containsText" dxfId="74" priority="148" operator="containsText" text="MT: ">
      <formula>NOT(ISERROR(SEARCH("MT: ",B11)))</formula>
    </cfRule>
    <cfRule type="containsText" dxfId="73" priority="149" operator="containsText" text="LT: ">
      <formula>NOT(ISERROR(SEARCH("LT: ",B11)))</formula>
    </cfRule>
    <cfRule type="cellIs" dxfId="72" priority="150" operator="equal">
      <formula>0</formula>
    </cfRule>
  </conditionalFormatting>
  <conditionalFormatting sqref="B10:F10">
    <cfRule type="containsText" dxfId="71" priority="139" operator="containsText" text="IT: ">
      <formula>NOT(ISERROR(SEARCH("IT: ",B10)))</formula>
    </cfRule>
    <cfRule type="containsText" dxfId="70" priority="140" operator="containsText" text="TU: ">
      <formula>NOT(ISERROR(SEARCH("TU: ",B10)))</formula>
    </cfRule>
    <cfRule type="containsText" dxfId="69" priority="141" operator="containsText" text="US: ">
      <formula>NOT(ISERROR(SEARCH("US: ",B10)))</formula>
    </cfRule>
    <cfRule type="containsText" dxfId="68" priority="142" operator="containsText" text="MT: ">
      <formula>NOT(ISERROR(SEARCH("MT: ",B10)))</formula>
    </cfRule>
    <cfRule type="containsText" dxfId="67" priority="143" operator="containsText" text="LT: ">
      <formula>NOT(ISERROR(SEARCH("LT: ",B10)))</formula>
    </cfRule>
    <cfRule type="cellIs" dxfId="66" priority="144" operator="equal">
      <formula>0</formula>
    </cfRule>
  </conditionalFormatting>
  <conditionalFormatting sqref="A9">
    <cfRule type="containsText" dxfId="65" priority="133" operator="containsText" text="IT: ">
      <formula>NOT(ISERROR(SEARCH("IT: ",A9)))</formula>
    </cfRule>
    <cfRule type="containsText" dxfId="64" priority="134" operator="containsText" text="TU: ">
      <formula>NOT(ISERROR(SEARCH("TU: ",A9)))</formula>
    </cfRule>
    <cfRule type="containsText" dxfId="63" priority="135" operator="containsText" text="US: ">
      <formula>NOT(ISERROR(SEARCH("US: ",A9)))</formula>
    </cfRule>
    <cfRule type="containsText" dxfId="62" priority="136" operator="containsText" text="MT: ">
      <formula>NOT(ISERROR(SEARCH("MT: ",A9)))</formula>
    </cfRule>
    <cfRule type="containsText" dxfId="61" priority="137" operator="containsText" text="LT: ">
      <formula>NOT(ISERROR(SEARCH("LT: ",A9)))</formula>
    </cfRule>
    <cfRule type="cellIs" dxfId="60" priority="138" operator="equal">
      <formula>0</formula>
    </cfRule>
  </conditionalFormatting>
  <conditionalFormatting sqref="B7:H8 B9:F9">
    <cfRule type="containsText" dxfId="59" priority="85" operator="containsText" text="IT: ">
      <formula>NOT(ISERROR(SEARCH("IT: ",B7)))</formula>
    </cfRule>
    <cfRule type="containsText" dxfId="58" priority="86" operator="containsText" text="TU: ">
      <formula>NOT(ISERROR(SEARCH("TU: ",B7)))</formula>
    </cfRule>
    <cfRule type="containsText" dxfId="57" priority="87" operator="containsText" text="US: ">
      <formula>NOT(ISERROR(SEARCH("US: ",B7)))</formula>
    </cfRule>
    <cfRule type="containsText" dxfId="56" priority="88" operator="containsText" text="MT: ">
      <formula>NOT(ISERROR(SEARCH("MT: ",B7)))</formula>
    </cfRule>
    <cfRule type="containsText" dxfId="55" priority="89" operator="containsText" text="LT: ">
      <formula>NOT(ISERROR(SEARCH("LT: ",B7)))</formula>
    </cfRule>
    <cfRule type="cellIs" dxfId="54" priority="90" operator="equal">
      <formula>0</formula>
    </cfRule>
  </conditionalFormatting>
  <conditionalFormatting sqref="G9">
    <cfRule type="containsText" dxfId="53" priority="13" operator="containsText" text="IT: ">
      <formula>NOT(ISERROR(SEARCH("IT: ",G9)))</formula>
    </cfRule>
    <cfRule type="containsText" dxfId="52" priority="14" operator="containsText" text="TU: ">
      <formula>NOT(ISERROR(SEARCH("TU: ",G9)))</formula>
    </cfRule>
    <cfRule type="containsText" dxfId="51" priority="15" operator="containsText" text="US: ">
      <formula>NOT(ISERROR(SEARCH("US: ",G9)))</formula>
    </cfRule>
    <cfRule type="containsText" dxfId="50" priority="16" operator="containsText" text="MT: ">
      <formula>NOT(ISERROR(SEARCH("MT: ",G9)))</formula>
    </cfRule>
    <cfRule type="containsText" dxfId="49" priority="17" operator="containsText" text="LT: ">
      <formula>NOT(ISERROR(SEARCH("LT: ",G9)))</formula>
    </cfRule>
    <cfRule type="cellIs" dxfId="48" priority="18" operator="equal">
      <formula>0</formula>
    </cfRule>
  </conditionalFormatting>
  <conditionalFormatting sqref="H9">
    <cfRule type="containsText" dxfId="47" priority="7" operator="containsText" text="IT: ">
      <formula>NOT(ISERROR(SEARCH("IT: ",H9)))</formula>
    </cfRule>
    <cfRule type="containsText" dxfId="46" priority="8" operator="containsText" text="TU: ">
      <formula>NOT(ISERROR(SEARCH("TU: ",H9)))</formula>
    </cfRule>
    <cfRule type="containsText" dxfId="45" priority="9" operator="containsText" text="US: ">
      <formula>NOT(ISERROR(SEARCH("US: ",H9)))</formula>
    </cfRule>
    <cfRule type="containsText" dxfId="44" priority="10" operator="containsText" text="MT: ">
      <formula>NOT(ISERROR(SEARCH("MT: ",H9)))</formula>
    </cfRule>
    <cfRule type="containsText" dxfId="43" priority="11" operator="containsText" text="LT: ">
      <formula>NOT(ISERROR(SEARCH("LT: ",H9)))</formula>
    </cfRule>
    <cfRule type="cellIs" dxfId="42" priority="12" operator="equal">
      <formula>0</formula>
    </cfRule>
  </conditionalFormatting>
  <conditionalFormatting sqref="G10:H11">
    <cfRule type="containsText" dxfId="41" priority="1" operator="containsText" text="IT: ">
      <formula>NOT(ISERROR(SEARCH("IT: ",G10)))</formula>
    </cfRule>
    <cfRule type="containsText" dxfId="40" priority="2" operator="containsText" text="TU: ">
      <formula>NOT(ISERROR(SEARCH("TU: ",G10)))</formula>
    </cfRule>
    <cfRule type="containsText" dxfId="39" priority="3" operator="containsText" text="US: ">
      <formula>NOT(ISERROR(SEARCH("US: ",G10)))</formula>
    </cfRule>
    <cfRule type="containsText" dxfId="38" priority="4" operator="containsText" text="MT: ">
      <formula>NOT(ISERROR(SEARCH("MT: ",G10)))</formula>
    </cfRule>
    <cfRule type="containsText" dxfId="37" priority="5" operator="containsText" text="LT: ">
      <formula>NOT(ISERROR(SEARCH("LT: ",G10)))</formula>
    </cfRule>
    <cfRule type="cellIs" dxfId="36" priority="6" operator="equal">
      <formula>0</formula>
    </cfRule>
  </conditionalFormatting>
  <printOptions horizontalCentered="1"/>
  <pageMargins left="0.23622047244094491" right="0.23622047244094491" top="0.15748031496062992" bottom="0.15748031496062992" header="0.31496062992125984" footer="0.31496062992125984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42472-D4AB-4AA4-AF03-C45E8257DF61}">
  <sheetPr codeName="Taul43">
    <tabColor rgb="FF7030A0"/>
  </sheetPr>
  <dimension ref="A1:H11"/>
  <sheetViews>
    <sheetView zoomScale="160" zoomScaleNormal="160" workbookViewId="0">
      <selection activeCell="B6" sqref="B6:C6"/>
    </sheetView>
  </sheetViews>
  <sheetFormatPr defaultRowHeight="15" x14ac:dyDescent="0.25"/>
  <cols>
    <col min="1" max="1" width="14.7109375" customWidth="1"/>
    <col min="2" max="8" width="11.7109375" style="26" customWidth="1"/>
  </cols>
  <sheetData>
    <row r="1" spans="1:8" ht="52.15" customHeight="1" x14ac:dyDescent="0.25">
      <c r="A1" s="190"/>
      <c r="B1" s="190"/>
      <c r="C1" s="40" t="s">
        <v>202</v>
      </c>
      <c r="D1" s="64" t="str">
        <f>Isojen_lista!I2 &amp; ": " &amp; Isojen_lista!I3</f>
        <v xml:space="preserve">   :    </v>
      </c>
      <c r="E1" s="38"/>
      <c r="F1" s="39"/>
      <c r="G1" s="30"/>
      <c r="H1" s="39" t="str">
        <f>"Viikko: "&amp;WEEKNUM(B6)</f>
        <v>Viikko: 40</v>
      </c>
    </row>
    <row r="2" spans="1:8" ht="15.75" customHeight="1" x14ac:dyDescent="0.25">
      <c r="A2" s="27" t="s">
        <v>210</v>
      </c>
      <c r="B2" s="46"/>
      <c r="C2" s="106"/>
      <c r="D2" s="106"/>
      <c r="E2" s="46"/>
      <c r="F2" s="46"/>
      <c r="G2" s="55"/>
      <c r="H2" s="55"/>
    </row>
    <row r="3" spans="1:8" ht="15.75" customHeight="1" x14ac:dyDescent="0.25">
      <c r="A3" s="27" t="s">
        <v>211</v>
      </c>
      <c r="B3" s="46"/>
      <c r="C3" s="106"/>
      <c r="D3" s="46"/>
      <c r="E3" s="46"/>
      <c r="F3" s="46"/>
      <c r="G3" s="55"/>
      <c r="H3" s="55"/>
    </row>
    <row r="4" spans="1:8" ht="15.75" customHeight="1" thickBot="1" x14ac:dyDescent="0.3">
      <c r="A4" s="27" t="s">
        <v>212</v>
      </c>
      <c r="B4" s="110"/>
      <c r="C4" s="106"/>
      <c r="D4" s="46"/>
      <c r="E4" s="46"/>
      <c r="F4" s="46"/>
      <c r="G4" s="55"/>
      <c r="H4" s="55"/>
    </row>
    <row r="5" spans="1:8" ht="12.75" customHeight="1" x14ac:dyDescent="0.25">
      <c r="A5" s="185"/>
      <c r="B5" s="28" t="s">
        <v>203</v>
      </c>
      <c r="C5" s="29" t="s">
        <v>204</v>
      </c>
      <c r="D5" s="29" t="s">
        <v>205</v>
      </c>
      <c r="E5" s="29" t="s">
        <v>206</v>
      </c>
      <c r="F5" s="29" t="s">
        <v>207</v>
      </c>
      <c r="G5" s="21" t="s">
        <v>208</v>
      </c>
      <c r="H5" s="22" t="s">
        <v>209</v>
      </c>
    </row>
    <row r="6" spans="1:8" ht="18.75" customHeight="1" thickBot="1" x14ac:dyDescent="0.3">
      <c r="A6" s="186"/>
      <c r="B6" s="65">
        <f>DATEVALUE(LEFT(Kopiot!S8,2)&amp;"."&amp;MID(Kopiot!S8,4,2)&amp;"."&amp;MID(Kopiot!S8,7,4))</f>
        <v>43739</v>
      </c>
      <c r="C6" s="65">
        <f>B6+1</f>
        <v>43740</v>
      </c>
      <c r="D6" s="65">
        <f t="shared" ref="D6:H6" si="0">C6+1</f>
        <v>43741</v>
      </c>
      <c r="E6" s="65">
        <f t="shared" si="0"/>
        <v>43742</v>
      </c>
      <c r="F6" s="65">
        <f t="shared" si="0"/>
        <v>43743</v>
      </c>
      <c r="G6" s="65">
        <f t="shared" si="0"/>
        <v>43744</v>
      </c>
      <c r="H6" s="65">
        <f t="shared" si="0"/>
        <v>43745</v>
      </c>
    </row>
    <row r="7" spans="1:8" ht="19.5" customHeight="1" thickBot="1" x14ac:dyDescent="0.3">
      <c r="A7" s="191" t="s">
        <v>199</v>
      </c>
      <c r="B7" s="32" t="e" cm="1">
        <f t="array" ref="B7">_xlfn.XLOOKUP($A7,Tyoaikakoonti!$I$2:'Tyoaikakoonti'!$I$476,Tyoaikakoonti!X$2:'Tyoaikakoonti'!X$476)</f>
        <v>#N/A</v>
      </c>
      <c r="C7" s="32" t="e" cm="1">
        <f t="array" ref="C7">_xlfn.XLOOKUP($A7,Tyoaikakoonti!$I$2:'Tyoaikakoonti'!$I$476,Tyoaikakoonti!Y$2:'Tyoaikakoonti'!Y$476)</f>
        <v>#N/A</v>
      </c>
      <c r="D7" s="32" t="e" cm="1">
        <f t="array" ref="D7">_xlfn.XLOOKUP($A7,Tyoaikakoonti!$I$2:'Tyoaikakoonti'!$I$476,Tyoaikakoonti!Z$2:'Tyoaikakoonti'!Z$476)</f>
        <v>#N/A</v>
      </c>
      <c r="E7" s="32" t="e" cm="1">
        <f t="array" ref="E7">_xlfn.XLOOKUP($A7,Tyoaikakoonti!$I$2:'Tyoaikakoonti'!$I$476,Tyoaikakoonti!AA$2:'Tyoaikakoonti'!AA$476)</f>
        <v>#N/A</v>
      </c>
      <c r="F7" s="31" t="e" cm="1">
        <f t="array" ref="F7">_xlfn.XLOOKUP($A7,Tyoaikakoonti!$I$2:'Tyoaikakoonti'!$I$476,Tyoaikakoonti!AB$2:'Tyoaikakoonti'!AB$476)</f>
        <v>#N/A</v>
      </c>
      <c r="G7" s="47" t="e" cm="1">
        <f t="array" ref="G7">_xlfn.XLOOKUP($A7,Tyoaikakoonti!$I$2:'Tyoaikakoonti'!$I$476,Tyoaikakoonti!AC$2:'Tyoaikakoonti'!AC$476)</f>
        <v>#N/A</v>
      </c>
      <c r="H7" s="41" t="e" cm="1">
        <f t="array" ref="H7">_xlfn.XLOOKUP($A7,Tyoaikakoonti!$I$2:'Tyoaikakoonti'!$I$476,Tyoaikakoonti!AD$2:'Tyoaikakoonti'!AD$476)</f>
        <v>#N/A</v>
      </c>
    </row>
    <row r="8" spans="1:8" ht="15.75" customHeight="1" thickBot="1" x14ac:dyDescent="0.3">
      <c r="A8" s="192"/>
      <c r="B8" s="36" t="e" cm="1">
        <f t="array" ref="B8">_xlfn.XLOOKUP($A7,Tyoaikakoonti!$I$2:'Tyoaikakoonti'!$I$476,Tyoaikakoonti!AS$2:'Tyoaikakoonti'!AS$476)</f>
        <v>#N/A</v>
      </c>
      <c r="C8" s="36" t="e" cm="1">
        <f t="array" ref="C8">_xlfn.XLOOKUP($A7,Tyoaikakoonti!$I$2:'Tyoaikakoonti'!$I$476,Tyoaikakoonti!AT$2:'Tyoaikakoonti'!AT$476)</f>
        <v>#N/A</v>
      </c>
      <c r="D8" s="36" t="e" cm="1">
        <f t="array" ref="D8">_xlfn.XLOOKUP($A7,Tyoaikakoonti!$I$2:'Tyoaikakoonti'!$I$476,Tyoaikakoonti!AU$2:'Tyoaikakoonti'!AU$476)</f>
        <v>#N/A</v>
      </c>
      <c r="E8" s="36" t="e" cm="1">
        <f t="array" ref="E8">_xlfn.XLOOKUP($A7,Tyoaikakoonti!$I$2:'Tyoaikakoonti'!$I$476,Tyoaikakoonti!AV$2:'Tyoaikakoonti'!AV$476)</f>
        <v>#N/A</v>
      </c>
      <c r="F8" s="36" t="e" cm="1">
        <f t="array" ref="F8">_xlfn.XLOOKUP($A7,Tyoaikakoonti!$I$2:'Tyoaikakoonti'!$I$476,Tyoaikakoonti!AW$2:'Tyoaikakoonti'!AW$476)</f>
        <v>#N/A</v>
      </c>
      <c r="G8" s="45" t="e" cm="1">
        <f t="array" ref="G8">_xlfn.XLOOKUP($A7,Tyoaikakoonti!$I$2:'Tyoaikakoonti'!$I$476,Tyoaikakoonti!AX$2:'Tyoaikakoonti'!AX$476)</f>
        <v>#N/A</v>
      </c>
      <c r="H8" s="45" t="e" cm="1">
        <f t="array" ref="H8">_xlfn.XLOOKUP($A7,Tyoaikakoonti!$I$2:'Tyoaikakoonti'!$I$476,Tyoaikakoonti!AY$2:'Tyoaikakoonti'!AY$476)</f>
        <v>#N/A</v>
      </c>
    </row>
    <row r="9" spans="1:8" s="1" customFormat="1" ht="25.5" customHeight="1" thickBot="1" x14ac:dyDescent="0.3">
      <c r="A9" s="82" t="e" cm="1">
        <f t="array" ref="A9">_xlfn.XLOOKUP(A7,#REF!:#REF!,#REF!:#REF!,"")</f>
        <v>#REF!</v>
      </c>
      <c r="B9" s="83" t="e" cm="1">
        <f t="array" ref="B9">_xlfn.XLOOKUP($A7,Tyoaikakoonti!$I$2:'Tyoaikakoonti'!$I$476,Tyoaikakoonti!BN$2:'Tyoaikakoonti'!BN$476)&amp;_xlfn.XLOOKUP($A7,Tyoaikakoonti!$I$2:'Tyoaikakoonti'!$I$476,Tyoaikakoonti!CI$2:'Tyoaikakoonti'!CI$476)&amp;_xlfn.XLOOKUP($A7,Tyoaikakoonti!$I$2:'Tyoaikakoonti'!$I$476,Tyoaikakoonti!DD$2:'Tyoaikakoonti'!DD$476)</f>
        <v>#N/A</v>
      </c>
      <c r="C9" s="83" t="e" cm="1">
        <f t="array" ref="C9">_xlfn.XLOOKUP($A7,Tyoaikakoonti!$I$2:'Tyoaikakoonti'!$I$476,Tyoaikakoonti!BO$2:'Tyoaikakoonti'!BO$476)&amp;_xlfn.XLOOKUP($A7,Tyoaikakoonti!$I$2:'Tyoaikakoonti'!$I$476,Tyoaikakoonti!CJ$2:'Tyoaikakoonti'!CJ$476)&amp;_xlfn.XLOOKUP($A7,Tyoaikakoonti!$I$2:'Tyoaikakoonti'!$I$476,Tyoaikakoonti!DE$2:'Tyoaikakoonti'!DE$476)</f>
        <v>#N/A</v>
      </c>
      <c r="D9" s="83" t="e" cm="1">
        <f t="array" ref="D9">_xlfn.XLOOKUP($A7,Tyoaikakoonti!$I$2:'Tyoaikakoonti'!$I$476,Tyoaikakoonti!BP$2:'Tyoaikakoonti'!BP$476)&amp;_xlfn.XLOOKUP($A7,Tyoaikakoonti!$I$2:'Tyoaikakoonti'!$I$476,Tyoaikakoonti!CK$2:'Tyoaikakoonti'!CK$476)&amp;_xlfn.XLOOKUP($A7,Tyoaikakoonti!$I$2:'Tyoaikakoonti'!$I$476,Tyoaikakoonti!DF$2:'Tyoaikakoonti'!DF$476)</f>
        <v>#N/A</v>
      </c>
      <c r="E9" s="83" t="e" cm="1">
        <f t="array" ref="E9">_xlfn.XLOOKUP($A7,Tyoaikakoonti!$I$2:'Tyoaikakoonti'!$I$476,Tyoaikakoonti!BQ$2:'Tyoaikakoonti'!BQ$476)&amp;_xlfn.XLOOKUP($A7,Tyoaikakoonti!$I$2:'Tyoaikakoonti'!$I$476,Tyoaikakoonti!CL$2:'Tyoaikakoonti'!CL$476)&amp;_xlfn.XLOOKUP($A7,Tyoaikakoonti!$I$2:'Tyoaikakoonti'!$I$476,Tyoaikakoonti!DG$2:'Tyoaikakoonti'!DG$476)</f>
        <v>#N/A</v>
      </c>
      <c r="F9" s="83" t="e" cm="1">
        <f t="array" ref="F9">_xlfn.XLOOKUP($A7,Tyoaikakoonti!$I$2:'Tyoaikakoonti'!$I$476,Tyoaikakoonti!BR$2:'Tyoaikakoonti'!BR$476)&amp;_xlfn.XLOOKUP($A7,Tyoaikakoonti!$I$2:'Tyoaikakoonti'!$I$476,Tyoaikakoonti!CM$2:'Tyoaikakoonti'!CM$476)&amp;_xlfn.XLOOKUP($A7,Tyoaikakoonti!$I$2:'Tyoaikakoonti'!$I$476,Tyoaikakoonti!DH$2:'Tyoaikakoonti'!DH$476)</f>
        <v>#N/A</v>
      </c>
      <c r="G9" s="45" t="e">
        <f>IF(G7="3 6:00-10:00             ", "varalla","")</f>
        <v>#N/A</v>
      </c>
      <c r="H9" s="45" t="e">
        <f>IF(H7="3 6:00-10:00             ", "varalla","")</f>
        <v>#N/A</v>
      </c>
    </row>
    <row r="10" spans="1:8" ht="50.25" customHeight="1" thickBot="1" x14ac:dyDescent="0.3">
      <c r="A10" s="109" t="s">
        <v>213</v>
      </c>
      <c r="B10" s="84"/>
      <c r="C10" s="84"/>
      <c r="D10" s="84"/>
      <c r="E10" s="84"/>
      <c r="F10" s="142"/>
      <c r="G10" s="143"/>
      <c r="H10" s="140"/>
    </row>
    <row r="11" spans="1:8" ht="69" customHeight="1" thickBot="1" x14ac:dyDescent="0.3">
      <c r="A11" s="37" t="s">
        <v>2</v>
      </c>
      <c r="B11" s="78"/>
      <c r="C11" s="78"/>
      <c r="D11" s="78"/>
      <c r="E11" s="78"/>
      <c r="F11" s="139"/>
      <c r="G11" s="144"/>
      <c r="H11" s="145"/>
    </row>
  </sheetData>
  <mergeCells count="3">
    <mergeCell ref="A5:A6"/>
    <mergeCell ref="A7:A8"/>
    <mergeCell ref="A1:B1"/>
  </mergeCells>
  <conditionalFormatting sqref="B11:F11 B7:H8 B9:F9">
    <cfRule type="containsText" dxfId="35" priority="91" operator="containsText" text="IT: ">
      <formula>NOT(ISERROR(SEARCH("IT: ",B7)))</formula>
    </cfRule>
    <cfRule type="containsText" dxfId="34" priority="92" operator="containsText" text="TU: ">
      <formula>NOT(ISERROR(SEARCH("TU: ",B7)))</formula>
    </cfRule>
    <cfRule type="containsText" dxfId="33" priority="93" operator="containsText" text="US: ">
      <formula>NOT(ISERROR(SEARCH("US: ",B7)))</formula>
    </cfRule>
    <cfRule type="containsText" dxfId="32" priority="94" operator="containsText" text="MT: ">
      <formula>NOT(ISERROR(SEARCH("MT: ",B7)))</formula>
    </cfRule>
    <cfRule type="containsText" dxfId="31" priority="95" operator="containsText" text="LT: ">
      <formula>NOT(ISERROR(SEARCH("LT: ",B7)))</formula>
    </cfRule>
    <cfRule type="cellIs" dxfId="30" priority="96" operator="equal">
      <formula>0</formula>
    </cfRule>
  </conditionalFormatting>
  <conditionalFormatting sqref="B10:F10">
    <cfRule type="containsText" dxfId="29" priority="85" operator="containsText" text="IT: ">
      <formula>NOT(ISERROR(SEARCH("IT: ",B10)))</formula>
    </cfRule>
    <cfRule type="containsText" dxfId="28" priority="86" operator="containsText" text="TU: ">
      <formula>NOT(ISERROR(SEARCH("TU: ",B10)))</formula>
    </cfRule>
    <cfRule type="containsText" dxfId="27" priority="87" operator="containsText" text="US: ">
      <formula>NOT(ISERROR(SEARCH("US: ",B10)))</formula>
    </cfRule>
    <cfRule type="containsText" dxfId="26" priority="88" operator="containsText" text="MT: ">
      <formula>NOT(ISERROR(SEARCH("MT: ",B10)))</formula>
    </cfRule>
    <cfRule type="containsText" dxfId="25" priority="89" operator="containsText" text="LT: ">
      <formula>NOT(ISERROR(SEARCH("LT: ",B10)))</formula>
    </cfRule>
    <cfRule type="cellIs" dxfId="24" priority="90" operator="equal">
      <formula>0</formula>
    </cfRule>
  </conditionalFormatting>
  <conditionalFormatting sqref="A9">
    <cfRule type="containsText" dxfId="23" priority="79" operator="containsText" text="IT: ">
      <formula>NOT(ISERROR(SEARCH("IT: ",A9)))</formula>
    </cfRule>
    <cfRule type="containsText" dxfId="22" priority="80" operator="containsText" text="TU: ">
      <formula>NOT(ISERROR(SEARCH("TU: ",A9)))</formula>
    </cfRule>
    <cfRule type="containsText" dxfId="21" priority="81" operator="containsText" text="US: ">
      <formula>NOT(ISERROR(SEARCH("US: ",A9)))</formula>
    </cfRule>
    <cfRule type="containsText" dxfId="20" priority="82" operator="containsText" text="MT: ">
      <formula>NOT(ISERROR(SEARCH("MT: ",A9)))</formula>
    </cfRule>
    <cfRule type="containsText" dxfId="19" priority="83" operator="containsText" text="LT: ">
      <formula>NOT(ISERROR(SEARCH("LT: ",A9)))</formula>
    </cfRule>
    <cfRule type="cellIs" dxfId="18" priority="84" operator="equal">
      <formula>0</formula>
    </cfRule>
  </conditionalFormatting>
  <conditionalFormatting sqref="G9">
    <cfRule type="containsText" dxfId="17" priority="13" operator="containsText" text="IT: ">
      <formula>NOT(ISERROR(SEARCH("IT: ",G9)))</formula>
    </cfRule>
    <cfRule type="containsText" dxfId="16" priority="14" operator="containsText" text="TU: ">
      <formula>NOT(ISERROR(SEARCH("TU: ",G9)))</formula>
    </cfRule>
    <cfRule type="containsText" dxfId="15" priority="15" operator="containsText" text="US: ">
      <formula>NOT(ISERROR(SEARCH("US: ",G9)))</formula>
    </cfRule>
    <cfRule type="containsText" dxfId="14" priority="16" operator="containsText" text="MT: ">
      <formula>NOT(ISERROR(SEARCH("MT: ",G9)))</formula>
    </cfRule>
    <cfRule type="containsText" dxfId="13" priority="17" operator="containsText" text="LT: ">
      <formula>NOT(ISERROR(SEARCH("LT: ",G9)))</formula>
    </cfRule>
    <cfRule type="cellIs" dxfId="12" priority="18" operator="equal">
      <formula>0</formula>
    </cfRule>
  </conditionalFormatting>
  <conditionalFormatting sqref="H9">
    <cfRule type="containsText" dxfId="11" priority="7" operator="containsText" text="IT: ">
      <formula>NOT(ISERROR(SEARCH("IT: ",H9)))</formula>
    </cfRule>
    <cfRule type="containsText" dxfId="10" priority="8" operator="containsText" text="TU: ">
      <formula>NOT(ISERROR(SEARCH("TU: ",H9)))</formula>
    </cfRule>
    <cfRule type="containsText" dxfId="9" priority="9" operator="containsText" text="US: ">
      <formula>NOT(ISERROR(SEARCH("US: ",H9)))</formula>
    </cfRule>
    <cfRule type="containsText" dxfId="8" priority="10" operator="containsText" text="MT: ">
      <formula>NOT(ISERROR(SEARCH("MT: ",H9)))</formula>
    </cfRule>
    <cfRule type="containsText" dxfId="7" priority="11" operator="containsText" text="LT: ">
      <formula>NOT(ISERROR(SEARCH("LT: ",H9)))</formula>
    </cfRule>
    <cfRule type="cellIs" dxfId="6" priority="12" operator="equal">
      <formula>0</formula>
    </cfRule>
  </conditionalFormatting>
  <conditionalFormatting sqref="G10:H11">
    <cfRule type="containsText" dxfId="5" priority="1" operator="containsText" text="IT: ">
      <formula>NOT(ISERROR(SEARCH("IT: ",G10)))</formula>
    </cfRule>
    <cfRule type="containsText" dxfId="4" priority="2" operator="containsText" text="TU: ">
      <formula>NOT(ISERROR(SEARCH("TU: ",G10)))</formula>
    </cfRule>
    <cfRule type="containsText" dxfId="3" priority="3" operator="containsText" text="US: ">
      <formula>NOT(ISERROR(SEARCH("US: ",G10)))</formula>
    </cfRule>
    <cfRule type="containsText" dxfId="2" priority="4" operator="containsText" text="MT: ">
      <formula>NOT(ISERROR(SEARCH("MT: ",G10)))</formula>
    </cfRule>
    <cfRule type="containsText" dxfId="1" priority="5" operator="containsText" text="LT: ">
      <formula>NOT(ISERROR(SEARCH("LT: ",G10)))</formula>
    </cfRule>
    <cfRule type="cellIs" dxfId="0" priority="6" operator="equal">
      <formula>0</formula>
    </cfRule>
  </conditionalFormatting>
  <printOptions horizontalCentered="1"/>
  <pageMargins left="0.23622047244094491" right="0.23622047244094491" top="0.15748031496062992" bottom="0.74803149606299213" header="0.31496062992125984" footer="0.31496062992125984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Asiakirja" ma:contentTypeID="0x0101003B82174E7A1C7F4AA07B964195B1FC05" ma:contentTypeVersion="12" ma:contentTypeDescription="Luo uusi asiakirja." ma:contentTypeScope="" ma:versionID="165edf77e65c829fecc7d89a357a17b0">
  <xsd:schema xmlns:xsd="http://www.w3.org/2001/XMLSchema" xmlns:xs="http://www.w3.org/2001/XMLSchema" xmlns:p="http://schemas.microsoft.com/office/2006/metadata/properties" xmlns:ns2="bde76e59-b3ad-4907-8c87-c14f1855fec1" xmlns:ns3="e8c2b9cd-df2f-495e-a270-2723faae4cec" targetNamespace="http://schemas.microsoft.com/office/2006/metadata/properties" ma:root="true" ma:fieldsID="d2f82649ff470127059ab1f9811fe58a" ns2:_="" ns3:_="">
    <xsd:import namespace="bde76e59-b3ad-4907-8c87-c14f1855fec1"/>
    <xsd:import namespace="e8c2b9cd-df2f-495e-a270-2723faae4ce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e76e59-b3ad-4907-8c87-c14f1855fe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Kuvien tunnisteet" ma:readOnly="false" ma:fieldId="{5cf76f15-5ced-4ddc-b409-7134ff3c332f}" ma:taxonomyMulti="true" ma:sspId="8ac6db3c-6098-40de-8db1-2007c488883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c2b9cd-df2f-495e-a270-2723faae4ce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Jaettu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Jakamisen tiedot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d0b8617c-d63f-43e5-9cee-5a2e6bb473b2}" ma:internalName="TaxCatchAll" ma:showField="CatchAllData" ma:web="e8c2b9cd-df2f-495e-a270-2723faae4ce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Sisältölaji"/>
        <xsd:element ref="dc:title" minOccurs="0" maxOccurs="1" ma:index="4" ma:displayName="Otsikk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de76e59-b3ad-4907-8c87-c14f1855fec1">
      <Terms xmlns="http://schemas.microsoft.com/office/infopath/2007/PartnerControls"/>
    </lcf76f155ced4ddcb4097134ff3c332f>
    <SharedWithUsers xmlns="e8c2b9cd-df2f-495e-a270-2723faae4cec">
      <UserInfo>
        <DisplayName>Räty Merja</DisplayName>
        <AccountId>128</AccountId>
        <AccountType/>
      </UserInfo>
      <UserInfo>
        <DisplayName>Haavisto Jaakko</DisplayName>
        <AccountId>134</AccountId>
        <AccountType/>
      </UserInfo>
    </SharedWithUsers>
    <TaxCatchAll xmlns="e8c2b9cd-df2f-495e-a270-2723faae4cec" xsi:nil="true"/>
  </documentManagement>
</p:properties>
</file>

<file path=customXml/itemProps1.xml><?xml version="1.0" encoding="utf-8"?>
<ds:datastoreItem xmlns:ds="http://schemas.openxmlformats.org/officeDocument/2006/customXml" ds:itemID="{B036F26D-E8C5-40CE-9E24-D17E444274C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de76e59-b3ad-4907-8c87-c14f1855fec1"/>
    <ds:schemaRef ds:uri="e8c2b9cd-df2f-495e-a270-2723faae4ce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14EDFF9-7BE6-45CD-87B8-F6070E8F7393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629D85CC-2078-4D54-9A9C-94296CA44E2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6D514A7-9E0E-4A8D-9AE2-7D7A82503C11}">
  <ds:schemaRefs>
    <ds:schemaRef ds:uri="1fbf9a0c-67cf-40e9-8927-8a248646266a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e14a3e9-be8b-4f00-93a1-12c0c1d8e7b4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  <ds:schemaRef ds:uri="bde76e59-b3ad-4907-8c87-c14f1855fec1"/>
    <ds:schemaRef ds:uri="e8c2b9cd-df2f-495e-a270-2723faae4ce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Kopiot</vt:lpstr>
      <vt:lpstr>Isojen_lista</vt:lpstr>
      <vt:lpstr>Pienten_lista</vt:lpstr>
      <vt:lpstr>Tyoaikakoonti</vt:lpstr>
      <vt:lpstr>Aamuiltanimet</vt:lpstr>
      <vt:lpstr>LakanaNimet</vt:lpstr>
      <vt:lpstr>ViikkoLiitokset</vt:lpstr>
      <vt:lpstr>Kalenteri</vt:lpstr>
      <vt:lpstr>pTU</vt:lpstr>
      <vt:lpstr>pTU1</vt:lpstr>
      <vt:lpstr>pTU2</vt:lpstr>
      <vt:lpstr>pTU3</vt:lpstr>
      <vt:lpstr>Aamuiltanimet!Print_Area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Laattala Lauri</dc:creator>
  <cp:keywords/>
  <dc:description/>
  <cp:lastModifiedBy>Haavisto Jaakko</cp:lastModifiedBy>
  <cp:revision/>
  <cp:lastPrinted>2023-10-11T12:57:41Z</cp:lastPrinted>
  <dcterms:created xsi:type="dcterms:W3CDTF">2022-11-24T12:48:04Z</dcterms:created>
  <dcterms:modified xsi:type="dcterms:W3CDTF">2023-10-26T12:32:11Z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0x0101001858308AEEC98442A91AE1DCD2B80FF3</vt:lpwstr>
  </property>
  <property fmtid="{D5CDD505-2E9C-101B-9397-08002B2CF9AE}" pid="3" name="MediaServiceImageTags">
    <vt:lpwstr/>
  </property>
</Properties>
</file>