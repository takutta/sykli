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aavisja\Desktop\"/>
    </mc:Choice>
  </mc:AlternateContent>
  <xr:revisionPtr revIDLastSave="0" documentId="13_ncr:1_{BB32B364-A03E-4CB2-9E81-468A8A0C3A59}" xr6:coauthVersionLast="47" xr6:coauthVersionMax="47" xr10:uidLastSave="{00000000-0000-0000-0000-000000000000}"/>
  <bookViews>
    <workbookView xWindow="3600" yWindow="3330" windowWidth="21600" windowHeight="12780" tabRatio="829" firstSheet="4" activeTab="4" xr2:uid="{00000000-000D-0000-FFFF-FFFF00000000}"/>
  </bookViews>
  <sheets>
    <sheet name="Sheet2" sheetId="4628" state="veryHidden" r:id="rId1"/>
    <sheet name="Sheet3" sheetId="4629" state="veryHidden" r:id="rId2"/>
    <sheet name="Sheet4" sheetId="4630" state="veryHidden" r:id="rId3"/>
    <sheet name="Code" sheetId="38" state="hidden" r:id="rId4"/>
    <sheet name="Pääsivu" sheetId="152" r:id="rId5"/>
    <sheet name="Ryhmät" sheetId="34" r:id="rId6"/>
    <sheet name="Lapset" sheetId="35" r:id="rId7"/>
    <sheet name="Liitokset" sheetId="4969" r:id="rId8"/>
    <sheet name="Sheet1" sheetId="4627" state="veryHidden" r:id="rId9"/>
    <sheet name="Työntekijät" sheetId="4625" r:id="rId10"/>
    <sheet name="Migraatio_kokeilu" sheetId="5404" state="hidden" r:id="rId11"/>
    <sheet name="lasna" sheetId="488" state="hidden" r:id="rId12"/>
    <sheet name="Syntyma2" sheetId="4624" state="hidden" r:id="rId13"/>
    <sheet name="Migraatio_temp" sheetId="5307" state="hidden" r:id="rId14"/>
    <sheet name="Migraatio" sheetId="5306" state="hidden" r:id="rId15"/>
    <sheet name="Rinnakkaiset" sheetId="4967" state="hidden" r:id="rId16"/>
    <sheet name="Rinnakkaiset2" sheetId="4968" state="hidden" r:id="rId17"/>
    <sheet name="Pohja" sheetId="37" state="hidden" r:id="rId18"/>
    <sheet name="Syntyma" sheetId="4623" state="hidden" r:id="rId19"/>
    <sheet name="Lasna2" sheetId="4536" state="hidden" r:id="rId20"/>
    <sheet name="Ruokakoonti_pohja" sheetId="4621" state="hidden" r:id="rId21"/>
    <sheet name="pl_vaakawc" sheetId="3565" state="hidden" r:id="rId22"/>
    <sheet name="pl_vaaka" sheetId="3564" state="hidden" r:id="rId23"/>
    <sheet name="pl_pysty" sheetId="3563" state="hidden" r:id="rId24"/>
    <sheet name="pl_pystywc" sheetId="3413" state="hidden" r:id="rId25"/>
    <sheet name="R_arki" sheetId="3415" state="hidden" r:id="rId26"/>
    <sheet name="R_ilta" sheetId="3160" state="hidden" r:id="rId27"/>
    <sheet name="R_arkikaikki" sheetId="3155" state="hidden" r:id="rId28"/>
    <sheet name="R_kaikki" sheetId="3159" state="hidden" r:id="rId29"/>
    <sheet name="pl_pohja" sheetId="2791" state="hidden" r:id="rId30"/>
    <sheet name="pv_pohja2" sheetId="2792" state="hidden" r:id="rId31"/>
    <sheet name="Aamuilta_pohja" sheetId="706" state="hidden" r:id="rId32"/>
    <sheet name="GPT cache" sheetId="4639" state="veryHidden" r:id="rId33"/>
  </sheets>
  <functionGroups builtInGroupCount="19">
    <functionGroup name="GPT in Excel"/>
  </functionGroups>
  <externalReferences>
    <externalReference r:id="rId34"/>
    <externalReference r:id="rId35"/>
    <externalReference r:id="rId36"/>
    <externalReference r:id="rId37"/>
    <externalReference r:id="rId38"/>
    <externalReference r:id="rId39"/>
    <externalReference r:id="rId40"/>
  </externalReferences>
  <definedNames>
    <definedName name="_xlnm._FilterDatabase" localSheetId="6" hidden="1">Lapset!$A$2:$V$3</definedName>
    <definedName name="_xlnm._FilterDatabase" localSheetId="5" hidden="1">Ryhmät!$A$2:$Y$3</definedName>
    <definedName name="a">[1]Code!$A$42:$A$43</definedName>
    <definedName name="Aamuilta" localSheetId="31">[2]Code!$A$42:$A$43</definedName>
    <definedName name="Aamuilta" localSheetId="25">[3]Code!$A$42:$A$43</definedName>
    <definedName name="Aikuiset">OFFSET(#REF!,0,0,COUNTA(#REF!),1)</definedName>
    <definedName name="b">[1]Code!$A$7:$A$9</definedName>
    <definedName name="ce">[1]Code!$A$4:$A$5</definedName>
    <definedName name="Iltaruoka">[4]Code!$A$31:$A$32</definedName>
    <definedName name="juu">[5]Code!$A$42:$A$43</definedName>
    <definedName name="Koko_talon_iltaruoat">[4]Code!$A$36:$A$37</definedName>
    <definedName name="Lapset" localSheetId="31">OFFSET(#REF!,0,0,COUNTA(#REF!)-1,1)</definedName>
    <definedName name="Lapset">OFFSET(#REF!,0,0,COUNTA(#REF!)-1,1)</definedName>
    <definedName name="Lapset_Erityisruokavalio">[4]Code!$A$13:$A$14</definedName>
    <definedName name="Ohjeteksti">#REF!</definedName>
    <definedName name="poista">[6]Code!$A$42:$A$43</definedName>
    <definedName name="poista1">OFFSET(#REF!,0,0,COUNTA(#REF!)-1,1)</definedName>
    <definedName name="poista2">[6]Code!$A$4:$A$5</definedName>
    <definedName name="_xlnm.Print_Area" localSheetId="31">Aamuilta_pohja!$A:$J</definedName>
    <definedName name="_xlnm.Print_Area" localSheetId="29">pl_pohja!$A:$F</definedName>
    <definedName name="_xlnm.Print_Area" localSheetId="23">pl_pysty!$A:$E</definedName>
    <definedName name="_xlnm.Print_Area" localSheetId="24">pl_pystywc!$A:$F</definedName>
    <definedName name="_xlnm.Print_Area" localSheetId="22">pl_vaaka!$A:$E</definedName>
    <definedName name="_xlnm.Print_Area" localSheetId="21">pl_vaakawc!$A:$F</definedName>
    <definedName name="_xlnm.Print_Area" localSheetId="17">Pohja!$A$1:$R$42</definedName>
    <definedName name="_xlnm.Print_Area" localSheetId="30">pv_pohja2!$A$1:$A$48</definedName>
    <definedName name="_xlnm.Print_Area" localSheetId="4">Pääsivu!$A:$O</definedName>
    <definedName name="_xlnm.Print_Area" localSheetId="25">R_arki!$A$1:$AF$36</definedName>
    <definedName name="_xlnm.Print_Area" localSheetId="27">R_arkikaikki!$A$1:$AF$36</definedName>
    <definedName name="_xlnm.Print_Area" localSheetId="26">R_ilta!$A$1:$V$36</definedName>
    <definedName name="_xlnm.Print_Area" localSheetId="28">R_kaikki!$A$1:$AF$40</definedName>
    <definedName name="_xlnm.Print_Area" localSheetId="20">Ruokakoonti_pohja!$A$1:$G$10</definedName>
    <definedName name="rpohja">[4]Code!$A$42:$A$43</definedName>
    <definedName name="Ryhmät_Aakkosjärjestys" localSheetId="31">[2]Code!$A$7:$A$8</definedName>
    <definedName name="Ryhmät_Aakkosjärjestys" localSheetId="25">[3]Code!$A$7:$A$9</definedName>
    <definedName name="Ryhmät_Käytössä" localSheetId="31">[2]Code!$A$4:$A$5</definedName>
    <definedName name="Ryhmät_Käytössä" localSheetId="25">[3]Code!$A$4:$A$5</definedName>
    <definedName name="Ryhmät_Käytössä">[7]Code!$A$4:$A$5</definedName>
    <definedName name="Ryhmät_Näytetäänkö_työntekijät">[4]Code!$A$19:$A$21</definedName>
    <definedName name="Työntekijät_Erityisruokavalio">[4]Code!$A$16:$A$17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F33" i="3159" l="1"/>
  <c r="AE33" i="3159"/>
  <c r="AD33" i="3159"/>
  <c r="AC33" i="3159"/>
  <c r="AB33" i="3159"/>
  <c r="AA33" i="3159"/>
  <c r="Z33" i="3159"/>
  <c r="Y33" i="3159"/>
  <c r="X33" i="3159"/>
  <c r="W33" i="3159"/>
  <c r="V33" i="3159"/>
  <c r="U33" i="3159"/>
  <c r="T33" i="3159"/>
  <c r="S33" i="3159"/>
  <c r="R33" i="3159"/>
  <c r="Q33" i="3159"/>
  <c r="P33" i="3159"/>
  <c r="O33" i="3159"/>
  <c r="N33" i="3159"/>
  <c r="M33" i="3159"/>
  <c r="L33" i="3159"/>
  <c r="K33" i="3159"/>
  <c r="J33" i="3159"/>
  <c r="I33" i="3159"/>
  <c r="H33" i="3159"/>
  <c r="G33" i="3159"/>
  <c r="F33" i="3159"/>
  <c r="E33" i="3159"/>
  <c r="D33" i="3159"/>
  <c r="C33" i="3159"/>
  <c r="AF24" i="3159"/>
  <c r="AE24" i="3159"/>
  <c r="AD24" i="3159"/>
  <c r="AC24" i="3159"/>
  <c r="AB24" i="3159"/>
  <c r="AA24" i="3159"/>
  <c r="Z24" i="3159"/>
  <c r="Y24" i="3159"/>
  <c r="X24" i="3159"/>
  <c r="W24" i="3159"/>
  <c r="V24" i="3159"/>
  <c r="U24" i="3159"/>
  <c r="T24" i="3159"/>
  <c r="S24" i="3159"/>
  <c r="R24" i="3159"/>
  <c r="Q24" i="3159"/>
  <c r="P24" i="3159"/>
  <c r="O24" i="3159"/>
  <c r="N24" i="3159"/>
  <c r="M24" i="3159"/>
  <c r="L24" i="3159"/>
  <c r="K24" i="3159"/>
  <c r="J24" i="3159"/>
  <c r="I24" i="3159"/>
  <c r="H24" i="3159"/>
  <c r="G24" i="3159"/>
  <c r="F24" i="3159"/>
  <c r="E24" i="3159"/>
  <c r="D24" i="3159"/>
  <c r="C24" i="3159"/>
  <c r="AF12" i="3159"/>
  <c r="AE12" i="3159"/>
  <c r="AD12" i="3159"/>
  <c r="AC12" i="3159"/>
  <c r="AB12" i="3159"/>
  <c r="AA12" i="3159"/>
  <c r="Z12" i="3159"/>
  <c r="Y12" i="3159"/>
  <c r="X12" i="3159"/>
  <c r="W12" i="3159"/>
  <c r="V12" i="3159"/>
  <c r="U12" i="3159"/>
  <c r="T12" i="3159"/>
  <c r="S12" i="3159"/>
  <c r="R12" i="3159"/>
  <c r="Q12" i="3159"/>
  <c r="P12" i="3159"/>
  <c r="O12" i="3159"/>
  <c r="N12" i="3159"/>
  <c r="M12" i="3159"/>
  <c r="L12" i="3159"/>
  <c r="K12" i="3159"/>
  <c r="J12" i="3159"/>
  <c r="I12" i="3159"/>
  <c r="H12" i="3159"/>
  <c r="G12" i="3159"/>
  <c r="F12" i="3159"/>
  <c r="E12" i="3159"/>
  <c r="D12" i="3159"/>
  <c r="C12" i="3159"/>
  <c r="AF3" i="3159"/>
  <c r="AE3" i="3159"/>
  <c r="AD3" i="3159"/>
  <c r="AC3" i="3159"/>
  <c r="AB3" i="3159"/>
  <c r="AA3" i="3159"/>
  <c r="Z3" i="3159"/>
  <c r="Y3" i="3159"/>
  <c r="X3" i="3159"/>
  <c r="W3" i="3159"/>
  <c r="V3" i="3159"/>
  <c r="U3" i="3159"/>
  <c r="T3" i="3159"/>
  <c r="S3" i="3159"/>
  <c r="R3" i="3159"/>
  <c r="Q3" i="3159"/>
  <c r="P3" i="3159"/>
  <c r="O3" i="3159"/>
  <c r="N3" i="3159"/>
  <c r="M3" i="3159"/>
  <c r="L3" i="3159"/>
  <c r="K3" i="3159"/>
  <c r="J3" i="3159"/>
  <c r="I3" i="3159"/>
  <c r="H3" i="3159"/>
  <c r="AF31" i="3155"/>
  <c r="AE31" i="3155"/>
  <c r="AD31" i="3155"/>
  <c r="AC31" i="3155"/>
  <c r="AB31" i="3155"/>
  <c r="AA31" i="3155"/>
  <c r="Z31" i="3155"/>
  <c r="Y31" i="3155"/>
  <c r="X31" i="3155"/>
  <c r="W31" i="3155"/>
  <c r="V31" i="3155"/>
  <c r="U31" i="3155"/>
  <c r="T31" i="3155"/>
  <c r="S31" i="3155"/>
  <c r="R31" i="3155"/>
  <c r="Q31" i="3155"/>
  <c r="P31" i="3155"/>
  <c r="O31" i="3155"/>
  <c r="N31" i="3155"/>
  <c r="M31" i="3155"/>
  <c r="L31" i="3155"/>
  <c r="K31" i="3155"/>
  <c r="J31" i="3155"/>
  <c r="I31" i="3155"/>
  <c r="H31" i="3155"/>
  <c r="G31" i="3155"/>
  <c r="F31" i="3155"/>
  <c r="E31" i="3155"/>
  <c r="D31" i="3155"/>
  <c r="C31" i="3155"/>
  <c r="AF24" i="3155"/>
  <c r="AE24" i="3155"/>
  <c r="AD24" i="3155"/>
  <c r="AC24" i="3155"/>
  <c r="AB24" i="3155"/>
  <c r="AA24" i="3155"/>
  <c r="Z24" i="3155"/>
  <c r="Y24" i="3155"/>
  <c r="X24" i="3155"/>
  <c r="W24" i="3155"/>
  <c r="V24" i="3155"/>
  <c r="U24" i="3155"/>
  <c r="T24" i="3155"/>
  <c r="S24" i="3155"/>
  <c r="R24" i="3155"/>
  <c r="Q24" i="3155"/>
  <c r="P24" i="3155"/>
  <c r="O24" i="3155"/>
  <c r="N24" i="3155"/>
  <c r="M24" i="3155"/>
  <c r="L24" i="3155"/>
  <c r="K24" i="3155"/>
  <c r="J24" i="3155"/>
  <c r="I24" i="3155"/>
  <c r="H24" i="3155"/>
  <c r="G24" i="3155"/>
  <c r="F24" i="3155"/>
  <c r="E24" i="3155"/>
  <c r="D24" i="3155"/>
  <c r="C24" i="3155"/>
  <c r="AF10" i="3155"/>
  <c r="AE10" i="3155"/>
  <c r="AD10" i="3155"/>
  <c r="AC10" i="3155"/>
  <c r="AB10" i="3155"/>
  <c r="AA10" i="3155"/>
  <c r="Z10" i="3155"/>
  <c r="Y10" i="3155"/>
  <c r="X10" i="3155"/>
  <c r="W10" i="3155"/>
  <c r="V10" i="3155"/>
  <c r="U10" i="3155"/>
  <c r="T10" i="3155"/>
  <c r="S10" i="3155"/>
  <c r="R10" i="3155"/>
  <c r="Q10" i="3155"/>
  <c r="P10" i="3155"/>
  <c r="O10" i="3155"/>
  <c r="N10" i="3155"/>
  <c r="M10" i="3155"/>
  <c r="L10" i="3155"/>
  <c r="K10" i="3155"/>
  <c r="J10" i="3155"/>
  <c r="I10" i="3155"/>
  <c r="H10" i="3155"/>
  <c r="G10" i="3155"/>
  <c r="F10" i="3155"/>
  <c r="E10" i="3155"/>
  <c r="D10" i="3155"/>
  <c r="C10" i="3155"/>
  <c r="AF3" i="3155"/>
  <c r="AE3" i="3155"/>
  <c r="AD3" i="3155"/>
  <c r="AC3" i="3155"/>
  <c r="AB3" i="3155"/>
  <c r="AA3" i="3155"/>
  <c r="Z3" i="3155"/>
  <c r="Y3" i="3155"/>
  <c r="X3" i="3155"/>
  <c r="W3" i="3155"/>
  <c r="V3" i="3155"/>
  <c r="U3" i="3155"/>
  <c r="T3" i="3155"/>
  <c r="S3" i="3155"/>
  <c r="R3" i="3155"/>
  <c r="Q3" i="3155"/>
  <c r="P3" i="3155"/>
  <c r="O3" i="3155"/>
  <c r="N3" i="3155"/>
  <c r="M3" i="3155"/>
  <c r="L3" i="3155"/>
  <c r="K3" i="3155"/>
  <c r="J3" i="3155"/>
  <c r="I3" i="3155"/>
  <c r="H3" i="3155"/>
  <c r="V31" i="3160"/>
  <c r="U31" i="3160"/>
  <c r="T31" i="3160"/>
  <c r="S31" i="3160"/>
  <c r="R31" i="3160"/>
  <c r="Q31" i="3160"/>
  <c r="P31" i="3160"/>
  <c r="O31" i="3160"/>
  <c r="N31" i="3160"/>
  <c r="M31" i="3160"/>
  <c r="L31" i="3160"/>
  <c r="K31" i="3160"/>
  <c r="J31" i="3160"/>
  <c r="I31" i="3160"/>
  <c r="H31" i="3160"/>
  <c r="G31" i="3160"/>
  <c r="F31" i="3160"/>
  <c r="E31" i="3160"/>
  <c r="D31" i="3160"/>
  <c r="C31" i="3160"/>
  <c r="V24" i="3160"/>
  <c r="U24" i="3160"/>
  <c r="T24" i="3160"/>
  <c r="S24" i="3160"/>
  <c r="R24" i="3160"/>
  <c r="Q24" i="3160"/>
  <c r="P24" i="3160"/>
  <c r="O24" i="3160"/>
  <c r="N24" i="3160"/>
  <c r="M24" i="3160"/>
  <c r="L24" i="3160"/>
  <c r="K24" i="3160"/>
  <c r="J24" i="3160"/>
  <c r="I24" i="3160"/>
  <c r="H24" i="3160"/>
  <c r="G24" i="3160"/>
  <c r="F24" i="3160"/>
  <c r="E24" i="3160"/>
  <c r="D24" i="3160"/>
  <c r="C24" i="3160"/>
  <c r="V10" i="3160"/>
  <c r="U10" i="3160"/>
  <c r="T10" i="3160"/>
  <c r="S10" i="3160"/>
  <c r="R10" i="3160"/>
  <c r="Q10" i="3160"/>
  <c r="P10" i="3160"/>
  <c r="O10" i="3160"/>
  <c r="N10" i="3160"/>
  <c r="M10" i="3160"/>
  <c r="L10" i="3160"/>
  <c r="K10" i="3160"/>
  <c r="J10" i="3160"/>
  <c r="I10" i="3160"/>
  <c r="H10" i="3160"/>
  <c r="G10" i="3160"/>
  <c r="F10" i="3160"/>
  <c r="E10" i="3160"/>
  <c r="D10" i="3160"/>
  <c r="C10" i="3160"/>
  <c r="V3" i="3160"/>
  <c r="U3" i="3160"/>
  <c r="T3" i="3160"/>
  <c r="S3" i="3160"/>
  <c r="R3" i="3160"/>
  <c r="Q3" i="3160"/>
  <c r="P3" i="3160"/>
  <c r="O3" i="3160"/>
  <c r="N3" i="3160"/>
  <c r="M3" i="3160"/>
  <c r="L3" i="3160"/>
  <c r="K3" i="3160"/>
  <c r="J3" i="3160"/>
  <c r="I3" i="3160"/>
  <c r="H3" i="3160"/>
  <c r="G3" i="3160"/>
  <c r="F3" i="3160"/>
  <c r="E3" i="3160"/>
  <c r="AF31" i="3415"/>
  <c r="AE31" i="3415"/>
  <c r="AD31" i="3415"/>
  <c r="AC31" i="3415"/>
  <c r="AB31" i="3415"/>
  <c r="AA31" i="3415"/>
  <c r="Z31" i="3415"/>
  <c r="Y31" i="3415"/>
  <c r="X31" i="3415"/>
  <c r="W31" i="3415"/>
  <c r="V31" i="3415"/>
  <c r="U31" i="3415"/>
  <c r="T31" i="3415"/>
  <c r="S31" i="3415"/>
  <c r="R31" i="3415"/>
  <c r="Q31" i="3415"/>
  <c r="P31" i="3415"/>
  <c r="O31" i="3415"/>
  <c r="N31" i="3415"/>
  <c r="M31" i="3415"/>
  <c r="L31" i="3415"/>
  <c r="K31" i="3415"/>
  <c r="J31" i="3415"/>
  <c r="I31" i="3415"/>
  <c r="H31" i="3415"/>
  <c r="G31" i="3415"/>
  <c r="F31" i="3415"/>
  <c r="E31" i="3415"/>
  <c r="D31" i="3415"/>
  <c r="C31" i="3415"/>
  <c r="AF24" i="3415"/>
  <c r="AE24" i="3415"/>
  <c r="AD24" i="3415"/>
  <c r="AC24" i="3415"/>
  <c r="AB24" i="3415"/>
  <c r="AA24" i="3415"/>
  <c r="Z24" i="3415"/>
  <c r="Y24" i="3415"/>
  <c r="X24" i="3415"/>
  <c r="W24" i="3415"/>
  <c r="V24" i="3415"/>
  <c r="U24" i="3415"/>
  <c r="T24" i="3415"/>
  <c r="S24" i="3415"/>
  <c r="R24" i="3415"/>
  <c r="Q24" i="3415"/>
  <c r="P24" i="3415"/>
  <c r="O24" i="3415"/>
  <c r="N24" i="3415"/>
  <c r="M24" i="3415"/>
  <c r="L24" i="3415"/>
  <c r="K24" i="3415"/>
  <c r="J24" i="3415"/>
  <c r="I24" i="3415"/>
  <c r="H24" i="3415"/>
  <c r="G24" i="3415"/>
  <c r="F24" i="3415"/>
  <c r="E24" i="3415"/>
  <c r="D24" i="3415"/>
  <c r="C24" i="3415"/>
  <c r="AF10" i="3415"/>
  <c r="AE10" i="3415"/>
  <c r="AD10" i="3415"/>
  <c r="AC10" i="3415"/>
  <c r="AB10" i="3415"/>
  <c r="AA10" i="3415"/>
  <c r="Z10" i="3415"/>
  <c r="Y10" i="3415"/>
  <c r="X10" i="3415"/>
  <c r="W10" i="3415"/>
  <c r="V10" i="3415"/>
  <c r="U10" i="3415"/>
  <c r="T10" i="3415"/>
  <c r="S10" i="3415"/>
  <c r="R10" i="3415"/>
  <c r="Q10" i="3415"/>
  <c r="P10" i="3415"/>
  <c r="O10" i="3415"/>
  <c r="N10" i="3415"/>
  <c r="M10" i="3415"/>
  <c r="L10" i="3415"/>
  <c r="K10" i="3415"/>
  <c r="J10" i="3415"/>
  <c r="I10" i="3415"/>
  <c r="H10" i="3415"/>
  <c r="G10" i="3415"/>
  <c r="F10" i="3415"/>
  <c r="E10" i="3415"/>
  <c r="D10" i="3415"/>
  <c r="C10" i="3415"/>
  <c r="AF3" i="3415"/>
  <c r="AE3" i="3415"/>
  <c r="AD3" i="3415"/>
  <c r="AC3" i="3415"/>
  <c r="AB3" i="3415"/>
  <c r="AA3" i="3415"/>
  <c r="Z3" i="3415"/>
  <c r="Y3" i="3415"/>
  <c r="X3" i="3415"/>
  <c r="W3" i="3415"/>
  <c r="V3" i="3415"/>
  <c r="U3" i="3415"/>
  <c r="T3" i="3415"/>
  <c r="S3" i="3415"/>
  <c r="R3" i="3415"/>
  <c r="Q3" i="3415"/>
  <c r="P3" i="3415"/>
  <c r="O3" i="3415"/>
  <c r="N3" i="3415"/>
  <c r="M3" i="3415"/>
  <c r="L3" i="3415"/>
  <c r="K3" i="3415"/>
  <c r="J3" i="3415"/>
  <c r="I3" i="3415"/>
  <c r="H3" i="3415"/>
  <c r="G3" i="3415"/>
  <c r="F3" i="3415"/>
</calcChain>
</file>

<file path=xl/sharedStrings.xml><?xml version="1.0" encoding="utf-8"?>
<sst xmlns="http://schemas.openxmlformats.org/spreadsheetml/2006/main" count="1033" uniqueCount="214">
  <si>
    <t>Kyllä</t>
  </si>
  <si>
    <t>Päivälapun pohja</t>
  </si>
  <si>
    <t>Pysty + wc</t>
  </si>
  <si>
    <t>Ei</t>
  </si>
  <si>
    <t>Sähköposti</t>
  </si>
  <si>
    <t>Päiväkoti (pdf:n nimi)</t>
  </si>
  <si>
    <t>Otsikko</t>
  </si>
  <si>
    <t>Viestikenttä (rivinvaihto: alt-pohjassa enter)</t>
  </si>
  <si>
    <t>Ryhmän nimi</t>
  </si>
  <si>
    <t>Ryhmät</t>
  </si>
  <si>
    <t>Väri</t>
  </si>
  <si>
    <t>Päivät</t>
  </si>
  <si>
    <t>Järjestys</t>
  </si>
  <si>
    <t>Käytössä</t>
  </si>
  <si>
    <t>Viikkolistan aakkosjärjestys</t>
  </si>
  <si>
    <t>Boldaus jos lapsi tuodaan aiemmin kuin</t>
  </si>
  <si>
    <t>Boldaus jos lapsi haetaan myöhemmin kuin</t>
  </si>
  <si>
    <t>Puokkariboldaus</t>
  </si>
  <si>
    <t>Puokkariboldaus 2</t>
  </si>
  <si>
    <t>Ruokalapun tulostus</t>
  </si>
  <si>
    <t>Ruokalapun asetukset</t>
  </si>
  <si>
    <t>Yhdistä ruokalaput</t>
  </si>
  <si>
    <t>Aamupala 1</t>
  </si>
  <si>
    <t>Aamupala 2</t>
  </si>
  <si>
    <t>Lounas</t>
  </si>
  <si>
    <t>Lounas 2</t>
  </si>
  <si>
    <t>Välipala</t>
  </si>
  <si>
    <t>Välipala 2</t>
  </si>
  <si>
    <t>Päivällinen 1</t>
  </si>
  <si>
    <t>Päivällinen 2</t>
  </si>
  <si>
    <t>Iltapala 1</t>
  </si>
  <si>
    <t>Iltapala 2</t>
  </si>
  <si>
    <t>Viikkolistan tulostus</t>
  </si>
  <si>
    <t>Ryhmien yhdistäminen (viikkolistat ja/tai päivälaput)</t>
  </si>
  <si>
    <t>Yhdistetyn listan nimi</t>
  </si>
  <si>
    <t>Yhdistettyjen listojen tyylit</t>
  </si>
  <si>
    <t>Päivystys</t>
  </si>
  <si>
    <t>Päivälappujen tulostus</t>
  </si>
  <si>
    <t>Päivälappujen aakkosjärjestys</t>
  </si>
  <si>
    <t>Päivälappujen pohja</t>
  </si>
  <si>
    <t>Tyhjät nimirivit</t>
  </si>
  <si>
    <t>Käytössä Merikarhussa</t>
  </si>
  <si>
    <t>Kutsumanimi</t>
  </si>
  <si>
    <t>Pysty</t>
  </si>
  <si>
    <t>Koko nimi</t>
  </si>
  <si>
    <t>Ryhmä</t>
  </si>
  <si>
    <t>Erityisruokavalio</t>
  </si>
  <si>
    <t>Työntekijä</t>
  </si>
  <si>
    <t>Ma tulo</t>
  </si>
  <si>
    <t>Ma lähtö</t>
  </si>
  <si>
    <t>Ti tulo</t>
  </si>
  <si>
    <t>Ti lähtö</t>
  </si>
  <si>
    <t>Ke tulo</t>
  </si>
  <si>
    <t>Ke lähtö</t>
  </si>
  <si>
    <t>To tulo</t>
  </si>
  <si>
    <t>To lähtö</t>
  </si>
  <si>
    <t>Pe tulo</t>
  </si>
  <si>
    <t>Pe lähtö</t>
  </si>
  <si>
    <t>La tulo</t>
  </si>
  <si>
    <t>La lähtö</t>
  </si>
  <si>
    <t>Su tulo</t>
  </si>
  <si>
    <t>Su lähtö</t>
  </si>
  <si>
    <t>Sukunimi</t>
  </si>
  <si>
    <t>ArkiPoissa</t>
  </si>
  <si>
    <t>VklPoissa</t>
  </si>
  <si>
    <t>AinaPoissa</t>
  </si>
  <si>
    <t>Syntymäaika</t>
  </si>
  <si>
    <t>Spessu</t>
  </si>
  <si>
    <t>P</t>
  </si>
  <si>
    <t>Vastuullinen</t>
  </si>
  <si>
    <t xml:space="preserve"> </t>
  </si>
  <si>
    <t>–</t>
  </si>
  <si>
    <t>PV</t>
  </si>
  <si>
    <t>AIK</t>
  </si>
  <si>
    <t>LAPSET</t>
  </si>
  <si>
    <t>A</t>
  </si>
  <si>
    <t>L</t>
  </si>
  <si>
    <t>V</t>
  </si>
  <si>
    <t>ma</t>
  </si>
  <si>
    <t>ti</t>
  </si>
  <si>
    <t>ke</t>
  </si>
  <si>
    <t>to</t>
  </si>
  <si>
    <t>pe</t>
  </si>
  <si>
    <t>MUUT</t>
  </si>
  <si>
    <t>I</t>
  </si>
  <si>
    <t>pl-ryhmänimi</t>
  </si>
  <si>
    <t>pl-pvm</t>
  </si>
  <si>
    <t xml:space="preserve">  NIMI</t>
  </si>
  <si>
    <t>HOITOAIKA</t>
  </si>
  <si>
    <t>RUOKA</t>
  </si>
  <si>
    <t>UNET</t>
  </si>
  <si>
    <t xml:space="preserve">  KUULUMISET</t>
  </si>
  <si>
    <t>pl-nimi</t>
  </si>
  <si>
    <t>pl-hoitoaika</t>
  </si>
  <si>
    <t>pl-vikasarake</t>
  </si>
  <si>
    <t>pl-alateksti</t>
  </si>
  <si>
    <t>pl-vikarivi</t>
  </si>
  <si>
    <t>Päivä</t>
  </si>
  <si>
    <t>Hoitoajat ok?</t>
  </si>
  <si>
    <t>Työvuorot ok?</t>
  </si>
  <si>
    <t>Ryhmät (validaatio)</t>
  </si>
  <si>
    <t>Ma-su + ilta</t>
  </si>
  <si>
    <t>Iso fontti</t>
  </si>
  <si>
    <t>Koonti</t>
  </si>
  <si>
    <t>la</t>
  </si>
  <si>
    <t>su</t>
  </si>
  <si>
    <t>VESSA</t>
  </si>
  <si>
    <t xml:space="preserve">  WC</t>
  </si>
  <si>
    <t xml:space="preserve">  HOITOAIKA</t>
  </si>
  <si>
    <t>RUOKAILU</t>
  </si>
  <si>
    <t xml:space="preserve">    KUULUMISET</t>
  </si>
  <si>
    <t>WC &amp; PYYKKI</t>
  </si>
  <si>
    <t>Päiväkodin nimi</t>
  </si>
  <si>
    <t>Arkistointi</t>
  </si>
  <si>
    <t>{"hash":"b6133909c8e45c8467d7cf94d6268dd264aa9bb7b04eb536ddb6ef0bde7802f0","version":1,"value":"[[\"Possu ei ole nestemäinen aine, joten sitä ei voida mitata litroissa. Possu on kiinteä ruumiinosa, joka voidaan mitata esimerkiksi kilogrammoina.\"]]"}</t>
  </si>
  <si>
    <t>{"hash":"3784fd3e6438a96a24c2f022d64ba432839a2dc096200a7a1d4146a0b28a02f5","version":1,"value":"[[\"Vanilja\"],[\"Suklaa\"],[\"Mansikka\"],[\"Minttu\"],[\"Karamelli\"],[\"Sitruuna\"],[\"Mustikka\"],[\"Vadelma\"],[\"Omena\"],[\"Appelsiini\"],[\"Lakritsi\"],[\"Kookos\"],[\"Mango\"],[\"Persikka\"],[\"Pistaasi\"],[\"Toffee\"],[\"Suklaa-minttu\"],[\"Suklaa-kirsikka\"],[\"Suklaa-pähkinä\"],[\"Suklaa-banaani\"]]"}</t>
  </si>
  <si>
    <t>Kiertopohja</t>
  </si>
  <si>
    <t>Prosentti</t>
  </si>
  <si>
    <t>Aktiivinen</t>
  </si>
  <si>
    <t>Nimike</t>
  </si>
  <si>
    <t>Rinnakkainen</t>
  </si>
  <si>
    <t>Hoitoajat</t>
  </si>
  <si>
    <t>Nimi</t>
  </si>
  <si>
    <t>Liitetyt ryhmät</t>
  </si>
  <si>
    <t>Ryhmä, jolle päivälapun pohja luodaan</t>
  </si>
  <si>
    <t>1</t>
  </si>
  <si>
    <t>2</t>
  </si>
  <si>
    <t>3</t>
  </si>
  <si>
    <t>Liitokset</t>
  </si>
  <si>
    <t>Työntekijät</t>
  </si>
  <si>
    <t>Lapset</t>
  </si>
  <si>
    <t/>
  </si>
  <si>
    <t>Ohjelman tietokanta</t>
  </si>
  <si>
    <t>4</t>
  </si>
  <si>
    <t>5</t>
  </si>
  <si>
    <t>6</t>
  </si>
  <si>
    <t>Iltalapun tulostus</t>
  </si>
  <si>
    <t>Aamulapun tulostus</t>
  </si>
  <si>
    <t>Aamulapun alku</t>
  </si>
  <si>
    <t>Iltalapun alku</t>
  </si>
  <si>
    <t>Iltalapun loppu</t>
  </si>
  <si>
    <t>Aamulapun loppu</t>
  </si>
  <si>
    <t>Liitokset | Hoitoajat</t>
  </si>
  <si>
    <t>Ryhmät | Hoitoajat</t>
  </si>
  <si>
    <t>Lapset | Hoitoajat</t>
  </si>
  <si>
    <t>Työntekijät | Hoitoajat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</si>
  <si>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</si>
  <si>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</si>
  <si>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</si>
  <si>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</si>
  <si>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</si>
  <si>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</si>
  <si>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</si>
  <si>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</si>
  <si>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</si>
  <si>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</si>
  <si>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</si>
  <si>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</si>
  <si>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</si>
  <si>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</si>
  <si>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</si>
  <si>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</si>
  <si>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</si>
  <si>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</si>
  <si>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</si>
  <si>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</si>
  <si>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</si>
  <si>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</si>
  <si>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</si>
  <si>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</si>
  <si>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</si>
  <si>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</si>
  <si>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</si>
  <si>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</si>
  <si>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Lista</t>
  </si>
  <si>
    <t>Versio</t>
  </si>
  <si>
    <t>Tyyppi</t>
  </si>
  <si>
    <t>Lounas 1</t>
  </si>
  <si>
    <t>Välipala 1</t>
  </si>
  <si>
    <t>Validaatio</t>
  </si>
  <si>
    <t>Värikoodi</t>
  </si>
  <si>
    <t>VäriNimi</t>
  </si>
  <si>
    <t>Keltainen</t>
  </si>
  <si>
    <t>f5d90a</t>
  </si>
  <si>
    <t>Sininen</t>
  </si>
  <si>
    <t>0091ff</t>
  </si>
  <si>
    <t>Turkoosi</t>
  </si>
  <si>
    <t>68ddfd</t>
  </si>
  <si>
    <t>Musta</t>
  </si>
  <si>
    <t>8a918e</t>
  </si>
  <si>
    <t>Vihreä</t>
  </si>
  <si>
    <t>99d52a</t>
  </si>
  <si>
    <t>Ruskea</t>
  </si>
  <si>
    <t>ad7f58</t>
  </si>
  <si>
    <t>Violetti</t>
  </si>
  <si>
    <t>be93e4</t>
  </si>
  <si>
    <t>Punainen</t>
  </si>
  <si>
    <t>e54d2e</t>
  </si>
  <si>
    <t>Pinkki</t>
  </si>
  <si>
    <t>e58fb1</t>
  </si>
  <si>
    <t>Oranssi</t>
  </si>
  <si>
    <t>fa934e</t>
  </si>
  <si>
    <t>Teamsin nimi, johon arkistoidaan</t>
  </si>
  <si>
    <t>Ei syö</t>
  </si>
  <si>
    <t xml:space="preserve">v </t>
  </si>
  <si>
    <t>Iltatuulet</t>
  </si>
  <si>
    <t>Päiväkoti</t>
  </si>
  <si>
    <t>Resurssi</t>
  </si>
  <si>
    <t>Alle 3v</t>
  </si>
  <si>
    <t>Lisätieto</t>
  </si>
  <si>
    <t>Datan versio</t>
  </si>
  <si>
    <t>© Jaakko Haavisto &amp; Lauri Laattala</t>
  </si>
  <si>
    <t>Versio 1.0.1</t>
  </si>
  <si>
    <t>Mansikat,Vadelmat,Karpalot,Puolukat,Karviaiset,Mustikat,Hillat,Juolukat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</si>
</sst>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ddd&quot; &quot;d&quot;.&quot;m&quot;.&quot;"/>
    <numFmt numFmtId="165" formatCode="ddd\ d/m/"/>
    <numFmt numFmtId="166" formatCode="d&quot;.&quot;m&quot;.&quot;"/>
    <numFmt numFmtId="167" formatCode="0;[Red]0"/>
    <numFmt numFmtId="168" formatCode="d/m/"/>
  </numFmts>
  <fonts count="68">
    <font>
      <sz val="11"/>
      <color rgb="FF000000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</font>
    <font>
      <sz val="11"/>
      <color rgb="FF000000"/>
      <name val="Calibri"/>
      <family val="2"/>
    </font>
    <font>
      <sz val="12"/>
      <color rgb="FF000000"/>
      <name val="Calibri"/>
      <family val="2"/>
    </font>
    <font>
      <b/>
      <sz val="12"/>
      <color rgb="FF000000"/>
      <name val="Calibri"/>
      <family val="2"/>
    </font>
    <font>
      <sz val="13"/>
      <color rgb="FF000000"/>
      <name val="Calibri"/>
      <family val="2"/>
      <scheme val="minor"/>
    </font>
    <font>
      <b/>
      <sz val="12"/>
      <name val="Calibri"/>
      <family val="2"/>
    </font>
    <font>
      <b/>
      <sz val="14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1"/>
      <color theme="0"/>
      <name val="Calibri"/>
      <family val="2"/>
    </font>
    <font>
      <b/>
      <sz val="14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8"/>
      <color theme="1" tint="4.9989318521683403E-2"/>
      <name val="Calibri"/>
      <family val="2"/>
    </font>
    <font>
      <sz val="12"/>
      <name val="Calibri"/>
      <family val="2"/>
    </font>
    <font>
      <sz val="8"/>
      <name val="Calibri"/>
      <family val="2"/>
    </font>
    <font>
      <b/>
      <sz val="14"/>
      <color rgb="FF000000"/>
      <name val="Calibri"/>
      <family val="2"/>
    </font>
    <font>
      <sz val="22"/>
      <color rgb="FF000000"/>
      <name val="Calibri"/>
      <family val="2"/>
    </font>
    <font>
      <sz val="15"/>
      <name val="Calibri"/>
      <family val="2"/>
    </font>
    <font>
      <sz val="13"/>
      <name val="Calibri"/>
      <family val="2"/>
    </font>
    <font>
      <b/>
      <sz val="10.5"/>
      <name val="Cabin"/>
    </font>
    <font>
      <sz val="10.5"/>
      <name val="Calibri"/>
      <family val="2"/>
    </font>
    <font>
      <sz val="10.5"/>
      <color rgb="FF000000"/>
      <name val="Calibri"/>
      <family val="2"/>
    </font>
    <font>
      <b/>
      <sz val="10"/>
      <name val="Cabin"/>
    </font>
    <font>
      <b/>
      <sz val="16"/>
      <name val="Calibri"/>
      <family val="2"/>
    </font>
    <font>
      <b/>
      <sz val="12"/>
      <color theme="1"/>
      <name val="Calibri"/>
      <family val="2"/>
    </font>
    <font>
      <u/>
      <sz val="12"/>
      <name val="Calibri"/>
      <family val="2"/>
    </font>
    <font>
      <b/>
      <sz val="15"/>
      <color rgb="FF000000"/>
      <name val="Calibri"/>
      <family val="2"/>
    </font>
    <font>
      <sz val="16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22"/>
      <color rgb="FF000000"/>
      <name val="Calibri Light"/>
      <family val="2"/>
    </font>
    <font>
      <b/>
      <sz val="11"/>
      <color theme="0"/>
      <name val="Calibri"/>
      <family val="2"/>
    </font>
    <font>
      <sz val="12"/>
      <color rgb="FF000000"/>
      <name val="Calibri"/>
      <family val="2"/>
      <scheme val="minor"/>
    </font>
    <font>
      <sz val="10"/>
      <color rgb="FF000000"/>
      <name val="Droid Sans"/>
      <family val="2"/>
    </font>
    <font>
      <sz val="11"/>
      <color rgb="FF000000"/>
      <name val="Calibri Light"/>
      <family val="2"/>
    </font>
    <font>
      <sz val="12"/>
      <color rgb="FF000000"/>
      <name val="Calibri Light"/>
      <family val="2"/>
    </font>
    <font>
      <sz val="20"/>
      <color rgb="FF000000"/>
      <name val="Calibri Light"/>
      <family val="2"/>
    </font>
    <font>
      <sz val="20"/>
      <color rgb="FF000000"/>
      <name val="Calibri"/>
      <family val="2"/>
    </font>
    <font>
      <sz val="14"/>
      <color theme="1" tint="4.9989318521683403E-2"/>
      <name val="Calibri"/>
      <family val="2"/>
    </font>
    <font>
      <sz val="15"/>
      <color rgb="FF000000"/>
      <name val="Calibri"/>
      <family val="2"/>
    </font>
    <font>
      <b/>
      <sz val="16"/>
      <color theme="1" tint="4.9989318521683403E-2"/>
      <name val="Calibri"/>
      <family val="2"/>
    </font>
    <font>
      <b/>
      <sz val="14"/>
      <name val="Cabin"/>
    </font>
    <font>
      <b/>
      <sz val="20"/>
      <name val="Cabin"/>
    </font>
    <font>
      <b/>
      <sz val="24"/>
      <name val="Cabin"/>
    </font>
    <font>
      <sz val="28"/>
      <name val="Calibri"/>
      <family val="2"/>
      <scheme val="minor"/>
    </font>
    <font>
      <sz val="28"/>
      <color theme="1" tint="4.9989318521683403E-2"/>
      <name val="Calibri"/>
      <family val="2"/>
      <scheme val="minor"/>
    </font>
    <font>
      <sz val="36"/>
      <color rgb="FF000000"/>
      <name val="Calibri"/>
      <family val="2"/>
    </font>
    <font>
      <u/>
      <sz val="11"/>
      <color theme="10"/>
      <name val="Calibri"/>
      <family val="2"/>
    </font>
    <font>
      <sz val="12"/>
      <color rgb="FFECECF1"/>
      <name val="Segoe UI"/>
      <family val="2"/>
    </font>
    <font>
      <b/>
      <sz val="11"/>
      <name val="Calibri"/>
      <family val="2"/>
    </font>
    <font>
      <sz val="36"/>
      <color theme="0"/>
      <name val="Calibri"/>
      <family val="2"/>
    </font>
    <font>
      <sz val="8"/>
      <color rgb="FF000000"/>
      <name val="Segoe UI"/>
      <family val="2"/>
    </font>
    <font>
      <b/>
      <sz val="11"/>
      <color theme="1"/>
      <name val="Calibri"/>
      <family val="2"/>
    </font>
    <font>
      <sz val="12"/>
      <name val="Cabin"/>
    </font>
    <font>
      <sz val="12"/>
      <color rgb="FF000000"/>
      <name val="Cabin"/>
    </font>
    <font>
      <sz val="18"/>
      <color theme="0"/>
      <name val="Verdana"/>
      <family val="2"/>
    </font>
    <font>
      <sz val="11"/>
      <color theme="1"/>
      <name val="Calibri"/>
      <family val="2"/>
    </font>
    <font>
      <b/>
      <sz val="11"/>
      <color indexed="8"/>
      <name val="Calibri"/>
      <family val="2"/>
    </font>
    <font>
      <sz val="11"/>
      <color theme="0"/>
      <name val="Verdana"/>
      <family val="2"/>
    </font>
  </fonts>
  <fills count="4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0" tint="-0.14999847407452621"/>
        <bgColor rgb="FFFFFFFF"/>
      </patternFill>
    </fill>
    <fill>
      <patternFill patternType="solid">
        <fgColor theme="0"/>
        <bgColor theme="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rgb="FFEFEFEF"/>
      </patternFill>
    </fill>
    <fill>
      <patternFill patternType="solid">
        <fgColor theme="0" tint="-0.14999847407452621"/>
        <bgColor rgb="FFD9D9D9"/>
      </patternFill>
    </fill>
    <fill>
      <patternFill patternType="solid">
        <fgColor theme="0"/>
        <bgColor rgb="FFFFFFFF"/>
      </patternFill>
    </fill>
    <fill>
      <patternFill patternType="solid">
        <fgColor theme="0"/>
        <bgColor rgb="FFD9D9D9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D9D9D9"/>
        <bgColor rgb="FFFFFFFF"/>
      </patternFill>
    </fill>
    <fill>
      <patternFill patternType="solid">
        <fgColor theme="0" tint="-0.14996795556505021"/>
        <bgColor rgb="FFFFFFFF"/>
      </patternFill>
    </fill>
    <fill>
      <patternFill patternType="solid">
        <fgColor indexed="1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0"/>
        <bgColor rgb="FFEFEFEF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327E8E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7605D"/>
        <bgColor indexed="64"/>
      </patternFill>
    </fill>
    <fill>
      <patternFill patternType="solid">
        <fgColor rgb="FFD09E00"/>
        <bgColor indexed="64"/>
      </patternFill>
    </fill>
    <fill>
      <patternFill patternType="solid">
        <fgColor rgb="FF8C73AD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rgb="FF02CAC5"/>
        <bgColor indexed="64"/>
      </patternFill>
    </fill>
    <fill>
      <patternFill patternType="solid">
        <fgColor theme="5" tint="0.79998168889431442"/>
        <bgColor theme="5" tint="0.79998168889431442"/>
      </patternFill>
    </fill>
  </fills>
  <borders count="1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theme="0" tint="-0.24994659260841701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hair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/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rgb="FF000000"/>
      </top>
      <bottom style="thin">
        <color auto="1"/>
      </bottom>
      <diagonal/>
    </border>
    <border>
      <left/>
      <right/>
      <top style="thin">
        <color theme="0" tint="-0.499984740745262"/>
      </top>
      <bottom/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hair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hair">
        <color rgb="FF000000"/>
      </left>
      <right style="hair">
        <color indexed="64"/>
      </right>
      <top style="thin">
        <color rgb="FF000000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/>
      <diagonal/>
    </border>
    <border>
      <left style="hair">
        <color rgb="FF000000"/>
      </left>
      <right style="hair">
        <color rgb="FF000000"/>
      </right>
      <top style="thin">
        <color indexed="64"/>
      </top>
      <bottom/>
      <diagonal/>
    </border>
    <border>
      <left style="hair">
        <color rgb="FF000000"/>
      </left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 style="thin">
        <color indexed="64"/>
      </top>
      <bottom/>
      <diagonal/>
    </border>
    <border>
      <left/>
      <right style="hair">
        <color rgb="FF000000"/>
      </right>
      <top style="thin">
        <color indexed="64"/>
      </top>
      <bottom/>
      <diagonal/>
    </border>
    <border>
      <left style="hair">
        <color rgb="FF000000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hair">
        <color rgb="FF000000"/>
      </left>
      <right style="thin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indexed="64"/>
      </bottom>
      <diagonal/>
    </border>
    <border>
      <left style="hair">
        <color rgb="FF000000"/>
      </left>
      <right/>
      <top style="thin">
        <color rgb="FF000000"/>
      </top>
      <bottom/>
      <diagonal/>
    </border>
    <border>
      <left style="hair">
        <color rgb="FF000000"/>
      </left>
      <right/>
      <top style="thin">
        <color indexed="64"/>
      </top>
      <bottom style="thin">
        <color indexed="64"/>
      </bottom>
      <diagonal/>
    </border>
    <border>
      <left style="hair">
        <color rgb="FF000000"/>
      </left>
      <right/>
      <top style="thin">
        <color indexed="64"/>
      </top>
      <bottom/>
      <diagonal/>
    </border>
    <border>
      <left style="hair">
        <color rgb="FF000000"/>
      </left>
      <right/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9"/>
      </left>
      <right style="thin">
        <color theme="9"/>
      </right>
      <top style="thin">
        <color theme="9"/>
      </top>
      <bottom style="medium">
        <color theme="9"/>
      </bottom>
      <diagonal/>
    </border>
    <border>
      <left style="thin">
        <color theme="9"/>
      </left>
      <right style="thin">
        <color theme="9"/>
      </right>
      <top style="thin">
        <color theme="4" tint="0.39997558519241921"/>
      </top>
      <bottom style="medium">
        <color theme="9"/>
      </bottom>
      <diagonal/>
    </border>
    <border>
      <left style="thin">
        <color theme="1"/>
      </left>
      <right style="thin">
        <color theme="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</borders>
  <cellStyleXfs count="23">
    <xf numFmtId="0" fontId="0" fillId="0" borderId="0"/>
    <xf numFmtId="0" fontId="11" fillId="0" borderId="0"/>
    <xf numFmtId="0" fontId="16" fillId="0" borderId="5" applyNumberFormat="0" applyFont="0" applyFill="0" applyAlignment="0" applyProtection="0">
      <alignment horizontal="left" vertical="center"/>
    </xf>
    <xf numFmtId="0" fontId="19" fillId="0" borderId="0" applyNumberFormat="0" applyFill="0" applyBorder="0" applyAlignment="0" applyProtection="0"/>
    <xf numFmtId="0" fontId="14" fillId="2" borderId="0" applyNumberFormat="0" applyFill="0" applyBorder="0" applyAlignment="0" applyProtection="0"/>
    <xf numFmtId="0" fontId="21" fillId="0" borderId="3" applyNumberFormat="0" applyFont="0" applyFill="0" applyAlignment="0" applyProtection="0">
      <alignment horizontal="left"/>
    </xf>
    <xf numFmtId="0" fontId="13" fillId="0" borderId="0" applyNumberFormat="0" applyFill="0" applyBorder="0" applyAlignment="0" applyProtection="0"/>
    <xf numFmtId="0" fontId="22" fillId="9" borderId="6" applyNumberFormat="0" applyFill="0" applyBorder="0" applyProtection="0">
      <alignment horizontal="center" vertical="top"/>
    </xf>
    <xf numFmtId="164" fontId="13" fillId="12" borderId="0" applyNumberFormat="0" applyFont="0" applyBorder="0" applyAlignment="0" applyProtection="0">
      <alignment horizontal="center" vertical="center" wrapText="1"/>
    </xf>
    <xf numFmtId="0" fontId="35" fillId="0" borderId="0" applyNumberFormat="0" applyFill="0" applyBorder="0" applyAlignment="0" applyProtection="0"/>
    <xf numFmtId="0" fontId="41" fillId="21" borderId="46" applyProtection="0">
      <alignment horizontal="left" vertical="center" indent="1"/>
    </xf>
    <xf numFmtId="0" fontId="38" fillId="21" borderId="45" applyNumberFormat="0" applyProtection="0">
      <alignment horizontal="left" vertical="center" wrapText="1" indent="1"/>
    </xf>
    <xf numFmtId="0" fontId="47" fillId="16" borderId="6" applyNumberFormat="0" applyFill="0" applyBorder="0" applyProtection="0">
      <alignment horizontal="center" vertical="center"/>
    </xf>
    <xf numFmtId="0" fontId="56" fillId="0" borderId="0" applyNumberFormat="0" applyFill="0" applyBorder="0" applyAlignment="0" applyProtection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632">
    <xf numFmtId="0" fontId="0" fillId="0" borderId="0" xfId="0"/>
    <xf numFmtId="0" fontId="0" fillId="0" borderId="0" xfId="0" applyAlignment="1">
      <alignment wrapText="1"/>
    </xf>
    <xf numFmtId="0" fontId="11" fillId="0" borderId="0" xfId="0" applyFont="1"/>
    <xf numFmtId="0" fontId="11" fillId="0" borderId="0" xfId="1"/>
    <xf numFmtId="0" fontId="11" fillId="0" borderId="0" xfId="1" applyAlignment="1">
      <alignment horizontal="left"/>
    </xf>
    <xf numFmtId="0" fontId="18" fillId="0" borderId="0" xfId="1" applyFont="1" applyAlignment="1">
      <alignment horizontal="left" vertical="top" wrapText="1"/>
    </xf>
    <xf numFmtId="0" fontId="18" fillId="4" borderId="0" xfId="0" applyFont="1" applyFill="1"/>
    <xf numFmtId="49" fontId="18" fillId="4" borderId="0" xfId="1" applyNumberFormat="1" applyFont="1" applyFill="1" applyAlignment="1">
      <alignment vertical="top" wrapText="1"/>
    </xf>
    <xf numFmtId="49" fontId="18" fillId="5" borderId="0" xfId="1" applyNumberFormat="1" applyFont="1" applyFill="1" applyAlignment="1">
      <alignment vertical="top" wrapText="1"/>
    </xf>
    <xf numFmtId="49" fontId="18" fillId="6" borderId="0" xfId="1" applyNumberFormat="1" applyFont="1" applyFill="1" applyAlignment="1">
      <alignment vertical="top" wrapText="1"/>
    </xf>
    <xf numFmtId="0" fontId="11" fillId="0" borderId="1" xfId="0" applyFont="1" applyBorder="1"/>
    <xf numFmtId="0" fontId="0" fillId="4" borderId="0" xfId="0" applyFill="1"/>
    <xf numFmtId="0" fontId="10" fillId="3" borderId="0" xfId="0" applyFont="1" applyFill="1"/>
    <xf numFmtId="0" fontId="0" fillId="3" borderId="0" xfId="0" applyFill="1"/>
    <xf numFmtId="49" fontId="10" fillId="3" borderId="0" xfId="1" applyNumberFormat="1" applyFont="1" applyFill="1" applyAlignment="1">
      <alignment horizontal="left" vertical="top" wrapText="1"/>
    </xf>
    <xf numFmtId="0" fontId="10" fillId="10" borderId="0" xfId="1" applyFont="1" applyFill="1" applyAlignment="1">
      <alignment horizontal="left" vertical="top" wrapText="1"/>
    </xf>
    <xf numFmtId="20" fontId="10" fillId="8" borderId="0" xfId="1" applyNumberFormat="1" applyFont="1" applyFill="1"/>
    <xf numFmtId="20" fontId="10" fillId="8" borderId="0" xfId="1" applyNumberFormat="1" applyFont="1" applyFill="1" applyAlignment="1">
      <alignment horizontal="center" vertical="center"/>
    </xf>
    <xf numFmtId="20" fontId="12" fillId="0" borderId="0" xfId="0" applyNumberFormat="1" applyFont="1" applyAlignment="1">
      <alignment horizontal="center" vertical="top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 wrapText="1"/>
    </xf>
    <xf numFmtId="49" fontId="12" fillId="0" borderId="0" xfId="0" applyNumberFormat="1" applyFont="1" applyAlignment="1">
      <alignment horizontal="left" vertical="top"/>
    </xf>
    <xf numFmtId="49" fontId="12" fillId="0" borderId="0" xfId="2" applyNumberFormat="1" applyFont="1" applyBorder="1" applyAlignment="1">
      <alignment horizontal="left" vertical="top"/>
    </xf>
    <xf numFmtId="49" fontId="12" fillId="0" borderId="0" xfId="8" applyNumberFormat="1" applyFont="1" applyFill="1" applyAlignment="1">
      <alignment horizontal="left"/>
    </xf>
    <xf numFmtId="49" fontId="12" fillId="0" borderId="0" xfId="2" applyNumberFormat="1" applyFont="1" applyBorder="1" applyAlignment="1">
      <alignment horizontal="left"/>
    </xf>
    <xf numFmtId="0" fontId="0" fillId="0" borderId="8" xfId="0" applyBorder="1"/>
    <xf numFmtId="166" fontId="27" fillId="0" borderId="8" xfId="0" applyNumberFormat="1" applyFont="1" applyBorder="1" applyAlignment="1">
      <alignment vertical="center"/>
    </xf>
    <xf numFmtId="0" fontId="27" fillId="2" borderId="8" xfId="0" applyFont="1" applyFill="1" applyBorder="1" applyAlignment="1">
      <alignment horizontal="center" vertical="center"/>
    </xf>
    <xf numFmtId="166" fontId="28" fillId="0" borderId="8" xfId="0" applyNumberFormat="1" applyFont="1" applyBorder="1" applyAlignment="1">
      <alignment horizontal="left" vertical="center"/>
    </xf>
    <xf numFmtId="0" fontId="28" fillId="0" borderId="8" xfId="0" applyFont="1" applyBorder="1"/>
    <xf numFmtId="0" fontId="31" fillId="0" borderId="0" xfId="0" applyFont="1" applyAlignment="1">
      <alignment wrapText="1"/>
    </xf>
    <xf numFmtId="0" fontId="32" fillId="13" borderId="16" xfId="0" applyFont="1" applyFill="1" applyBorder="1" applyAlignment="1">
      <alignment horizontal="center" vertical="center"/>
    </xf>
    <xf numFmtId="0" fontId="32" fillId="13" borderId="17" xfId="0" applyFont="1" applyFill="1" applyBorder="1" applyAlignment="1">
      <alignment horizontal="center" vertical="center"/>
    </xf>
    <xf numFmtId="0" fontId="32" fillId="3" borderId="20" xfId="0" applyFont="1" applyFill="1" applyBorder="1" applyAlignment="1">
      <alignment horizontal="center" vertical="center"/>
    </xf>
    <xf numFmtId="0" fontId="32" fillId="3" borderId="17" xfId="0" applyFont="1" applyFill="1" applyBorder="1" applyAlignment="1">
      <alignment horizontal="center" vertical="center"/>
    </xf>
    <xf numFmtId="0" fontId="32" fillId="3" borderId="21" xfId="0" applyFont="1" applyFill="1" applyBorder="1" applyAlignment="1">
      <alignment horizontal="center" vertical="center"/>
    </xf>
    <xf numFmtId="0" fontId="32" fillId="13" borderId="22" xfId="0" applyFont="1" applyFill="1" applyBorder="1" applyAlignment="1">
      <alignment horizontal="center" vertical="center"/>
    </xf>
    <xf numFmtId="0" fontId="32" fillId="13" borderId="21" xfId="0" applyFont="1" applyFill="1" applyBorder="1" applyAlignment="1">
      <alignment horizontal="center" vertical="center"/>
    </xf>
    <xf numFmtId="0" fontId="33" fillId="14" borderId="6" xfId="0" applyFont="1" applyFill="1" applyBorder="1" applyAlignment="1">
      <alignment horizontal="center" vertical="center"/>
    </xf>
    <xf numFmtId="0" fontId="33" fillId="14" borderId="23" xfId="0" applyFont="1" applyFill="1" applyBorder="1" applyAlignment="1">
      <alignment horizontal="center" vertical="center"/>
    </xf>
    <xf numFmtId="0" fontId="33" fillId="2" borderId="25" xfId="0" applyFont="1" applyFill="1" applyBorder="1" applyAlignment="1">
      <alignment horizontal="center" vertical="center"/>
    </xf>
    <xf numFmtId="0" fontId="33" fillId="2" borderId="23" xfId="0" applyFont="1" applyFill="1" applyBorder="1" applyAlignment="1">
      <alignment horizontal="center" vertical="center"/>
    </xf>
    <xf numFmtId="0" fontId="33" fillId="15" borderId="27" xfId="0" applyFont="1" applyFill="1" applyBorder="1" applyAlignment="1">
      <alignment horizontal="center" vertical="center"/>
    </xf>
    <xf numFmtId="0" fontId="33" fillId="15" borderId="23" xfId="0" applyFont="1" applyFill="1" applyBorder="1" applyAlignment="1">
      <alignment horizontal="center" vertical="center"/>
    </xf>
    <xf numFmtId="0" fontId="33" fillId="15" borderId="26" xfId="0" applyFont="1" applyFill="1" applyBorder="1" applyAlignment="1">
      <alignment horizontal="center" vertical="center"/>
    </xf>
    <xf numFmtId="0" fontId="33" fillId="14" borderId="28" xfId="0" applyFont="1" applyFill="1" applyBorder="1" applyAlignment="1">
      <alignment horizontal="center" vertical="center"/>
    </xf>
    <xf numFmtId="0" fontId="33" fillId="14" borderId="29" xfId="0" applyFont="1" applyFill="1" applyBorder="1" applyAlignment="1">
      <alignment horizontal="center" vertical="center"/>
    </xf>
    <xf numFmtId="0" fontId="33" fillId="14" borderId="31" xfId="0" applyFont="1" applyFill="1" applyBorder="1" applyAlignment="1">
      <alignment horizontal="center" vertical="center"/>
    </xf>
    <xf numFmtId="0" fontId="33" fillId="2" borderId="32" xfId="0" applyFont="1" applyFill="1" applyBorder="1" applyAlignment="1">
      <alignment horizontal="center" vertical="center"/>
    </xf>
    <xf numFmtId="0" fontId="33" fillId="2" borderId="29" xfId="0" applyFont="1" applyFill="1" applyBorder="1" applyAlignment="1">
      <alignment horizontal="center" vertical="center"/>
    </xf>
    <xf numFmtId="0" fontId="33" fillId="15" borderId="34" xfId="0" applyFont="1" applyFill="1" applyBorder="1" applyAlignment="1">
      <alignment horizontal="center" vertical="center"/>
    </xf>
    <xf numFmtId="0" fontId="33" fillId="15" borderId="29" xfId="0" applyFont="1" applyFill="1" applyBorder="1" applyAlignment="1">
      <alignment horizontal="center" vertical="center"/>
    </xf>
    <xf numFmtId="0" fontId="33" fillId="15" borderId="33" xfId="0" applyFont="1" applyFill="1" applyBorder="1" applyAlignment="1">
      <alignment horizontal="center" vertical="center"/>
    </xf>
    <xf numFmtId="0" fontId="33" fillId="9" borderId="41" xfId="0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/>
    </xf>
    <xf numFmtId="0" fontId="11" fillId="0" borderId="0" xfId="1" applyAlignment="1">
      <alignment wrapText="1"/>
    </xf>
    <xf numFmtId="0" fontId="36" fillId="0" borderId="8" xfId="0" applyFont="1" applyBorder="1" applyAlignment="1">
      <alignment vertical="center"/>
    </xf>
    <xf numFmtId="0" fontId="11" fillId="3" borderId="0" xfId="1" applyFill="1"/>
    <xf numFmtId="0" fontId="11" fillId="3" borderId="0" xfId="1" applyFill="1" applyAlignment="1">
      <alignment vertical="center"/>
    </xf>
    <xf numFmtId="0" fontId="39" fillId="0" borderId="0" xfId="1" applyFont="1" applyAlignment="1">
      <alignment horizontal="left" vertical="center" wrapText="1"/>
    </xf>
    <xf numFmtId="0" fontId="37" fillId="2" borderId="0" xfId="1" applyFont="1" applyFill="1" applyAlignment="1">
      <alignment vertical="top"/>
    </xf>
    <xf numFmtId="0" fontId="16" fillId="22" borderId="5" xfId="11" applyNumberFormat="1" applyFont="1" applyFill="1" applyBorder="1" applyAlignment="1">
      <alignment horizontal="left" wrapText="1" indent="1"/>
    </xf>
    <xf numFmtId="0" fontId="16" fillId="16" borderId="0" xfId="11" applyNumberFormat="1" applyFont="1" applyFill="1" applyBorder="1" applyAlignment="1">
      <alignment horizontal="left" wrapText="1" indent="1"/>
    </xf>
    <xf numFmtId="0" fontId="16" fillId="12" borderId="5" xfId="11" applyFont="1" applyFill="1" applyBorder="1" applyAlignment="1">
      <alignment horizontal="left" wrapText="1" indent="1"/>
    </xf>
    <xf numFmtId="0" fontId="16" fillId="3" borderId="0" xfId="11" applyFont="1" applyFill="1" applyBorder="1" applyAlignment="1">
      <alignment horizontal="left" wrapText="1" indent="1"/>
    </xf>
    <xf numFmtId="0" fontId="16" fillId="0" borderId="0" xfId="11" applyFont="1" applyFill="1" applyBorder="1" applyAlignment="1">
      <alignment horizontal="left" wrapText="1" indent="1"/>
    </xf>
    <xf numFmtId="0" fontId="42" fillId="22" borderId="46" xfId="10" applyFont="1" applyFill="1" applyAlignment="1">
      <alignment horizontal="left" vertical="top" indent="1"/>
    </xf>
    <xf numFmtId="0" fontId="42" fillId="16" borderId="0" xfId="10" applyFont="1" applyFill="1" applyBorder="1" applyAlignment="1">
      <alignment horizontal="left" vertical="top" indent="1"/>
    </xf>
    <xf numFmtId="0" fontId="42" fillId="3" borderId="0" xfId="10" applyFont="1" applyFill="1" applyBorder="1" applyAlignment="1">
      <alignment horizontal="left" vertical="top" indent="1"/>
    </xf>
    <xf numFmtId="0" fontId="42" fillId="12" borderId="46" xfId="10" applyFont="1" applyFill="1" applyAlignment="1">
      <alignment horizontal="left" vertical="top" indent="1"/>
    </xf>
    <xf numFmtId="0" fontId="42" fillId="0" borderId="0" xfId="10" applyFont="1" applyFill="1" applyBorder="1" applyAlignment="1">
      <alignment horizontal="left" vertical="top" indent="1"/>
    </xf>
    <xf numFmtId="49" fontId="0" fillId="0" borderId="0" xfId="1" applyNumberFormat="1" applyFont="1"/>
    <xf numFmtId="167" fontId="0" fillId="0" borderId="0" xfId="0" applyNumberFormat="1"/>
    <xf numFmtId="0" fontId="11" fillId="0" borderId="0" xfId="1" applyAlignment="1">
      <alignment horizontal="center" vertical="center"/>
    </xf>
    <xf numFmtId="0" fontId="44" fillId="2" borderId="0" xfId="1" applyFont="1" applyFill="1" applyAlignment="1">
      <alignment horizontal="left" vertical="center" wrapText="1"/>
    </xf>
    <xf numFmtId="0" fontId="44" fillId="0" borderId="0" xfId="1" applyFont="1" applyAlignment="1">
      <alignment horizontal="left" vertical="center" wrapText="1"/>
    </xf>
    <xf numFmtId="0" fontId="43" fillId="3" borderId="0" xfId="1" applyFont="1" applyFill="1"/>
    <xf numFmtId="0" fontId="44" fillId="16" borderId="47" xfId="10" applyFont="1" applyFill="1" applyBorder="1" applyAlignment="1">
      <alignment horizontal="center" vertical="center"/>
    </xf>
    <xf numFmtId="0" fontId="44" fillId="16" borderId="47" xfId="10" applyFont="1" applyFill="1" applyBorder="1" applyAlignment="1">
      <alignment horizontal="left" vertical="center"/>
    </xf>
    <xf numFmtId="0" fontId="44" fillId="16" borderId="0" xfId="10" applyFont="1" applyFill="1" applyBorder="1" applyAlignment="1">
      <alignment horizontal="center" vertical="center"/>
    </xf>
    <xf numFmtId="0" fontId="44" fillId="16" borderId="0" xfId="10" applyFont="1" applyFill="1" applyBorder="1" applyAlignment="1">
      <alignment horizontal="left" vertical="center"/>
    </xf>
    <xf numFmtId="0" fontId="44" fillId="16" borderId="48" xfId="10" applyFont="1" applyFill="1" applyBorder="1" applyAlignment="1">
      <alignment horizontal="center" vertical="center" wrapText="1"/>
    </xf>
    <xf numFmtId="0" fontId="45" fillId="0" borderId="0" xfId="1" applyFont="1" applyAlignment="1">
      <alignment horizontal="left" vertical="top"/>
    </xf>
    <xf numFmtId="0" fontId="46" fillId="3" borderId="0" xfId="1" applyFont="1" applyFill="1"/>
    <xf numFmtId="0" fontId="46" fillId="0" borderId="0" xfId="1" applyFont="1"/>
    <xf numFmtId="0" fontId="44" fillId="0" borderId="0" xfId="11" applyNumberFormat="1" applyFont="1" applyFill="1" applyBorder="1" applyAlignment="1">
      <alignment horizontal="left" vertical="center" wrapText="1"/>
    </xf>
    <xf numFmtId="0" fontId="43" fillId="0" borderId="47" xfId="10" applyFont="1" applyFill="1" applyBorder="1" applyAlignment="1">
      <alignment horizontal="center" vertical="center"/>
    </xf>
    <xf numFmtId="0" fontId="11" fillId="0" borderId="0" xfId="1" applyAlignment="1">
      <alignment vertical="center"/>
    </xf>
    <xf numFmtId="0" fontId="11" fillId="0" borderId="47" xfId="1" applyBorder="1" applyAlignment="1">
      <alignment vertical="center"/>
    </xf>
    <xf numFmtId="0" fontId="11" fillId="0" borderId="48" xfId="1" applyBorder="1" applyAlignment="1">
      <alignment vertical="center"/>
    </xf>
    <xf numFmtId="0" fontId="43" fillId="0" borderId="0" xfId="1" applyFont="1"/>
    <xf numFmtId="0" fontId="20" fillId="3" borderId="0" xfId="0" applyFont="1" applyFill="1"/>
    <xf numFmtId="0" fontId="11" fillId="3" borderId="0" xfId="0" applyFont="1" applyFill="1"/>
    <xf numFmtId="166" fontId="27" fillId="0" borderId="8" xfId="0" applyNumberFormat="1" applyFont="1" applyBorder="1" applyAlignment="1">
      <alignment horizontal="right" vertical="center"/>
    </xf>
    <xf numFmtId="166" fontId="27" fillId="0" borderId="8" xfId="0" applyNumberFormat="1" applyFont="1" applyBorder="1" applyAlignment="1">
      <alignment horizontal="left" vertical="center"/>
    </xf>
    <xf numFmtId="0" fontId="29" fillId="13" borderId="10" xfId="0" applyFont="1" applyFill="1" applyBorder="1" applyAlignment="1">
      <alignment horizontal="center" vertical="center" wrapText="1"/>
    </xf>
    <xf numFmtId="0" fontId="33" fillId="14" borderId="49" xfId="0" applyFont="1" applyFill="1" applyBorder="1" applyAlignment="1">
      <alignment horizontal="center" vertical="center"/>
    </xf>
    <xf numFmtId="0" fontId="33" fillId="14" borderId="50" xfId="0" applyFont="1" applyFill="1" applyBorder="1" applyAlignment="1">
      <alignment horizontal="center" vertical="center"/>
    </xf>
    <xf numFmtId="0" fontId="32" fillId="3" borderId="19" xfId="0" applyFont="1" applyFill="1" applyBorder="1" applyAlignment="1">
      <alignment horizontal="center" vertical="center"/>
    </xf>
    <xf numFmtId="0" fontId="33" fillId="2" borderId="51" xfId="0" applyFont="1" applyFill="1" applyBorder="1" applyAlignment="1">
      <alignment horizontal="center" vertical="center"/>
    </xf>
    <xf numFmtId="0" fontId="33" fillId="2" borderId="52" xfId="0" applyFont="1" applyFill="1" applyBorder="1" applyAlignment="1">
      <alignment horizontal="center" vertical="center"/>
    </xf>
    <xf numFmtId="0" fontId="32" fillId="3" borderId="22" xfId="0" applyFont="1" applyFill="1" applyBorder="1" applyAlignment="1">
      <alignment horizontal="center" vertical="center"/>
    </xf>
    <xf numFmtId="0" fontId="33" fillId="2" borderId="27" xfId="0" applyFont="1" applyFill="1" applyBorder="1" applyAlignment="1">
      <alignment horizontal="center" vertical="center"/>
    </xf>
    <xf numFmtId="0" fontId="33" fillId="2" borderId="34" xfId="0" applyFont="1" applyFill="1" applyBorder="1" applyAlignment="1">
      <alignment horizontal="center" vertical="center"/>
    </xf>
    <xf numFmtId="0" fontId="33" fillId="15" borderId="51" xfId="0" applyFont="1" applyFill="1" applyBorder="1" applyAlignment="1">
      <alignment horizontal="center" vertical="center"/>
    </xf>
    <xf numFmtId="0" fontId="33" fillId="15" borderId="52" xfId="0" applyFont="1" applyFill="1" applyBorder="1" applyAlignment="1">
      <alignment horizontal="center" vertical="center"/>
    </xf>
    <xf numFmtId="0" fontId="33" fillId="9" borderId="23" xfId="0" applyFont="1" applyFill="1" applyBorder="1" applyAlignment="1">
      <alignment horizontal="center" vertical="center"/>
    </xf>
    <xf numFmtId="0" fontId="33" fillId="9" borderId="26" xfId="0" applyFont="1" applyFill="1" applyBorder="1" applyAlignment="1">
      <alignment horizontal="center" vertical="center"/>
    </xf>
    <xf numFmtId="0" fontId="33" fillId="9" borderId="29" xfId="0" applyFont="1" applyFill="1" applyBorder="1" applyAlignment="1">
      <alignment horizontal="center" vertical="center"/>
    </xf>
    <xf numFmtId="0" fontId="33" fillId="9" borderId="33" xfId="0" applyFont="1" applyFill="1" applyBorder="1" applyAlignment="1">
      <alignment horizontal="center" vertical="center"/>
    </xf>
    <xf numFmtId="0" fontId="33" fillId="17" borderId="38" xfId="0" applyFont="1" applyFill="1" applyBorder="1" applyAlignment="1">
      <alignment horizontal="center" vertical="center"/>
    </xf>
    <xf numFmtId="0" fontId="33" fillId="16" borderId="40" xfId="0" applyFont="1" applyFill="1" applyBorder="1" applyAlignment="1">
      <alignment horizontal="center" vertical="center"/>
    </xf>
    <xf numFmtId="0" fontId="33" fillId="17" borderId="42" xfId="0" applyFont="1" applyFill="1" applyBorder="1" applyAlignment="1">
      <alignment horizontal="center" vertical="center"/>
    </xf>
    <xf numFmtId="0" fontId="33" fillId="16" borderId="44" xfId="0" applyFont="1" applyFill="1" applyBorder="1" applyAlignment="1">
      <alignment horizontal="center" vertical="center"/>
    </xf>
    <xf numFmtId="0" fontId="29" fillId="13" borderId="11" xfId="0" applyFont="1" applyFill="1" applyBorder="1" applyAlignment="1">
      <alignment horizontal="center" vertical="center" wrapText="1"/>
    </xf>
    <xf numFmtId="0" fontId="30" fillId="13" borderId="53" xfId="0" applyFont="1" applyFill="1" applyBorder="1"/>
    <xf numFmtId="0" fontId="29" fillId="13" borderId="54" xfId="0" applyFont="1" applyFill="1" applyBorder="1" applyAlignment="1">
      <alignment horizontal="center" vertical="center"/>
    </xf>
    <xf numFmtId="0" fontId="29" fillId="13" borderId="55" xfId="0" applyFont="1" applyFill="1" applyBorder="1" applyAlignment="1">
      <alignment horizontal="center" vertical="center"/>
    </xf>
    <xf numFmtId="0" fontId="32" fillId="3" borderId="16" xfId="0" applyFont="1" applyFill="1" applyBorder="1" applyAlignment="1">
      <alignment horizontal="center" vertical="center"/>
    </xf>
    <xf numFmtId="0" fontId="32" fillId="3" borderId="18" xfId="0" applyFont="1" applyFill="1" applyBorder="1" applyAlignment="1">
      <alignment horizontal="center" vertical="center"/>
    </xf>
    <xf numFmtId="0" fontId="22" fillId="16" borderId="6" xfId="0" applyFont="1" applyFill="1" applyBorder="1" applyAlignment="1">
      <alignment horizontal="center" vertical="top"/>
    </xf>
    <xf numFmtId="0" fontId="22" fillId="16" borderId="23" xfId="0" applyFont="1" applyFill="1" applyBorder="1" applyAlignment="1">
      <alignment horizontal="center" vertical="top"/>
    </xf>
    <xf numFmtId="0" fontId="22" fillId="16" borderId="24" xfId="0" applyFont="1" applyFill="1" applyBorder="1" applyAlignment="1">
      <alignment horizontal="center" vertical="top"/>
    </xf>
    <xf numFmtId="0" fontId="22" fillId="16" borderId="28" xfId="0" applyFont="1" applyFill="1" applyBorder="1" applyAlignment="1">
      <alignment horizontal="center" vertical="top"/>
    </xf>
    <xf numFmtId="0" fontId="22" fillId="16" borderId="29" xfId="0" applyFont="1" applyFill="1" applyBorder="1" applyAlignment="1">
      <alignment horizontal="center" vertical="top"/>
    </xf>
    <xf numFmtId="0" fontId="22" fillId="16" borderId="30" xfId="0" applyFont="1" applyFill="1" applyBorder="1" applyAlignment="1">
      <alignment horizontal="center" vertical="top"/>
    </xf>
    <xf numFmtId="0" fontId="29" fillId="13" borderId="10" xfId="0" applyFont="1" applyFill="1" applyBorder="1" applyAlignment="1">
      <alignment horizontal="center" vertical="center"/>
    </xf>
    <xf numFmtId="0" fontId="29" fillId="13" borderId="1" xfId="0" applyFont="1" applyFill="1" applyBorder="1" applyAlignment="1">
      <alignment horizontal="center" vertical="center"/>
    </xf>
    <xf numFmtId="0" fontId="22" fillId="16" borderId="58" xfId="0" applyFont="1" applyFill="1" applyBorder="1" applyAlignment="1">
      <alignment horizontal="center" vertical="top"/>
    </xf>
    <xf numFmtId="0" fontId="22" fillId="16" borderId="59" xfId="0" applyFont="1" applyFill="1" applyBorder="1" applyAlignment="1">
      <alignment horizontal="center" vertical="top"/>
    </xf>
    <xf numFmtId="0" fontId="33" fillId="14" borderId="58" xfId="0" applyFont="1" applyFill="1" applyBorder="1" applyAlignment="1">
      <alignment horizontal="center" vertical="center"/>
    </xf>
    <xf numFmtId="0" fontId="33" fillId="2" borderId="61" xfId="0" applyFont="1" applyFill="1" applyBorder="1" applyAlignment="1">
      <alignment horizontal="center" vertical="center"/>
    </xf>
    <xf numFmtId="0" fontId="33" fillId="15" borderId="61" xfId="0" applyFont="1" applyFill="1" applyBorder="1" applyAlignment="1">
      <alignment horizontal="center" vertical="center"/>
    </xf>
    <xf numFmtId="0" fontId="33" fillId="16" borderId="61" xfId="0" applyFont="1" applyFill="1" applyBorder="1" applyAlignment="1">
      <alignment horizontal="center" vertical="center"/>
    </xf>
    <xf numFmtId="0" fontId="22" fillId="16" borderId="62" xfId="0" applyFont="1" applyFill="1" applyBorder="1" applyAlignment="1">
      <alignment horizontal="center" vertical="top"/>
    </xf>
    <xf numFmtId="0" fontId="33" fillId="14" borderId="63" xfId="0" applyFont="1" applyFill="1" applyBorder="1" applyAlignment="1">
      <alignment horizontal="center" vertical="center"/>
    </xf>
    <xf numFmtId="0" fontId="33" fillId="14" borderId="64" xfId="0" applyFont="1" applyFill="1" applyBorder="1" applyAlignment="1">
      <alignment horizontal="center" vertical="center"/>
    </xf>
    <xf numFmtId="0" fontId="33" fillId="14" borderId="65" xfId="0" applyFont="1" applyFill="1" applyBorder="1" applyAlignment="1">
      <alignment horizontal="center" vertical="center"/>
    </xf>
    <xf numFmtId="0" fontId="33" fillId="15" borderId="66" xfId="0" applyFont="1" applyFill="1" applyBorder="1" applyAlignment="1">
      <alignment horizontal="center" vertical="center"/>
    </xf>
    <xf numFmtId="0" fontId="33" fillId="15" borderId="67" xfId="0" applyFont="1" applyFill="1" applyBorder="1" applyAlignment="1">
      <alignment horizontal="center" vertical="center"/>
    </xf>
    <xf numFmtId="0" fontId="33" fillId="2" borderId="67" xfId="0" applyFont="1" applyFill="1" applyBorder="1" applyAlignment="1">
      <alignment horizontal="center" vertical="center"/>
    </xf>
    <xf numFmtId="0" fontId="33" fillId="9" borderId="67" xfId="0" applyFont="1" applyFill="1" applyBorder="1" applyAlignment="1">
      <alignment horizontal="center" vertical="center"/>
    </xf>
    <xf numFmtId="0" fontId="33" fillId="15" borderId="68" xfId="0" applyFont="1" applyFill="1" applyBorder="1" applyAlignment="1">
      <alignment horizontal="center" vertical="center"/>
    </xf>
    <xf numFmtId="0" fontId="33" fillId="2" borderId="69" xfId="0" applyFont="1" applyFill="1" applyBorder="1" applyAlignment="1">
      <alignment horizontal="center" vertical="center"/>
    </xf>
    <xf numFmtId="0" fontId="33" fillId="2" borderId="62" xfId="0" applyFont="1" applyFill="1" applyBorder="1" applyAlignment="1">
      <alignment horizontal="center" vertical="center"/>
    </xf>
    <xf numFmtId="0" fontId="33" fillId="2" borderId="70" xfId="0" applyFont="1" applyFill="1" applyBorder="1" applyAlignment="1">
      <alignment horizontal="center" vertical="center"/>
    </xf>
    <xf numFmtId="0" fontId="33" fillId="15" borderId="72" xfId="0" applyFont="1" applyFill="1" applyBorder="1" applyAlignment="1">
      <alignment horizontal="center" vertical="center"/>
    </xf>
    <xf numFmtId="0" fontId="33" fillId="15" borderId="73" xfId="0" applyFont="1" applyFill="1" applyBorder="1" applyAlignment="1">
      <alignment horizontal="center" vertical="center"/>
    </xf>
    <xf numFmtId="0" fontId="33" fillId="15" borderId="74" xfId="0" applyFont="1" applyFill="1" applyBorder="1" applyAlignment="1">
      <alignment horizontal="center" vertical="center"/>
    </xf>
    <xf numFmtId="0" fontId="33" fillId="15" borderId="71" xfId="0" applyFont="1" applyFill="1" applyBorder="1" applyAlignment="1">
      <alignment horizontal="center" vertical="center"/>
    </xf>
    <xf numFmtId="0" fontId="33" fillId="2" borderId="72" xfId="0" applyFont="1" applyFill="1" applyBorder="1" applyAlignment="1">
      <alignment horizontal="center" vertical="center"/>
    </xf>
    <xf numFmtId="0" fontId="33" fillId="2" borderId="73" xfId="0" applyFont="1" applyFill="1" applyBorder="1" applyAlignment="1">
      <alignment horizontal="center" vertical="center"/>
    </xf>
    <xf numFmtId="0" fontId="33" fillId="2" borderId="74" xfId="0" applyFont="1" applyFill="1" applyBorder="1" applyAlignment="1">
      <alignment horizontal="center" vertical="center"/>
    </xf>
    <xf numFmtId="0" fontId="33" fillId="2" borderId="66" xfId="0" applyFont="1" applyFill="1" applyBorder="1" applyAlignment="1">
      <alignment horizontal="center" vertical="center"/>
    </xf>
    <xf numFmtId="0" fontId="33" fillId="2" borderId="68" xfId="0" applyFont="1" applyFill="1" applyBorder="1" applyAlignment="1">
      <alignment horizontal="center" vertical="center"/>
    </xf>
    <xf numFmtId="0" fontId="33" fillId="9" borderId="73" xfId="0" applyFont="1" applyFill="1" applyBorder="1" applyAlignment="1">
      <alignment horizontal="center" vertical="center"/>
    </xf>
    <xf numFmtId="0" fontId="33" fillId="16" borderId="74" xfId="0" applyFont="1" applyFill="1" applyBorder="1" applyAlignment="1">
      <alignment horizontal="center" vertical="center"/>
    </xf>
    <xf numFmtId="0" fontId="33" fillId="16" borderId="68" xfId="0" applyFont="1" applyFill="1" applyBorder="1" applyAlignment="1">
      <alignment horizontal="center" vertical="center"/>
    </xf>
    <xf numFmtId="0" fontId="33" fillId="16" borderId="71" xfId="0" applyFont="1" applyFill="1" applyBorder="1" applyAlignment="1">
      <alignment horizontal="center" vertical="center"/>
    </xf>
    <xf numFmtId="0" fontId="33" fillId="9" borderId="71" xfId="0" applyFont="1" applyFill="1" applyBorder="1" applyAlignment="1">
      <alignment horizontal="center" vertical="center"/>
    </xf>
    <xf numFmtId="0" fontId="33" fillId="16" borderId="72" xfId="0" applyFont="1" applyFill="1" applyBorder="1" applyAlignment="1">
      <alignment horizontal="center" vertical="center"/>
    </xf>
    <xf numFmtId="0" fontId="33" fillId="16" borderId="66" xfId="0" applyFont="1" applyFill="1" applyBorder="1" applyAlignment="1">
      <alignment horizontal="center" vertical="center"/>
    </xf>
    <xf numFmtId="0" fontId="33" fillId="2" borderId="35" xfId="0" applyFont="1" applyFill="1" applyBorder="1" applyAlignment="1">
      <alignment horizontal="center" vertical="center"/>
    </xf>
    <xf numFmtId="0" fontId="33" fillId="2" borderId="36" xfId="0" applyFont="1" applyFill="1" applyBorder="1" applyAlignment="1">
      <alignment horizontal="center" vertical="center"/>
    </xf>
    <xf numFmtId="0" fontId="33" fillId="14" borderId="76" xfId="0" applyFont="1" applyFill="1" applyBorder="1" applyAlignment="1">
      <alignment horizontal="center" vertical="center"/>
    </xf>
    <xf numFmtId="0" fontId="33" fillId="14" borderId="77" xfId="0" applyFont="1" applyFill="1" applyBorder="1" applyAlignment="1">
      <alignment horizontal="center" vertical="center"/>
    </xf>
    <xf numFmtId="0" fontId="33" fillId="14" borderId="78" xfId="0" applyFont="1" applyFill="1" applyBorder="1" applyAlignment="1">
      <alignment horizontal="center" vertical="center"/>
    </xf>
    <xf numFmtId="0" fontId="22" fillId="16" borderId="79" xfId="0" applyFont="1" applyFill="1" applyBorder="1" applyAlignment="1">
      <alignment horizontal="center" vertical="top"/>
    </xf>
    <xf numFmtId="0" fontId="22" fillId="16" borderId="80" xfId="0" applyFont="1" applyFill="1" applyBorder="1" applyAlignment="1">
      <alignment horizontal="center" vertical="top"/>
    </xf>
    <xf numFmtId="0" fontId="22" fillId="16" borderId="7" xfId="0" applyFont="1" applyFill="1" applyBorder="1" applyAlignment="1">
      <alignment horizontal="center" vertical="top"/>
    </xf>
    <xf numFmtId="0" fontId="22" fillId="16" borderId="9" xfId="0" applyFont="1" applyFill="1" applyBorder="1" applyAlignment="1">
      <alignment horizontal="center" vertical="top"/>
    </xf>
    <xf numFmtId="0" fontId="33" fillId="14" borderId="82" xfId="0" applyFont="1" applyFill="1" applyBorder="1" applyAlignment="1">
      <alignment horizontal="center" vertical="center"/>
    </xf>
    <xf numFmtId="0" fontId="29" fillId="3" borderId="1" xfId="0" applyFont="1" applyFill="1" applyBorder="1" applyAlignment="1">
      <alignment horizontal="center" vertical="center"/>
    </xf>
    <xf numFmtId="0" fontId="0" fillId="0" borderId="58" xfId="0" applyBorder="1"/>
    <xf numFmtId="0" fontId="33" fillId="17" borderId="39" xfId="0" applyFont="1" applyFill="1" applyBorder="1" applyAlignment="1">
      <alignment horizontal="center" vertical="center"/>
    </xf>
    <xf numFmtId="0" fontId="33" fillId="17" borderId="43" xfId="0" applyFont="1" applyFill="1" applyBorder="1" applyAlignment="1">
      <alignment horizontal="center" vertical="center"/>
    </xf>
    <xf numFmtId="0" fontId="33" fillId="14" borderId="27" xfId="0" applyFont="1" applyFill="1" applyBorder="1" applyAlignment="1">
      <alignment horizontal="center" vertical="center"/>
    </xf>
    <xf numFmtId="0" fontId="33" fillId="14" borderId="34" xfId="0" applyFont="1" applyFill="1" applyBorder="1" applyAlignment="1">
      <alignment horizontal="center" vertical="center"/>
    </xf>
    <xf numFmtId="0" fontId="22" fillId="16" borderId="25" xfId="0" applyFont="1" applyFill="1" applyBorder="1" applyAlignment="1">
      <alignment horizontal="center" vertical="top"/>
    </xf>
    <xf numFmtId="0" fontId="22" fillId="16" borderId="26" xfId="0" applyFont="1" applyFill="1" applyBorder="1" applyAlignment="1">
      <alignment horizontal="center" vertical="top"/>
    </xf>
    <xf numFmtId="0" fontId="22" fillId="16" borderId="69" xfId="0" applyFont="1" applyFill="1" applyBorder="1" applyAlignment="1">
      <alignment horizontal="center" vertical="top"/>
    </xf>
    <xf numFmtId="0" fontId="22" fillId="16" borderId="84" xfId="0" applyFont="1" applyFill="1" applyBorder="1" applyAlignment="1">
      <alignment horizontal="center" vertical="top"/>
    </xf>
    <xf numFmtId="0" fontId="29" fillId="0" borderId="85" xfId="0" applyFont="1" applyBorder="1" applyAlignment="1">
      <alignment horizontal="center" vertical="center" wrapText="1"/>
    </xf>
    <xf numFmtId="0" fontId="30" fillId="0" borderId="86" xfId="0" applyFont="1" applyBorder="1"/>
    <xf numFmtId="0" fontId="29" fillId="0" borderId="87" xfId="0" applyFont="1" applyBorder="1" applyAlignment="1">
      <alignment horizontal="center" vertical="center"/>
    </xf>
    <xf numFmtId="0" fontId="29" fillId="0" borderId="88" xfId="0" applyFont="1" applyBorder="1" applyAlignment="1">
      <alignment horizontal="center" vertical="center"/>
    </xf>
    <xf numFmtId="0" fontId="29" fillId="0" borderId="89" xfId="0" applyFont="1" applyBorder="1" applyAlignment="1">
      <alignment horizontal="center" vertical="center" wrapText="1"/>
    </xf>
    <xf numFmtId="166" fontId="27" fillId="3" borderId="8" xfId="0" applyNumberFormat="1" applyFont="1" applyFill="1" applyBorder="1" applyAlignment="1">
      <alignment vertical="center"/>
    </xf>
    <xf numFmtId="166" fontId="27" fillId="3" borderId="8" xfId="0" applyNumberFormat="1" applyFont="1" applyFill="1" applyBorder="1" applyAlignment="1">
      <alignment horizontal="center" vertical="center"/>
    </xf>
    <xf numFmtId="0" fontId="28" fillId="0" borderId="9" xfId="0" applyFont="1" applyBorder="1"/>
    <xf numFmtId="0" fontId="33" fillId="9" borderId="9" xfId="0" applyFont="1" applyFill="1" applyBorder="1" applyAlignment="1">
      <alignment horizontal="center" vertical="center"/>
    </xf>
    <xf numFmtId="0" fontId="29" fillId="0" borderId="92" xfId="0" applyFont="1" applyBorder="1" applyAlignment="1">
      <alignment horizontal="center" vertical="center"/>
    </xf>
    <xf numFmtId="0" fontId="29" fillId="13" borderId="93" xfId="0" applyFont="1" applyFill="1" applyBorder="1" applyAlignment="1">
      <alignment horizontal="center" vertical="center"/>
    </xf>
    <xf numFmtId="0" fontId="33" fillId="14" borderId="79" xfId="0" applyFont="1" applyFill="1" applyBorder="1" applyAlignment="1">
      <alignment horizontal="center" vertical="center"/>
    </xf>
    <xf numFmtId="0" fontId="33" fillId="14" borderId="62" xfId="0" applyFont="1" applyFill="1" applyBorder="1" applyAlignment="1">
      <alignment horizontal="center" vertical="center"/>
    </xf>
    <xf numFmtId="0" fontId="33" fillId="14" borderId="94" xfId="0" applyFont="1" applyFill="1" applyBorder="1" applyAlignment="1">
      <alignment horizontal="center" vertical="center"/>
    </xf>
    <xf numFmtId="0" fontId="33" fillId="15" borderId="75" xfId="0" applyFont="1" applyFill="1" applyBorder="1" applyAlignment="1">
      <alignment horizontal="center" vertical="center"/>
    </xf>
    <xf numFmtId="0" fontId="33" fillId="15" borderId="62" xfId="0" applyFont="1" applyFill="1" applyBorder="1" applyAlignment="1">
      <alignment horizontal="center" vertical="center"/>
    </xf>
    <xf numFmtId="0" fontId="33" fillId="15" borderId="70" xfId="0" applyFont="1" applyFill="1" applyBorder="1" applyAlignment="1">
      <alignment horizontal="center" vertical="center"/>
    </xf>
    <xf numFmtId="0" fontId="33" fillId="9" borderId="95" xfId="0" applyFont="1" applyFill="1" applyBorder="1" applyAlignment="1">
      <alignment horizontal="center" vertical="center"/>
    </xf>
    <xf numFmtId="0" fontId="33" fillId="9" borderId="70" xfId="0" applyFont="1" applyFill="1" applyBorder="1" applyAlignment="1">
      <alignment horizontal="center" vertical="center"/>
    </xf>
    <xf numFmtId="0" fontId="29" fillId="0" borderId="89" xfId="0" applyFont="1" applyBorder="1" applyAlignment="1">
      <alignment horizontal="center" vertical="center"/>
    </xf>
    <xf numFmtId="0" fontId="29" fillId="0" borderId="2" xfId="0" applyFont="1" applyBorder="1" applyAlignment="1">
      <alignment horizontal="center" vertical="center"/>
    </xf>
    <xf numFmtId="0" fontId="29" fillId="13" borderId="2" xfId="0" applyFont="1" applyFill="1" applyBorder="1" applyAlignment="1">
      <alignment horizontal="center" vertical="center"/>
    </xf>
    <xf numFmtId="0" fontId="33" fillId="9" borderId="61" xfId="0" applyFont="1" applyFill="1" applyBorder="1" applyAlignment="1">
      <alignment horizontal="center" vertical="center"/>
    </xf>
    <xf numFmtId="0" fontId="29" fillId="0" borderId="81" xfId="0" applyFont="1" applyBorder="1" applyAlignment="1">
      <alignment horizontal="center" vertical="center"/>
    </xf>
    <xf numFmtId="0" fontId="29" fillId="13" borderId="96" xfId="0" applyFont="1" applyFill="1" applyBorder="1" applyAlignment="1">
      <alignment horizontal="center" vertical="center"/>
    </xf>
    <xf numFmtId="0" fontId="22" fillId="16" borderId="82" xfId="0" applyFont="1" applyFill="1" applyBorder="1" applyAlignment="1">
      <alignment horizontal="center" vertical="top"/>
    </xf>
    <xf numFmtId="0" fontId="22" fillId="16" borderId="77" xfId="0" applyFont="1" applyFill="1" applyBorder="1" applyAlignment="1">
      <alignment horizontal="center" vertical="top"/>
    </xf>
    <xf numFmtId="0" fontId="22" fillId="16" borderId="97" xfId="0" applyFont="1" applyFill="1" applyBorder="1" applyAlignment="1">
      <alignment horizontal="center" vertical="top"/>
    </xf>
    <xf numFmtId="0" fontId="33" fillId="14" borderId="8" xfId="0" applyFont="1" applyFill="1" applyBorder="1" applyAlignment="1">
      <alignment horizontal="center" vertical="center"/>
    </xf>
    <xf numFmtId="0" fontId="33" fillId="2" borderId="76" xfId="0" applyFont="1" applyFill="1" applyBorder="1" applyAlignment="1">
      <alignment horizontal="center" vertical="center"/>
    </xf>
    <xf numFmtId="0" fontId="33" fillId="2" borderId="77" xfId="0" applyFont="1" applyFill="1" applyBorder="1" applyAlignment="1">
      <alignment horizontal="center" vertical="center"/>
    </xf>
    <xf numFmtId="0" fontId="33" fillId="2" borderId="9" xfId="0" applyFont="1" applyFill="1" applyBorder="1" applyAlignment="1">
      <alignment horizontal="center" vertical="center"/>
    </xf>
    <xf numFmtId="0" fontId="33" fillId="15" borderId="98" xfId="0" applyFont="1" applyFill="1" applyBorder="1" applyAlignment="1">
      <alignment horizontal="center" vertical="center"/>
    </xf>
    <xf numFmtId="0" fontId="33" fillId="15" borderId="77" xfId="0" applyFont="1" applyFill="1" applyBorder="1" applyAlignment="1">
      <alignment horizontal="center" vertical="center"/>
    </xf>
    <xf numFmtId="0" fontId="33" fillId="15" borderId="9" xfId="0" applyFont="1" applyFill="1" applyBorder="1" applyAlignment="1">
      <alignment horizontal="center" vertical="center"/>
    </xf>
    <xf numFmtId="0" fontId="33" fillId="9" borderId="99" xfId="0" applyFont="1" applyFill="1" applyBorder="1" applyAlignment="1">
      <alignment horizontal="center" vertical="center"/>
    </xf>
    <xf numFmtId="0" fontId="29" fillId="0" borderId="85" xfId="0" applyFont="1" applyBorder="1" applyAlignment="1">
      <alignment horizontal="center" vertical="center"/>
    </xf>
    <xf numFmtId="0" fontId="29" fillId="13" borderId="11" xfId="0" applyFont="1" applyFill="1" applyBorder="1" applyAlignment="1">
      <alignment horizontal="center" vertical="center"/>
    </xf>
    <xf numFmtId="0" fontId="22" fillId="16" borderId="100" xfId="0" applyFont="1" applyFill="1" applyBorder="1" applyAlignment="1">
      <alignment horizontal="center" vertical="top"/>
    </xf>
    <xf numFmtId="0" fontId="22" fillId="16" borderId="101" xfId="0" applyFont="1" applyFill="1" applyBorder="1" applyAlignment="1">
      <alignment horizontal="center" vertical="top"/>
    </xf>
    <xf numFmtId="0" fontId="22" fillId="16" borderId="102" xfId="0" applyFont="1" applyFill="1" applyBorder="1" applyAlignment="1">
      <alignment horizontal="center" vertical="top"/>
    </xf>
    <xf numFmtId="0" fontId="33" fillId="14" borderId="100" xfId="0" applyFont="1" applyFill="1" applyBorder="1" applyAlignment="1">
      <alignment horizontal="center" vertical="center"/>
    </xf>
    <xf numFmtId="0" fontId="33" fillId="14" borderId="101" xfId="0" applyFont="1" applyFill="1" applyBorder="1" applyAlignment="1">
      <alignment horizontal="center" vertical="center"/>
    </xf>
    <xf numFmtId="0" fontId="33" fillId="14" borderId="12" xfId="0" applyFont="1" applyFill="1" applyBorder="1" applyAlignment="1">
      <alignment horizontal="center" vertical="center"/>
    </xf>
    <xf numFmtId="0" fontId="33" fillId="2" borderId="103" xfId="0" applyFont="1" applyFill="1" applyBorder="1" applyAlignment="1">
      <alignment horizontal="center" vertical="center"/>
    </xf>
    <xf numFmtId="0" fontId="33" fillId="2" borderId="101" xfId="0" applyFont="1" applyFill="1" applyBorder="1" applyAlignment="1">
      <alignment horizontal="center" vertical="center"/>
    </xf>
    <xf numFmtId="0" fontId="33" fillId="2" borderId="14" xfId="0" applyFont="1" applyFill="1" applyBorder="1" applyAlignment="1">
      <alignment horizontal="center" vertical="center"/>
    </xf>
    <xf numFmtId="0" fontId="33" fillId="15" borderId="104" xfId="0" applyFont="1" applyFill="1" applyBorder="1" applyAlignment="1">
      <alignment horizontal="center" vertical="center"/>
    </xf>
    <xf numFmtId="0" fontId="33" fillId="15" borderId="101" xfId="0" applyFont="1" applyFill="1" applyBorder="1" applyAlignment="1">
      <alignment horizontal="center" vertical="center"/>
    </xf>
    <xf numFmtId="0" fontId="33" fillId="15" borderId="14" xfId="0" applyFont="1" applyFill="1" applyBorder="1" applyAlignment="1">
      <alignment horizontal="center" vertical="center"/>
    </xf>
    <xf numFmtId="0" fontId="33" fillId="9" borderId="105" xfId="0" applyFont="1" applyFill="1" applyBorder="1" applyAlignment="1">
      <alignment horizontal="center" vertical="center"/>
    </xf>
    <xf numFmtId="0" fontId="33" fillId="9" borderId="14" xfId="0" applyFont="1" applyFill="1" applyBorder="1" applyAlignment="1">
      <alignment horizontal="center" vertical="center"/>
    </xf>
    <xf numFmtId="0" fontId="29" fillId="0" borderId="106" xfId="0" applyFont="1" applyBorder="1" applyAlignment="1">
      <alignment horizontal="center" vertical="center"/>
    </xf>
    <xf numFmtId="0" fontId="29" fillId="13" borderId="60" xfId="0" applyFont="1" applyFill="1" applyBorder="1" applyAlignment="1">
      <alignment horizontal="center" vertical="center"/>
    </xf>
    <xf numFmtId="0" fontId="22" fillId="16" borderId="63" xfId="0" applyFont="1" applyFill="1" applyBorder="1" applyAlignment="1">
      <alignment horizontal="center" vertical="top"/>
    </xf>
    <xf numFmtId="0" fontId="22" fillId="16" borderId="64" xfId="0" applyFont="1" applyFill="1" applyBorder="1" applyAlignment="1">
      <alignment horizontal="center" vertical="top"/>
    </xf>
    <xf numFmtId="0" fontId="22" fillId="16" borderId="107" xfId="0" applyFont="1" applyFill="1" applyBorder="1" applyAlignment="1">
      <alignment horizontal="center" vertical="top"/>
    </xf>
    <xf numFmtId="0" fontId="33" fillId="15" borderId="108" xfId="0" applyFont="1" applyFill="1" applyBorder="1" applyAlignment="1">
      <alignment horizontal="center" vertical="center"/>
    </xf>
    <xf numFmtId="0" fontId="33" fillId="15" borderId="64" xfId="0" applyFont="1" applyFill="1" applyBorder="1" applyAlignment="1">
      <alignment horizontal="center" vertical="center"/>
    </xf>
    <xf numFmtId="0" fontId="33" fillId="2" borderId="64" xfId="0" applyFont="1" applyFill="1" applyBorder="1" applyAlignment="1">
      <alignment horizontal="center" vertical="center"/>
    </xf>
    <xf numFmtId="0" fontId="33" fillId="9" borderId="109" xfId="0" applyFont="1" applyFill="1" applyBorder="1" applyAlignment="1">
      <alignment horizontal="center" vertical="center"/>
    </xf>
    <xf numFmtId="0" fontId="33" fillId="2" borderId="83" xfId="0" applyFont="1" applyFill="1" applyBorder="1" applyAlignment="1">
      <alignment horizontal="center" vertical="center"/>
    </xf>
    <xf numFmtId="0" fontId="22" fillId="16" borderId="110" xfId="0" applyFont="1" applyFill="1" applyBorder="1" applyAlignment="1">
      <alignment horizontal="center" vertical="top"/>
    </xf>
    <xf numFmtId="0" fontId="22" fillId="16" borderId="111" xfId="0" applyFont="1" applyFill="1" applyBorder="1" applyAlignment="1">
      <alignment horizontal="center" vertical="top"/>
    </xf>
    <xf numFmtId="0" fontId="22" fillId="16" borderId="112" xfId="0" applyFont="1" applyFill="1" applyBorder="1" applyAlignment="1">
      <alignment horizontal="center" vertical="top"/>
    </xf>
    <xf numFmtId="0" fontId="22" fillId="16" borderId="113" xfId="0" applyFont="1" applyFill="1" applyBorder="1" applyAlignment="1">
      <alignment horizontal="center" vertical="top"/>
    </xf>
    <xf numFmtId="0" fontId="22" fillId="16" borderId="91" xfId="0" applyFont="1" applyFill="1" applyBorder="1" applyAlignment="1">
      <alignment horizontal="center" vertical="top"/>
    </xf>
    <xf numFmtId="0" fontId="22" fillId="16" borderId="114" xfId="0" applyFont="1" applyFill="1" applyBorder="1" applyAlignment="1">
      <alignment horizontal="center" vertical="top"/>
    </xf>
    <xf numFmtId="0" fontId="33" fillId="15" borderId="110" xfId="0" applyFont="1" applyFill="1" applyBorder="1" applyAlignment="1">
      <alignment horizontal="center" vertical="center"/>
    </xf>
    <xf numFmtId="0" fontId="33" fillId="15" borderId="111" xfId="0" applyFont="1" applyFill="1" applyBorder="1" applyAlignment="1">
      <alignment horizontal="center" vertical="center"/>
    </xf>
    <xf numFmtId="0" fontId="33" fillId="15" borderId="112" xfId="0" applyFont="1" applyFill="1" applyBorder="1" applyAlignment="1">
      <alignment horizontal="center" vertical="center"/>
    </xf>
    <xf numFmtId="0" fontId="33" fillId="15" borderId="113" xfId="0" applyFont="1" applyFill="1" applyBorder="1" applyAlignment="1">
      <alignment horizontal="center" vertical="center"/>
    </xf>
    <xf numFmtId="0" fontId="33" fillId="15" borderId="91" xfId="0" applyFont="1" applyFill="1" applyBorder="1" applyAlignment="1">
      <alignment horizontal="center" vertical="center"/>
    </xf>
    <xf numFmtId="0" fontId="33" fillId="15" borderId="114" xfId="0" applyFont="1" applyFill="1" applyBorder="1" applyAlignment="1">
      <alignment horizontal="center" vertical="center"/>
    </xf>
    <xf numFmtId="0" fontId="22" fillId="16" borderId="75" xfId="0" applyFont="1" applyFill="1" applyBorder="1" applyAlignment="1">
      <alignment horizontal="center" vertical="top"/>
    </xf>
    <xf numFmtId="0" fontId="22" fillId="16" borderId="98" xfId="0" applyFont="1" applyFill="1" applyBorder="1" applyAlignment="1">
      <alignment horizontal="center" vertical="top"/>
    </xf>
    <xf numFmtId="0" fontId="22" fillId="16" borderId="104" xfId="0" applyFont="1" applyFill="1" applyBorder="1" applyAlignment="1">
      <alignment horizontal="center" vertical="top"/>
    </xf>
    <xf numFmtId="0" fontId="22" fillId="16" borderId="108" xfId="0" applyFont="1" applyFill="1" applyBorder="1" applyAlignment="1">
      <alignment horizontal="center" vertical="top"/>
    </xf>
    <xf numFmtId="0" fontId="22" fillId="16" borderId="115" xfId="0" applyFont="1" applyFill="1" applyBorder="1" applyAlignment="1">
      <alignment horizontal="center" vertical="top"/>
    </xf>
    <xf numFmtId="0" fontId="22" fillId="16" borderId="71" xfId="0" applyFont="1" applyFill="1" applyBorder="1" applyAlignment="1">
      <alignment horizontal="center" vertical="top"/>
    </xf>
    <xf numFmtId="0" fontId="33" fillId="15" borderId="115" xfId="0" applyFont="1" applyFill="1" applyBorder="1" applyAlignment="1">
      <alignment horizontal="center" vertical="center"/>
    </xf>
    <xf numFmtId="0" fontId="33" fillId="9" borderId="115" xfId="0" applyFont="1" applyFill="1" applyBorder="1" applyAlignment="1">
      <alignment horizontal="center" vertical="center"/>
    </xf>
    <xf numFmtId="0" fontId="33" fillId="9" borderId="37" xfId="0" applyFont="1" applyFill="1" applyBorder="1" applyAlignment="1">
      <alignment horizontal="center" vertical="center"/>
    </xf>
    <xf numFmtId="0" fontId="29" fillId="0" borderId="86" xfId="0" applyFont="1" applyBorder="1" applyAlignment="1">
      <alignment horizontal="center" vertical="center"/>
    </xf>
    <xf numFmtId="0" fontId="29" fillId="13" borderId="53" xfId="0" applyFont="1" applyFill="1" applyBorder="1" applyAlignment="1">
      <alignment horizontal="center" vertical="center"/>
    </xf>
    <xf numFmtId="0" fontId="30" fillId="0" borderId="106" xfId="0" applyFont="1" applyBorder="1"/>
    <xf numFmtId="0" fontId="29" fillId="13" borderId="116" xfId="0" applyFont="1" applyFill="1" applyBorder="1" applyAlignment="1">
      <alignment horizontal="center" vertical="center" wrapText="1"/>
    </xf>
    <xf numFmtId="0" fontId="30" fillId="13" borderId="117" xfId="0" applyFont="1" applyFill="1" applyBorder="1"/>
    <xf numFmtId="0" fontId="29" fillId="13" borderId="90" xfId="0" applyFont="1" applyFill="1" applyBorder="1" applyAlignment="1">
      <alignment vertical="center" wrapText="1"/>
    </xf>
    <xf numFmtId="0" fontId="29" fillId="13" borderId="12" xfId="0" applyFont="1" applyFill="1" applyBorder="1" applyAlignment="1">
      <alignment vertical="center" wrapText="1"/>
    </xf>
    <xf numFmtId="0" fontId="31" fillId="0" borderId="4" xfId="0" applyFont="1" applyBorder="1" applyAlignment="1">
      <alignment wrapText="1"/>
    </xf>
    <xf numFmtId="0" fontId="29" fillId="0" borderId="2" xfId="0" applyFont="1" applyBorder="1" applyAlignment="1">
      <alignment vertical="center" wrapText="1"/>
    </xf>
    <xf numFmtId="0" fontId="29" fillId="3" borderId="92" xfId="0" applyFont="1" applyFill="1" applyBorder="1" applyAlignment="1">
      <alignment horizontal="center" vertical="center"/>
    </xf>
    <xf numFmtId="0" fontId="33" fillId="16" borderId="69" xfId="0" applyFont="1" applyFill="1" applyBorder="1" applyAlignment="1">
      <alignment horizontal="center" vertical="center"/>
    </xf>
    <xf numFmtId="0" fontId="33" fillId="16" borderId="110" xfId="0" applyFont="1" applyFill="1" applyBorder="1" applyAlignment="1">
      <alignment horizontal="center" vertical="center"/>
    </xf>
    <xf numFmtId="0" fontId="33" fillId="16" borderId="62" xfId="0" applyFont="1" applyFill="1" applyBorder="1" applyAlignment="1">
      <alignment horizontal="center" vertical="center"/>
    </xf>
    <xf numFmtId="0" fontId="33" fillId="16" borderId="75" xfId="0" applyFont="1" applyFill="1" applyBorder="1" applyAlignment="1">
      <alignment horizontal="center" vertical="center"/>
    </xf>
    <xf numFmtId="0" fontId="33" fillId="16" borderId="70" xfId="0" applyFont="1" applyFill="1" applyBorder="1" applyAlignment="1">
      <alignment horizontal="center" vertical="center"/>
    </xf>
    <xf numFmtId="0" fontId="29" fillId="3" borderId="81" xfId="0" applyFont="1" applyFill="1" applyBorder="1" applyAlignment="1">
      <alignment horizontal="center" vertical="center"/>
    </xf>
    <xf numFmtId="0" fontId="33" fillId="16" borderId="76" xfId="0" applyFont="1" applyFill="1" applyBorder="1" applyAlignment="1">
      <alignment horizontal="center" vertical="center"/>
    </xf>
    <xf numFmtId="0" fontId="33" fillId="16" borderId="111" xfId="0" applyFont="1" applyFill="1" applyBorder="1" applyAlignment="1">
      <alignment horizontal="center" vertical="center"/>
    </xf>
    <xf numFmtId="0" fontId="33" fillId="16" borderId="77" xfId="0" applyFont="1" applyFill="1" applyBorder="1" applyAlignment="1">
      <alignment horizontal="center" vertical="center"/>
    </xf>
    <xf numFmtId="0" fontId="33" fillId="16" borderId="98" xfId="0" applyFont="1" applyFill="1" applyBorder="1" applyAlignment="1">
      <alignment horizontal="center" vertical="center"/>
    </xf>
    <xf numFmtId="0" fontId="33" fillId="16" borderId="9" xfId="0" applyFont="1" applyFill="1" applyBorder="1" applyAlignment="1">
      <alignment horizontal="center" vertical="center"/>
    </xf>
    <xf numFmtId="0" fontId="33" fillId="16" borderId="115" xfId="0" applyFont="1" applyFill="1" applyBorder="1" applyAlignment="1">
      <alignment horizontal="center" vertical="center"/>
    </xf>
    <xf numFmtId="0" fontId="29" fillId="3" borderId="85" xfId="0" applyFont="1" applyFill="1" applyBorder="1" applyAlignment="1">
      <alignment horizontal="center" vertical="center"/>
    </xf>
    <xf numFmtId="0" fontId="33" fillId="16" borderId="103" xfId="0" applyFont="1" applyFill="1" applyBorder="1" applyAlignment="1">
      <alignment horizontal="center" vertical="center"/>
    </xf>
    <xf numFmtId="0" fontId="33" fillId="16" borderId="112" xfId="0" applyFont="1" applyFill="1" applyBorder="1" applyAlignment="1">
      <alignment horizontal="center" vertical="center"/>
    </xf>
    <xf numFmtId="0" fontId="33" fillId="16" borderId="101" xfId="0" applyFont="1" applyFill="1" applyBorder="1" applyAlignment="1">
      <alignment horizontal="center" vertical="center"/>
    </xf>
    <xf numFmtId="0" fontId="33" fillId="16" borderId="104" xfId="0" applyFont="1" applyFill="1" applyBorder="1" applyAlignment="1">
      <alignment horizontal="center" vertical="center"/>
    </xf>
    <xf numFmtId="0" fontId="33" fillId="16" borderId="14" xfId="0" applyFont="1" applyFill="1" applyBorder="1" applyAlignment="1">
      <alignment horizontal="center" vertical="center"/>
    </xf>
    <xf numFmtId="0" fontId="29" fillId="3" borderId="106" xfId="0" applyFont="1" applyFill="1" applyBorder="1" applyAlignment="1">
      <alignment horizontal="center" vertical="center"/>
    </xf>
    <xf numFmtId="0" fontId="33" fillId="16" borderId="114" xfId="0" applyFont="1" applyFill="1" applyBorder="1" applyAlignment="1">
      <alignment horizontal="center" vertical="center"/>
    </xf>
    <xf numFmtId="0" fontId="33" fillId="16" borderId="64" xfId="0" applyFont="1" applyFill="1" applyBorder="1" applyAlignment="1">
      <alignment horizontal="center" vertical="center"/>
    </xf>
    <xf numFmtId="0" fontId="33" fillId="16" borderId="108" xfId="0" applyFont="1" applyFill="1" applyBorder="1" applyAlignment="1">
      <alignment horizontal="center" vertical="center"/>
    </xf>
    <xf numFmtId="0" fontId="33" fillId="16" borderId="113" xfId="0" applyFont="1" applyFill="1" applyBorder="1" applyAlignment="1">
      <alignment horizontal="center" vertical="center"/>
    </xf>
    <xf numFmtId="0" fontId="33" fillId="16" borderId="91" xfId="0" applyFont="1" applyFill="1" applyBorder="1" applyAlignment="1">
      <alignment horizontal="center" vertical="center"/>
    </xf>
    <xf numFmtId="0" fontId="29" fillId="3" borderId="2" xfId="0" applyFont="1" applyFill="1" applyBorder="1" applyAlignment="1">
      <alignment horizontal="center" vertical="center"/>
    </xf>
    <xf numFmtId="0" fontId="32" fillId="13" borderId="119" xfId="0" applyFont="1" applyFill="1" applyBorder="1" applyAlignment="1">
      <alignment horizontal="center" vertical="center"/>
    </xf>
    <xf numFmtId="0" fontId="32" fillId="3" borderId="90" xfId="0" applyFont="1" applyFill="1" applyBorder="1" applyAlignment="1">
      <alignment horizontal="center" vertical="center"/>
    </xf>
    <xf numFmtId="0" fontId="33" fillId="15" borderId="49" xfId="0" applyFont="1" applyFill="1" applyBorder="1" applyAlignment="1">
      <alignment horizontal="center" vertical="center"/>
    </xf>
    <xf numFmtId="0" fontId="33" fillId="15" borderId="50" xfId="0" applyFont="1" applyFill="1" applyBorder="1" applyAlignment="1">
      <alignment horizontal="center" vertical="center"/>
    </xf>
    <xf numFmtId="0" fontId="33" fillId="9" borderId="25" xfId="0" applyFont="1" applyFill="1" applyBorder="1" applyAlignment="1">
      <alignment horizontal="center" vertical="center"/>
    </xf>
    <xf numFmtId="0" fontId="33" fillId="9" borderId="32" xfId="0" applyFont="1" applyFill="1" applyBorder="1" applyAlignment="1">
      <alignment horizontal="center" vertical="center"/>
    </xf>
    <xf numFmtId="0" fontId="33" fillId="15" borderId="25" xfId="0" applyFont="1" applyFill="1" applyBorder="1" applyAlignment="1">
      <alignment horizontal="center" vertical="center"/>
    </xf>
    <xf numFmtId="0" fontId="33" fillId="15" borderId="32" xfId="0" applyFont="1" applyFill="1" applyBorder="1" applyAlignment="1">
      <alignment horizontal="center" vertical="center"/>
    </xf>
    <xf numFmtId="0" fontId="33" fillId="15" borderId="69" xfId="0" applyFont="1" applyFill="1" applyBorder="1" applyAlignment="1">
      <alignment horizontal="center" vertical="center"/>
    </xf>
    <xf numFmtId="0" fontId="33" fillId="15" borderId="83" xfId="0" applyFont="1" applyFill="1" applyBorder="1" applyAlignment="1">
      <alignment horizontal="center" vertical="center"/>
    </xf>
    <xf numFmtId="0" fontId="33" fillId="15" borderId="76" xfId="0" applyFont="1" applyFill="1" applyBorder="1" applyAlignment="1">
      <alignment horizontal="center" vertical="center"/>
    </xf>
    <xf numFmtId="0" fontId="33" fillId="15" borderId="103" xfId="0" applyFont="1" applyFill="1" applyBorder="1" applyAlignment="1">
      <alignment horizontal="center" vertical="center"/>
    </xf>
    <xf numFmtId="166" fontId="27" fillId="3" borderId="8" xfId="0" applyNumberFormat="1" applyFont="1" applyFill="1" applyBorder="1" applyAlignment="1">
      <alignment horizontal="left" vertical="center"/>
    </xf>
    <xf numFmtId="0" fontId="29" fillId="14" borderId="12" xfId="0" applyFont="1" applyFill="1" applyBorder="1" applyAlignment="1">
      <alignment horizontal="centerContinuous" vertical="center" wrapText="1"/>
    </xf>
    <xf numFmtId="0" fontId="29" fillId="0" borderId="13" xfId="0" applyFont="1" applyBorder="1" applyAlignment="1">
      <alignment horizontal="centerContinuous" vertical="center" wrapText="1"/>
    </xf>
    <xf numFmtId="0" fontId="29" fillId="0" borderId="14" xfId="0" applyFont="1" applyBorder="1" applyAlignment="1">
      <alignment horizontal="centerContinuous" vertical="center" wrapText="1"/>
    </xf>
    <xf numFmtId="0" fontId="29" fillId="3" borderId="13" xfId="0" applyFont="1" applyFill="1" applyBorder="1" applyAlignment="1">
      <alignment horizontal="centerContinuous" vertical="center" wrapText="1"/>
    </xf>
    <xf numFmtId="0" fontId="29" fillId="3" borderId="14" xfId="0" applyFont="1" applyFill="1" applyBorder="1" applyAlignment="1">
      <alignment horizontal="centerContinuous" vertical="center" wrapText="1"/>
    </xf>
    <xf numFmtId="0" fontId="29" fillId="0" borderId="12" xfId="0" applyFont="1" applyBorder="1" applyAlignment="1">
      <alignment horizontal="centerContinuous" vertical="center" wrapText="1"/>
    </xf>
    <xf numFmtId="0" fontId="29" fillId="0" borderId="57" xfId="0" applyFont="1" applyBorder="1" applyAlignment="1">
      <alignment horizontal="centerContinuous" vertical="center" wrapText="1"/>
    </xf>
    <xf numFmtId="0" fontId="29" fillId="0" borderId="0" xfId="0" applyFont="1" applyAlignment="1">
      <alignment horizontal="centerContinuous" vertical="center" wrapText="1"/>
    </xf>
    <xf numFmtId="0" fontId="29" fillId="0" borderId="3" xfId="0" applyFont="1" applyBorder="1" applyAlignment="1">
      <alignment horizontal="centerContinuous" vertical="center" wrapText="1"/>
    </xf>
    <xf numFmtId="0" fontId="29" fillId="14" borderId="10" xfId="0" applyFont="1" applyFill="1" applyBorder="1" applyAlignment="1">
      <alignment horizontal="centerContinuous" vertical="center" wrapText="1"/>
    </xf>
    <xf numFmtId="0" fontId="29" fillId="14" borderId="0" xfId="0" applyFont="1" applyFill="1" applyAlignment="1">
      <alignment horizontal="centerContinuous" vertical="center" wrapText="1"/>
    </xf>
    <xf numFmtId="0" fontId="29" fillId="14" borderId="11" xfId="0" applyFont="1" applyFill="1" applyBorder="1" applyAlignment="1">
      <alignment horizontal="centerContinuous" vertical="center" wrapText="1"/>
    </xf>
    <xf numFmtId="0" fontId="29" fillId="14" borderId="14" xfId="0" applyFont="1" applyFill="1" applyBorder="1" applyAlignment="1">
      <alignment horizontal="centerContinuous" vertical="center" wrapText="1"/>
    </xf>
    <xf numFmtId="0" fontId="29" fillId="14" borderId="3" xfId="0" applyFont="1" applyFill="1" applyBorder="1" applyAlignment="1">
      <alignment horizontal="centerContinuous" vertical="center" wrapText="1"/>
    </xf>
    <xf numFmtId="0" fontId="49" fillId="16" borderId="110" xfId="7" applyFont="1" applyFill="1" applyBorder="1" applyAlignment="1">
      <alignment horizontal="center" vertical="center"/>
    </xf>
    <xf numFmtId="0" fontId="49" fillId="16" borderId="79" xfId="0" applyFont="1" applyFill="1" applyBorder="1" applyAlignment="1">
      <alignment horizontal="center" vertical="center"/>
    </xf>
    <xf numFmtId="0" fontId="49" fillId="16" borderId="62" xfId="0" applyFont="1" applyFill="1" applyBorder="1" applyAlignment="1">
      <alignment horizontal="center" vertical="center"/>
    </xf>
    <xf numFmtId="0" fontId="49" fillId="16" borderId="80" xfId="0" applyFont="1" applyFill="1" applyBorder="1" applyAlignment="1">
      <alignment horizontal="center" vertical="center"/>
    </xf>
    <xf numFmtId="0" fontId="49" fillId="16" borderId="82" xfId="0" applyFont="1" applyFill="1" applyBorder="1" applyAlignment="1">
      <alignment horizontal="center" vertical="center"/>
    </xf>
    <xf numFmtId="0" fontId="49" fillId="16" borderId="77" xfId="0" applyFont="1" applyFill="1" applyBorder="1" applyAlignment="1">
      <alignment horizontal="center" vertical="center"/>
    </xf>
    <xf numFmtId="0" fontId="49" fillId="16" borderId="97" xfId="0" applyFont="1" applyFill="1" applyBorder="1" applyAlignment="1">
      <alignment horizontal="center" vertical="center"/>
    </xf>
    <xf numFmtId="0" fontId="49" fillId="16" borderId="100" xfId="0" applyFont="1" applyFill="1" applyBorder="1" applyAlignment="1">
      <alignment horizontal="center" vertical="center"/>
    </xf>
    <xf numFmtId="0" fontId="49" fillId="16" borderId="101" xfId="0" applyFont="1" applyFill="1" applyBorder="1" applyAlignment="1">
      <alignment horizontal="center" vertical="center"/>
    </xf>
    <xf numFmtId="0" fontId="49" fillId="16" borderId="102" xfId="0" applyFont="1" applyFill="1" applyBorder="1" applyAlignment="1">
      <alignment horizontal="center" vertical="center"/>
    </xf>
    <xf numFmtId="0" fontId="49" fillId="16" borderId="63" xfId="0" applyFont="1" applyFill="1" applyBorder="1" applyAlignment="1">
      <alignment horizontal="center" vertical="center"/>
    </xf>
    <xf numFmtId="0" fontId="49" fillId="16" borderId="64" xfId="0" applyFont="1" applyFill="1" applyBorder="1" applyAlignment="1">
      <alignment horizontal="center" vertical="center"/>
    </xf>
    <xf numFmtId="0" fontId="49" fillId="16" borderId="107" xfId="0" applyFont="1" applyFill="1" applyBorder="1" applyAlignment="1">
      <alignment horizontal="center" vertical="center"/>
    </xf>
    <xf numFmtId="0" fontId="49" fillId="16" borderId="7" xfId="0" applyFont="1" applyFill="1" applyBorder="1" applyAlignment="1">
      <alignment horizontal="center" vertical="center"/>
    </xf>
    <xf numFmtId="0" fontId="49" fillId="16" borderId="73" xfId="0" applyFont="1" applyFill="1" applyBorder="1" applyAlignment="1">
      <alignment horizontal="center" vertical="center"/>
    </xf>
    <xf numFmtId="0" fontId="49" fillId="16" borderId="9" xfId="0" applyFont="1" applyFill="1" applyBorder="1" applyAlignment="1">
      <alignment horizontal="center" vertical="center"/>
    </xf>
    <xf numFmtId="0" fontId="49" fillId="16" borderId="58" xfId="0" applyFont="1" applyFill="1" applyBorder="1" applyAlignment="1">
      <alignment horizontal="center" vertical="center"/>
    </xf>
    <xf numFmtId="0" fontId="49" fillId="16" borderId="67" xfId="0" applyFont="1" applyFill="1" applyBorder="1" applyAlignment="1">
      <alignment horizontal="center" vertical="center"/>
    </xf>
    <xf numFmtId="0" fontId="49" fillId="16" borderId="59" xfId="0" applyFont="1" applyFill="1" applyBorder="1" applyAlignment="1">
      <alignment horizontal="center" vertical="center"/>
    </xf>
    <xf numFmtId="0" fontId="49" fillId="16" borderId="6" xfId="0" applyFont="1" applyFill="1" applyBorder="1" applyAlignment="1">
      <alignment horizontal="center" vertical="center"/>
    </xf>
    <xf numFmtId="0" fontId="49" fillId="16" borderId="23" xfId="0" applyFont="1" applyFill="1" applyBorder="1" applyAlignment="1">
      <alignment horizontal="center" vertical="center"/>
    </xf>
    <xf numFmtId="0" fontId="49" fillId="16" borderId="24" xfId="0" applyFont="1" applyFill="1" applyBorder="1" applyAlignment="1">
      <alignment horizontal="center" vertical="center"/>
    </xf>
    <xf numFmtId="0" fontId="49" fillId="16" borderId="28" xfId="0" applyFont="1" applyFill="1" applyBorder="1" applyAlignment="1">
      <alignment horizontal="center" vertical="center"/>
    </xf>
    <xf numFmtId="0" fontId="49" fillId="16" borderId="29" xfId="0" applyFont="1" applyFill="1" applyBorder="1" applyAlignment="1">
      <alignment horizontal="center" vertical="center"/>
    </xf>
    <xf numFmtId="0" fontId="49" fillId="16" borderId="30" xfId="0" applyFont="1" applyFill="1" applyBorder="1" applyAlignment="1">
      <alignment horizontal="center" vertical="center"/>
    </xf>
    <xf numFmtId="0" fontId="49" fillId="16" borderId="25" xfId="0" applyFont="1" applyFill="1" applyBorder="1" applyAlignment="1">
      <alignment horizontal="center" vertical="center"/>
    </xf>
    <xf numFmtId="0" fontId="49" fillId="16" borderId="26" xfId="0" applyFont="1" applyFill="1" applyBorder="1" applyAlignment="1">
      <alignment horizontal="center" vertical="center"/>
    </xf>
    <xf numFmtId="0" fontId="49" fillId="16" borderId="32" xfId="0" applyFont="1" applyFill="1" applyBorder="1" applyAlignment="1">
      <alignment horizontal="center" vertical="center"/>
    </xf>
    <xf numFmtId="0" fontId="49" fillId="16" borderId="33" xfId="0" applyFont="1" applyFill="1" applyBorder="1" applyAlignment="1">
      <alignment horizontal="center" vertical="center"/>
    </xf>
    <xf numFmtId="0" fontId="49" fillId="2" borderId="23" xfId="7" applyFont="1" applyFill="1" applyBorder="1" applyAlignment="1">
      <alignment horizontal="center" vertical="center"/>
    </xf>
    <xf numFmtId="164" fontId="34" fillId="3" borderId="0" xfId="8" applyNumberFormat="1" applyFont="1" applyFill="1" applyBorder="1" applyAlignment="1">
      <alignment horizontal="centerContinuous" vertical="center" wrapText="1"/>
    </xf>
    <xf numFmtId="0" fontId="12" fillId="3" borderId="0" xfId="1" applyFont="1" applyFill="1" applyAlignment="1">
      <alignment horizontal="center" vertical="center"/>
    </xf>
    <xf numFmtId="20" fontId="12" fillId="3" borderId="0" xfId="1" applyNumberFormat="1" applyFont="1" applyFill="1" applyAlignment="1">
      <alignment horizontal="left" vertical="center"/>
    </xf>
    <xf numFmtId="20" fontId="23" fillId="3" borderId="0" xfId="1" applyNumberFormat="1" applyFont="1" applyFill="1" applyAlignment="1">
      <alignment horizontal="right" vertical="center"/>
    </xf>
    <xf numFmtId="20" fontId="12" fillId="3" borderId="0" xfId="1" applyNumberFormat="1" applyFont="1" applyFill="1" applyAlignment="1">
      <alignment horizontal="right" vertical="center"/>
    </xf>
    <xf numFmtId="0" fontId="23" fillId="3" borderId="0" xfId="1" applyFont="1" applyFill="1" applyAlignment="1">
      <alignment horizontal="center" vertical="center"/>
    </xf>
    <xf numFmtId="164" fontId="34" fillId="3" borderId="0" xfId="1" applyNumberFormat="1" applyFont="1" applyFill="1" applyAlignment="1">
      <alignment horizontal="centerContinuous" vertical="center" wrapText="1"/>
    </xf>
    <xf numFmtId="20" fontId="12" fillId="25" borderId="0" xfId="1" applyNumberFormat="1" applyFont="1" applyFill="1" applyAlignment="1">
      <alignment horizontal="right" vertical="center"/>
    </xf>
    <xf numFmtId="0" fontId="15" fillId="3" borderId="0" xfId="1" applyFont="1" applyFill="1" applyAlignment="1">
      <alignment horizontal="center" vertical="center"/>
    </xf>
    <xf numFmtId="20" fontId="23" fillId="3" borderId="0" xfId="1" applyNumberFormat="1" applyFont="1" applyFill="1" applyAlignment="1">
      <alignment horizontal="left" vertical="center"/>
    </xf>
    <xf numFmtId="0" fontId="36" fillId="0" borderId="8" xfId="0" applyFont="1" applyBorder="1" applyAlignment="1">
      <alignment horizontal="left" vertical="center"/>
    </xf>
    <xf numFmtId="0" fontId="0" fillId="0" borderId="9" xfId="0" applyBorder="1"/>
    <xf numFmtId="0" fontId="29" fillId="0" borderId="120" xfId="0" applyFont="1" applyBorder="1" applyAlignment="1">
      <alignment horizontal="center" vertical="center" wrapText="1"/>
    </xf>
    <xf numFmtId="0" fontId="30" fillId="0" borderId="121" xfId="0" applyFont="1" applyBorder="1"/>
    <xf numFmtId="0" fontId="32" fillId="13" borderId="19" xfId="0" applyFont="1" applyFill="1" applyBorder="1" applyAlignment="1">
      <alignment horizontal="center" vertical="center"/>
    </xf>
    <xf numFmtId="0" fontId="29" fillId="0" borderId="122" xfId="0" applyFont="1" applyBorder="1" applyAlignment="1">
      <alignment horizontal="center" vertical="center"/>
    </xf>
    <xf numFmtId="0" fontId="33" fillId="14" borderId="123" xfId="0" applyFont="1" applyFill="1" applyBorder="1" applyAlignment="1">
      <alignment horizontal="center" vertical="center"/>
    </xf>
    <xf numFmtId="0" fontId="33" fillId="2" borderId="26" xfId="0" applyFont="1" applyFill="1" applyBorder="1" applyAlignment="1">
      <alignment horizontal="center" vertical="center"/>
    </xf>
    <xf numFmtId="0" fontId="33" fillId="15" borderId="123" xfId="0" applyFont="1" applyFill="1" applyBorder="1" applyAlignment="1">
      <alignment horizontal="center" vertical="center"/>
    </xf>
    <xf numFmtId="0" fontId="29" fillId="0" borderId="124" xfId="0" applyFont="1" applyBorder="1" applyAlignment="1">
      <alignment horizontal="center" vertical="center"/>
    </xf>
    <xf numFmtId="0" fontId="33" fillId="2" borderId="33" xfId="0" applyFont="1" applyFill="1" applyBorder="1" applyAlignment="1">
      <alignment horizontal="center" vertical="center"/>
    </xf>
    <xf numFmtId="0" fontId="33" fillId="15" borderId="31" xfId="0" applyFont="1" applyFill="1" applyBorder="1" applyAlignment="1">
      <alignment horizontal="center" vertical="center"/>
    </xf>
    <xf numFmtId="0" fontId="43" fillId="0" borderId="0" xfId="10" applyFont="1" applyFill="1" applyBorder="1" applyAlignment="1">
      <alignment horizontal="center" vertical="center"/>
    </xf>
    <xf numFmtId="0" fontId="43" fillId="0" borderId="1" xfId="10" applyFont="1" applyFill="1" applyBorder="1" applyAlignment="1">
      <alignment horizontal="center" vertical="center"/>
    </xf>
    <xf numFmtId="0" fontId="11" fillId="0" borderId="1" xfId="1" applyBorder="1" applyAlignment="1">
      <alignment vertical="center"/>
    </xf>
    <xf numFmtId="0" fontId="44" fillId="2" borderId="0" xfId="1" applyFont="1" applyFill="1" applyAlignment="1">
      <alignment vertical="center" wrapText="1"/>
    </xf>
    <xf numFmtId="0" fontId="44" fillId="16" borderId="0" xfId="10" applyFont="1" applyFill="1" applyBorder="1" applyAlignment="1">
      <alignment vertical="center"/>
    </xf>
    <xf numFmtId="0" fontId="44" fillId="16" borderId="0" xfId="10" applyFont="1" applyFill="1" applyBorder="1" applyAlignment="1">
      <alignment horizontal="center"/>
    </xf>
    <xf numFmtId="0" fontId="43" fillId="13" borderId="1" xfId="10" applyFont="1" applyFill="1" applyBorder="1" applyAlignment="1">
      <alignment horizontal="center" vertical="center"/>
    </xf>
    <xf numFmtId="0" fontId="11" fillId="13" borderId="1" xfId="1" applyFill="1" applyBorder="1" applyAlignment="1">
      <alignment vertical="center"/>
    </xf>
    <xf numFmtId="0" fontId="11" fillId="26" borderId="1" xfId="0" applyFont="1" applyFill="1" applyBorder="1" applyAlignment="1">
      <alignment horizontal="left" vertical="top" wrapText="1"/>
    </xf>
    <xf numFmtId="0" fontId="53" fillId="13" borderId="93" xfId="0" applyFont="1" applyFill="1" applyBorder="1" applyAlignment="1">
      <alignment horizontal="center" vertical="center"/>
    </xf>
    <xf numFmtId="0" fontId="54" fillId="16" borderId="79" xfId="0" applyFont="1" applyFill="1" applyBorder="1" applyAlignment="1">
      <alignment horizontal="center" vertical="center"/>
    </xf>
    <xf numFmtId="0" fontId="54" fillId="16" borderId="110" xfId="0" applyFont="1" applyFill="1" applyBorder="1" applyAlignment="1">
      <alignment horizontal="center" vertical="center"/>
    </xf>
    <xf numFmtId="0" fontId="54" fillId="16" borderId="62" xfId="0" applyFont="1" applyFill="1" applyBorder="1" applyAlignment="1">
      <alignment horizontal="center" vertical="center"/>
    </xf>
    <xf numFmtId="0" fontId="54" fillId="16" borderId="75" xfId="0" applyFont="1" applyFill="1" applyBorder="1" applyAlignment="1">
      <alignment horizontal="center" vertical="center"/>
    </xf>
    <xf numFmtId="0" fontId="54" fillId="16" borderId="80" xfId="0" applyFont="1" applyFill="1" applyBorder="1" applyAlignment="1">
      <alignment horizontal="center" vertical="center"/>
    </xf>
    <xf numFmtId="0" fontId="53" fillId="13" borderId="96" xfId="0" applyFont="1" applyFill="1" applyBorder="1" applyAlignment="1">
      <alignment horizontal="center" vertical="center"/>
    </xf>
    <xf numFmtId="0" fontId="54" fillId="16" borderId="82" xfId="0" applyFont="1" applyFill="1" applyBorder="1" applyAlignment="1">
      <alignment horizontal="center" vertical="center"/>
    </xf>
    <xf numFmtId="0" fontId="54" fillId="16" borderId="111" xfId="0" applyFont="1" applyFill="1" applyBorder="1" applyAlignment="1">
      <alignment horizontal="center" vertical="center"/>
    </xf>
    <xf numFmtId="0" fontId="54" fillId="16" borderId="77" xfId="0" applyFont="1" applyFill="1" applyBorder="1" applyAlignment="1">
      <alignment horizontal="center" vertical="center"/>
    </xf>
    <xf numFmtId="0" fontId="54" fillId="16" borderId="98" xfId="0" applyFont="1" applyFill="1" applyBorder="1" applyAlignment="1">
      <alignment horizontal="center" vertical="center"/>
    </xf>
    <xf numFmtId="0" fontId="54" fillId="16" borderId="97" xfId="0" applyFont="1" applyFill="1" applyBorder="1" applyAlignment="1">
      <alignment horizontal="center" vertical="center"/>
    </xf>
    <xf numFmtId="0" fontId="53" fillId="13" borderId="11" xfId="0" applyFont="1" applyFill="1" applyBorder="1" applyAlignment="1">
      <alignment horizontal="center" vertical="center"/>
    </xf>
    <xf numFmtId="0" fontId="54" fillId="16" borderId="100" xfId="0" applyFont="1" applyFill="1" applyBorder="1" applyAlignment="1">
      <alignment horizontal="center" vertical="center"/>
    </xf>
    <xf numFmtId="0" fontId="54" fillId="16" borderId="112" xfId="0" applyFont="1" applyFill="1" applyBorder="1" applyAlignment="1">
      <alignment horizontal="center" vertical="center"/>
    </xf>
    <xf numFmtId="0" fontId="54" fillId="16" borderId="101" xfId="0" applyFont="1" applyFill="1" applyBorder="1" applyAlignment="1">
      <alignment horizontal="center" vertical="center"/>
    </xf>
    <xf numFmtId="0" fontId="54" fillId="16" borderId="104" xfId="0" applyFont="1" applyFill="1" applyBorder="1" applyAlignment="1">
      <alignment horizontal="center" vertical="center"/>
    </xf>
    <xf numFmtId="0" fontId="54" fillId="16" borderId="102" xfId="0" applyFont="1" applyFill="1" applyBorder="1" applyAlignment="1">
      <alignment horizontal="center" vertical="center"/>
    </xf>
    <xf numFmtId="0" fontId="53" fillId="13" borderId="60" xfId="0" applyFont="1" applyFill="1" applyBorder="1" applyAlignment="1">
      <alignment horizontal="center" vertical="center"/>
    </xf>
    <xf numFmtId="0" fontId="54" fillId="16" borderId="63" xfId="0" applyFont="1" applyFill="1" applyBorder="1" applyAlignment="1">
      <alignment horizontal="center" vertical="center"/>
    </xf>
    <xf numFmtId="0" fontId="54" fillId="16" borderId="113" xfId="0" applyFont="1" applyFill="1" applyBorder="1" applyAlignment="1">
      <alignment horizontal="center" vertical="center"/>
    </xf>
    <xf numFmtId="0" fontId="54" fillId="16" borderId="64" xfId="0" applyFont="1" applyFill="1" applyBorder="1" applyAlignment="1">
      <alignment horizontal="center" vertical="center"/>
    </xf>
    <xf numFmtId="0" fontId="54" fillId="16" borderId="108" xfId="0" applyFont="1" applyFill="1" applyBorder="1" applyAlignment="1">
      <alignment horizontal="center" vertical="center"/>
    </xf>
    <xf numFmtId="0" fontId="54" fillId="16" borderId="107" xfId="0" applyFont="1" applyFill="1" applyBorder="1" applyAlignment="1">
      <alignment horizontal="center" vertical="center"/>
    </xf>
    <xf numFmtId="0" fontId="53" fillId="13" borderId="1" xfId="0" applyFont="1" applyFill="1" applyBorder="1" applyAlignment="1">
      <alignment horizontal="center" vertical="center"/>
    </xf>
    <xf numFmtId="0" fontId="54" fillId="16" borderId="7" xfId="0" applyFont="1" applyFill="1" applyBorder="1" applyAlignment="1">
      <alignment horizontal="center" vertical="center"/>
    </xf>
    <xf numFmtId="0" fontId="54" fillId="16" borderId="91" xfId="0" applyFont="1" applyFill="1" applyBorder="1" applyAlignment="1">
      <alignment horizontal="center" vertical="center"/>
    </xf>
    <xf numFmtId="0" fontId="54" fillId="16" borderId="115" xfId="0" applyFont="1" applyFill="1" applyBorder="1" applyAlignment="1">
      <alignment horizontal="center" vertical="center"/>
    </xf>
    <xf numFmtId="0" fontId="54" fillId="16" borderId="9" xfId="0" applyFont="1" applyFill="1" applyBorder="1" applyAlignment="1">
      <alignment horizontal="center" vertical="center"/>
    </xf>
    <xf numFmtId="0" fontId="53" fillId="13" borderId="2" xfId="0" applyFont="1" applyFill="1" applyBorder="1" applyAlignment="1">
      <alignment horizontal="center" vertical="center"/>
    </xf>
    <xf numFmtId="0" fontId="54" fillId="16" borderId="58" xfId="0" applyFont="1" applyFill="1" applyBorder="1" applyAlignment="1">
      <alignment horizontal="center" vertical="center"/>
    </xf>
    <xf numFmtId="0" fontId="54" fillId="16" borderId="114" xfId="0" applyFont="1" applyFill="1" applyBorder="1" applyAlignment="1">
      <alignment horizontal="center" vertical="center"/>
    </xf>
    <xf numFmtId="0" fontId="54" fillId="16" borderId="71" xfId="0" applyFont="1" applyFill="1" applyBorder="1" applyAlignment="1">
      <alignment horizontal="center" vertical="center"/>
    </xf>
    <xf numFmtId="0" fontId="54" fillId="16" borderId="59" xfId="0" applyFont="1" applyFill="1" applyBorder="1" applyAlignment="1">
      <alignment horizontal="center" vertical="center"/>
    </xf>
    <xf numFmtId="0" fontId="51" fillId="3" borderId="92" xfId="0" applyFont="1" applyFill="1" applyBorder="1" applyAlignment="1">
      <alignment horizontal="center" vertical="center"/>
    </xf>
    <xf numFmtId="0" fontId="51" fillId="3" borderId="81" xfId="0" applyFont="1" applyFill="1" applyBorder="1" applyAlignment="1">
      <alignment horizontal="center" vertical="center"/>
    </xf>
    <xf numFmtId="0" fontId="51" fillId="3" borderId="85" xfId="0" applyFont="1" applyFill="1" applyBorder="1" applyAlignment="1">
      <alignment horizontal="center" vertical="center"/>
    </xf>
    <xf numFmtId="0" fontId="51" fillId="3" borderId="106" xfId="0" applyFont="1" applyFill="1" applyBorder="1" applyAlignment="1">
      <alignment horizontal="center" vertical="center"/>
    </xf>
    <xf numFmtId="0" fontId="51" fillId="3" borderId="1" xfId="0" applyFont="1" applyFill="1" applyBorder="1" applyAlignment="1">
      <alignment horizontal="center" vertical="center"/>
    </xf>
    <xf numFmtId="0" fontId="51" fillId="3" borderId="2" xfId="0" applyFont="1" applyFill="1" applyBorder="1" applyAlignment="1">
      <alignment horizontal="center" vertical="center"/>
    </xf>
    <xf numFmtId="0" fontId="50" fillId="3" borderId="16" xfId="0" applyFont="1" applyFill="1" applyBorder="1" applyAlignment="1">
      <alignment horizontal="center" vertical="center"/>
    </xf>
    <xf numFmtId="0" fontId="50" fillId="3" borderId="17" xfId="0" applyFont="1" applyFill="1" applyBorder="1" applyAlignment="1">
      <alignment horizontal="center" vertical="center"/>
    </xf>
    <xf numFmtId="0" fontId="50" fillId="3" borderId="19" xfId="0" applyFont="1" applyFill="1" applyBorder="1" applyAlignment="1">
      <alignment horizontal="center" vertical="center"/>
    </xf>
    <xf numFmtId="0" fontId="50" fillId="3" borderId="18" xfId="0" applyFont="1" applyFill="1" applyBorder="1" applyAlignment="1">
      <alignment horizontal="center" vertical="center"/>
    </xf>
    <xf numFmtId="0" fontId="52" fillId="0" borderId="89" xfId="0" applyFont="1" applyBorder="1" applyAlignment="1">
      <alignment horizontal="center" vertical="center" wrapText="1"/>
    </xf>
    <xf numFmtId="0" fontId="52" fillId="13" borderId="10" xfId="0" applyFont="1" applyFill="1" applyBorder="1" applyAlignment="1">
      <alignment horizontal="center" vertical="center" wrapText="1"/>
    </xf>
    <xf numFmtId="0" fontId="11" fillId="19" borderId="7" xfId="0" applyFont="1" applyFill="1" applyBorder="1" applyAlignment="1">
      <alignment horizontal="left"/>
    </xf>
    <xf numFmtId="0" fontId="0" fillId="19" borderId="9" xfId="0" applyFill="1" applyBorder="1"/>
    <xf numFmtId="0" fontId="0" fillId="19" borderId="7" xfId="0" applyFill="1" applyBorder="1"/>
    <xf numFmtId="0" fontId="11" fillId="19" borderId="7" xfId="0" applyFont="1" applyFill="1" applyBorder="1"/>
    <xf numFmtId="49" fontId="11" fillId="0" borderId="0" xfId="1" applyNumberFormat="1" applyAlignment="1">
      <alignment horizontal="left"/>
    </xf>
    <xf numFmtId="0" fontId="57" fillId="0" borderId="0" xfId="0" applyFont="1"/>
    <xf numFmtId="49" fontId="0" fillId="0" borderId="0" xfId="1" applyNumberFormat="1" applyFont="1" applyAlignment="1">
      <alignment wrapText="1"/>
    </xf>
    <xf numFmtId="49" fontId="0" fillId="0" borderId="0" xfId="1" applyNumberFormat="1" applyFont="1" applyAlignment="1">
      <alignment horizontal="right"/>
    </xf>
    <xf numFmtId="20" fontId="11" fillId="0" borderId="0" xfId="1" applyNumberFormat="1" applyAlignment="1">
      <alignment horizontal="left"/>
    </xf>
    <xf numFmtId="0" fontId="44" fillId="0" borderId="0" xfId="11" applyNumberFormat="1" applyFont="1" applyFill="1" applyBorder="1" applyAlignment="1">
      <alignment horizontal="left" vertical="center"/>
    </xf>
    <xf numFmtId="0" fontId="0" fillId="3" borderId="0" xfId="0" applyFill="1" applyAlignment="1">
      <alignment vertical="top" wrapText="1"/>
    </xf>
    <xf numFmtId="0" fontId="20" fillId="3" borderId="12" xfId="0" applyFont="1" applyFill="1" applyBorder="1" applyAlignment="1">
      <alignment vertical="top" wrapText="1"/>
    </xf>
    <xf numFmtId="164" fontId="13" fillId="3" borderId="0" xfId="1" applyNumberFormat="1" applyFont="1" applyFill="1" applyAlignment="1">
      <alignment horizontal="centerContinuous" vertical="center" wrapText="1"/>
    </xf>
    <xf numFmtId="49" fontId="12" fillId="0" borderId="5" xfId="2" applyNumberFormat="1" applyFont="1" applyAlignment="1">
      <alignment horizontal="left" vertical="top"/>
    </xf>
    <xf numFmtId="49" fontId="12" fillId="12" borderId="0" xfId="8" applyNumberFormat="1" applyFont="1" applyAlignment="1">
      <alignment horizontal="left" vertical="top"/>
    </xf>
    <xf numFmtId="49" fontId="12" fillId="12" borderId="5" xfId="2" applyNumberFormat="1" applyFont="1" applyFill="1" applyAlignment="1">
      <alignment horizontal="left" vertical="top"/>
    </xf>
    <xf numFmtId="49" fontId="12" fillId="12" borderId="5" xfId="2" applyNumberFormat="1" applyFont="1" applyFill="1" applyAlignment="1">
      <alignment horizontal="left"/>
    </xf>
    <xf numFmtId="49" fontId="12" fillId="0" borderId="0" xfId="0" applyNumberFormat="1" applyFont="1" applyAlignment="1">
      <alignment horizontal="left"/>
    </xf>
    <xf numFmtId="0" fontId="12" fillId="0" borderId="0" xfId="0" applyFont="1" applyAlignment="1">
      <alignment horizontal="left"/>
    </xf>
    <xf numFmtId="0" fontId="12" fillId="0" borderId="0" xfId="0" applyFont="1"/>
    <xf numFmtId="49" fontId="12" fillId="0" borderId="5" xfId="2" applyNumberFormat="1" applyFont="1" applyAlignment="1">
      <alignment horizontal="left"/>
    </xf>
    <xf numFmtId="0" fontId="41" fillId="2" borderId="0" xfId="1" applyFont="1" applyFill="1"/>
    <xf numFmtId="0" fontId="12" fillId="0" borderId="0" xfId="1" applyFont="1"/>
    <xf numFmtId="49" fontId="12" fillId="13" borderId="0" xfId="8" applyNumberFormat="1" applyFont="1" applyFill="1" applyAlignment="1">
      <alignment horizontal="left"/>
    </xf>
    <xf numFmtId="49" fontId="0" fillId="0" borderId="0" xfId="0" applyNumberFormat="1"/>
    <xf numFmtId="0" fontId="44" fillId="13" borderId="1" xfId="11" applyNumberFormat="1" applyFont="1" applyFill="1" applyBorder="1" applyAlignment="1">
      <alignment horizontal="left" vertical="center"/>
    </xf>
    <xf numFmtId="0" fontId="44" fillId="2" borderId="0" xfId="1" applyFont="1" applyFill="1" applyAlignment="1">
      <alignment vertical="center"/>
    </xf>
    <xf numFmtId="0" fontId="44" fillId="0" borderId="1" xfId="11" applyNumberFormat="1" applyFont="1" applyFill="1" applyBorder="1" applyAlignment="1">
      <alignment horizontal="left" vertical="center"/>
    </xf>
    <xf numFmtId="0" fontId="44" fillId="0" borderId="0" xfId="1" applyFont="1" applyAlignment="1">
      <alignment horizontal="left" vertical="center"/>
    </xf>
    <xf numFmtId="14" fontId="59" fillId="31" borderId="0" xfId="0" applyNumberFormat="1" applyFont="1" applyFill="1" applyAlignment="1">
      <alignment vertical="center"/>
    </xf>
    <xf numFmtId="0" fontId="0" fillId="31" borderId="0" xfId="0" applyFill="1"/>
    <xf numFmtId="0" fontId="11" fillId="3" borderId="0" xfId="0" applyFont="1" applyFill="1" applyAlignment="1">
      <alignment horizontal="left" vertical="top" wrapText="1"/>
    </xf>
    <xf numFmtId="0" fontId="0" fillId="3" borderId="0" xfId="0" applyFill="1" applyAlignment="1">
      <alignment vertical="top"/>
    </xf>
    <xf numFmtId="0" fontId="11" fillId="3" borderId="0" xfId="0" applyFont="1" applyFill="1" applyAlignment="1">
      <alignment vertical="top" wrapText="1"/>
    </xf>
    <xf numFmtId="0" fontId="56" fillId="3" borderId="0" xfId="13" applyFill="1" applyBorder="1" applyAlignment="1">
      <alignment vertical="top" wrapText="1"/>
    </xf>
    <xf numFmtId="0" fontId="11" fillId="19" borderId="9" xfId="0" applyFont="1" applyFill="1" applyBorder="1" applyAlignment="1">
      <alignment horizontal="left"/>
    </xf>
    <xf numFmtId="49" fontId="11" fillId="3" borderId="1" xfId="0" applyNumberFormat="1" applyFont="1" applyFill="1" applyBorder="1" applyAlignment="1">
      <alignment vertical="top" wrapText="1"/>
    </xf>
    <xf numFmtId="49" fontId="20" fillId="3" borderId="4" xfId="0" applyNumberFormat="1" applyFont="1" applyFill="1" applyBorder="1" applyAlignment="1">
      <alignment vertical="top" wrapText="1"/>
    </xf>
    <xf numFmtId="49" fontId="20" fillId="3" borderId="1" xfId="0" applyNumberFormat="1" applyFont="1" applyFill="1" applyBorder="1" applyAlignment="1">
      <alignment vertical="top" wrapText="1"/>
    </xf>
    <xf numFmtId="49" fontId="11" fillId="0" borderId="0" xfId="1" applyNumberFormat="1" applyAlignment="1">
      <alignment wrapText="1"/>
    </xf>
    <xf numFmtId="0" fontId="20" fillId="0" borderId="0" xfId="0" applyFont="1" applyAlignment="1">
      <alignment wrapText="1"/>
    </xf>
    <xf numFmtId="1" fontId="0" fillId="0" borderId="0" xfId="0" applyNumberFormat="1"/>
    <xf numFmtId="49" fontId="11" fillId="0" borderId="0" xfId="0" applyNumberFormat="1" applyFont="1" applyAlignment="1">
      <alignment horizontal="left" vertical="top" wrapText="1"/>
    </xf>
    <xf numFmtId="49" fontId="0" fillId="0" borderId="0" xfId="0" applyNumberFormat="1" applyAlignment="1">
      <alignment horizontal="left" vertical="top" wrapText="1"/>
    </xf>
    <xf numFmtId="1" fontId="0" fillId="0" borderId="0" xfId="1" applyNumberFormat="1" applyFont="1" applyAlignment="1">
      <alignment wrapText="1"/>
    </xf>
    <xf numFmtId="49" fontId="11" fillId="0" borderId="0" xfId="0" applyNumberFormat="1" applyFont="1"/>
    <xf numFmtId="49" fontId="18" fillId="30" borderId="0" xfId="0" applyNumberFormat="1" applyFont="1" applyFill="1"/>
    <xf numFmtId="49" fontId="18" fillId="28" borderId="0" xfId="0" applyNumberFormat="1" applyFont="1" applyFill="1"/>
    <xf numFmtId="49" fontId="11" fillId="3" borderId="1" xfId="0" applyNumberFormat="1" applyFont="1" applyFill="1" applyBorder="1"/>
    <xf numFmtId="1" fontId="0" fillId="3" borderId="1" xfId="0" applyNumberFormat="1" applyFill="1" applyBorder="1" applyAlignment="1">
      <alignment horizontal="left" vertical="top" wrapText="1"/>
    </xf>
    <xf numFmtId="20" fontId="0" fillId="0" borderId="0" xfId="1" applyNumberFormat="1" applyFont="1" applyAlignment="1">
      <alignment horizontal="left" wrapText="1"/>
    </xf>
    <xf numFmtId="49" fontId="0" fillId="0" borderId="0" xfId="0" applyNumberFormat="1" applyAlignment="1">
      <alignment horizontal="left" vertical="top"/>
    </xf>
    <xf numFmtId="49" fontId="11" fillId="0" borderId="0" xfId="1" applyNumberFormat="1" applyAlignment="1">
      <alignment horizontal="left" vertical="top" wrapText="1"/>
    </xf>
    <xf numFmtId="1" fontId="11" fillId="0" borderId="0" xfId="1" applyNumberFormat="1" applyAlignment="1">
      <alignment horizontal="left" vertical="top" wrapText="1"/>
    </xf>
    <xf numFmtId="20" fontId="11" fillId="0" borderId="0" xfId="1" applyNumberFormat="1" applyAlignment="1">
      <alignment horizontal="left" vertical="top" wrapText="1"/>
    </xf>
    <xf numFmtId="0" fontId="11" fillId="0" borderId="0" xfId="1" applyAlignment="1">
      <alignment horizontal="left" vertical="top" wrapText="1"/>
    </xf>
    <xf numFmtId="0" fontId="62" fillId="0" borderId="0" xfId="1" applyFont="1"/>
    <xf numFmtId="20" fontId="12" fillId="3" borderId="0" xfId="1" applyNumberFormat="1" applyFont="1" applyFill="1" applyAlignment="1">
      <alignment horizontal="center" vertical="center"/>
    </xf>
    <xf numFmtId="0" fontId="12" fillId="0" borderId="0" xfId="1" applyFont="1" applyAlignment="1">
      <alignment horizontal="center" vertical="center"/>
    </xf>
    <xf numFmtId="0" fontId="63" fillId="0" borderId="0" xfId="1" applyFont="1" applyAlignment="1">
      <alignment horizontal="left" vertical="center"/>
    </xf>
    <xf numFmtId="0" fontId="63" fillId="0" borderId="0" xfId="1" applyFont="1"/>
    <xf numFmtId="20" fontId="12" fillId="3" borderId="0" xfId="1" applyNumberFormat="1" applyFont="1" applyFill="1" applyAlignment="1">
      <alignment horizontal="centerContinuous" vertical="center"/>
    </xf>
    <xf numFmtId="0" fontId="12" fillId="0" borderId="0" xfId="1" applyFont="1" applyAlignment="1">
      <alignment horizontal="centerContinuous" vertical="center"/>
    </xf>
    <xf numFmtId="0" fontId="23" fillId="0" borderId="0" xfId="1" applyFont="1"/>
    <xf numFmtId="49" fontId="11" fillId="0" borderId="0" xfId="5" applyNumberFormat="1" applyFont="1" applyBorder="1" applyAlignment="1">
      <alignment horizontal="center" vertical="top"/>
    </xf>
    <xf numFmtId="49" fontId="11" fillId="0" borderId="5" xfId="2" applyNumberFormat="1" applyFont="1" applyAlignment="1">
      <alignment horizontal="center" vertical="top"/>
    </xf>
    <xf numFmtId="49" fontId="11" fillId="0" borderId="5" xfId="2" applyNumberFormat="1" applyFont="1" applyAlignment="1">
      <alignment horizontal="center" vertical="top" wrapText="1"/>
    </xf>
    <xf numFmtId="49" fontId="12" fillId="0" borderId="0" xfId="2" applyNumberFormat="1" applyFont="1" applyBorder="1" applyAlignment="1">
      <alignment horizontal="center" vertical="top"/>
    </xf>
    <xf numFmtId="49" fontId="12" fillId="0" borderId="0" xfId="0" applyNumberFormat="1" applyFont="1" applyAlignment="1">
      <alignment horizontal="center" vertical="top"/>
    </xf>
    <xf numFmtId="49" fontId="11" fillId="12" borderId="0" xfId="5" applyNumberFormat="1" applyFont="1" applyFill="1" applyBorder="1" applyAlignment="1">
      <alignment horizontal="center" vertical="top"/>
    </xf>
    <xf numFmtId="49" fontId="11" fillId="12" borderId="5" xfId="2" applyNumberFormat="1" applyFont="1" applyFill="1" applyAlignment="1">
      <alignment horizontal="center" vertical="top"/>
    </xf>
    <xf numFmtId="49" fontId="11" fillId="12" borderId="5" xfId="2" applyNumberFormat="1" applyFont="1" applyFill="1" applyAlignment="1">
      <alignment horizontal="center" vertical="top" wrapText="1"/>
    </xf>
    <xf numFmtId="49" fontId="11" fillId="12" borderId="5" xfId="2" applyNumberFormat="1" applyFont="1" applyFill="1" applyAlignment="1">
      <alignment horizontal="center"/>
    </xf>
    <xf numFmtId="49" fontId="12" fillId="13" borderId="0" xfId="8" applyNumberFormat="1" applyFont="1" applyFill="1" applyAlignment="1">
      <alignment horizontal="center"/>
    </xf>
    <xf numFmtId="49" fontId="12" fillId="0" borderId="0" xfId="2" applyNumberFormat="1" applyFont="1" applyBorder="1" applyAlignment="1">
      <alignment horizontal="center"/>
    </xf>
    <xf numFmtId="49" fontId="0" fillId="0" borderId="0" xfId="2" applyNumberFormat="1" applyFont="1" applyBorder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0" xfId="0" applyNumberFormat="1" applyAlignment="1">
      <alignment horizontal="left"/>
    </xf>
    <xf numFmtId="49" fontId="11" fillId="0" borderId="5" xfId="2" applyNumberFormat="1" applyFont="1" applyAlignment="1">
      <alignment horizontal="center"/>
    </xf>
    <xf numFmtId="49" fontId="12" fillId="0" borderId="0" xfId="8" applyNumberFormat="1" applyFont="1" applyFill="1" applyAlignment="1">
      <alignment horizontal="center"/>
    </xf>
    <xf numFmtId="14" fontId="11" fillId="33" borderId="0" xfId="0" applyNumberFormat="1" applyFont="1" applyFill="1"/>
    <xf numFmtId="14" fontId="64" fillId="31" borderId="0" xfId="0" applyNumberFormat="1" applyFont="1" applyFill="1" applyAlignment="1">
      <alignment horizontal="left" vertical="center"/>
    </xf>
    <xf numFmtId="14" fontId="64" fillId="31" borderId="0" xfId="0" applyNumberFormat="1" applyFont="1" applyFill="1" applyAlignment="1">
      <alignment horizontal="left" vertical="center" wrapText="1"/>
    </xf>
    <xf numFmtId="0" fontId="11" fillId="0" borderId="0" xfId="0" applyFont="1" applyAlignment="1">
      <alignment wrapText="1"/>
    </xf>
    <xf numFmtId="0" fontId="0" fillId="0" borderId="0" xfId="0" applyAlignment="1">
      <alignment horizontal="left" vertical="top" wrapText="1"/>
    </xf>
    <xf numFmtId="20" fontId="0" fillId="0" borderId="0" xfId="0" applyNumberFormat="1" applyAlignment="1">
      <alignment horizontal="left" vertical="top" wrapText="1"/>
    </xf>
    <xf numFmtId="1" fontId="0" fillId="0" borderId="0" xfId="0" applyNumberFormat="1" applyAlignment="1">
      <alignment horizontal="left" vertical="top" wrapText="1"/>
    </xf>
    <xf numFmtId="49" fontId="59" fillId="31" borderId="0" xfId="0" applyNumberFormat="1" applyFont="1" applyFill="1" applyAlignment="1">
      <alignment vertical="center"/>
    </xf>
    <xf numFmtId="49" fontId="64" fillId="31" borderId="0" xfId="0" applyNumberFormat="1" applyFont="1" applyFill="1" applyAlignment="1">
      <alignment horizontal="left" vertical="center"/>
    </xf>
    <xf numFmtId="0" fontId="11" fillId="0" borderId="125" xfId="0" applyFont="1" applyBorder="1"/>
    <xf numFmtId="0" fontId="0" fillId="0" borderId="125" xfId="0" applyBorder="1"/>
    <xf numFmtId="0" fontId="11" fillId="0" borderId="126" xfId="0" applyFont="1" applyBorder="1"/>
    <xf numFmtId="0" fontId="0" fillId="0" borderId="130" xfId="0" applyBorder="1"/>
    <xf numFmtId="0" fontId="0" fillId="0" borderId="131" xfId="0" applyBorder="1"/>
    <xf numFmtId="0" fontId="11" fillId="0" borderId="131" xfId="0" applyFont="1" applyBorder="1"/>
    <xf numFmtId="0" fontId="0" fillId="0" borderId="127" xfId="0" applyBorder="1"/>
    <xf numFmtId="0" fontId="0" fillId="0" borderId="128" xfId="0" applyBorder="1"/>
    <xf numFmtId="0" fontId="0" fillId="0" borderId="129" xfId="0" applyBorder="1"/>
    <xf numFmtId="49" fontId="11" fillId="34" borderId="0" xfId="0" applyNumberFormat="1" applyFont="1" applyFill="1"/>
    <xf numFmtId="49" fontId="11" fillId="18" borderId="0" xfId="0" applyNumberFormat="1" applyFont="1" applyFill="1"/>
    <xf numFmtId="0" fontId="65" fillId="35" borderId="133" xfId="0" applyFont="1" applyFill="1" applyBorder="1"/>
    <xf numFmtId="0" fontId="58" fillId="7" borderId="132" xfId="1" applyFont="1" applyFill="1" applyBorder="1" applyAlignment="1">
      <alignment vertical="top" wrapText="1"/>
    </xf>
    <xf numFmtId="49" fontId="40" fillId="4" borderId="133" xfId="1" applyNumberFormat="1" applyFont="1" applyFill="1" applyBorder="1" applyAlignment="1">
      <alignment vertical="top" wrapText="1"/>
    </xf>
    <xf numFmtId="49" fontId="40" fillId="5" borderId="133" xfId="1" applyNumberFormat="1" applyFont="1" applyFill="1" applyBorder="1" applyAlignment="1">
      <alignment vertical="top" wrapText="1"/>
    </xf>
    <xf numFmtId="49" fontId="40" fillId="6" borderId="133" xfId="1" applyNumberFormat="1" applyFont="1" applyFill="1" applyBorder="1" applyAlignment="1">
      <alignment vertical="top" wrapText="1"/>
    </xf>
    <xf numFmtId="49" fontId="40" fillId="27" borderId="136" xfId="1" applyNumberFormat="1" applyFont="1" applyFill="1" applyBorder="1" applyAlignment="1">
      <alignment horizontal="left" vertical="top" wrapText="1"/>
    </xf>
    <xf numFmtId="49" fontId="40" fillId="18" borderId="133" xfId="1" applyNumberFormat="1" applyFont="1" applyFill="1" applyBorder="1" applyAlignment="1">
      <alignment vertical="top" wrapText="1"/>
    </xf>
    <xf numFmtId="49" fontId="66" fillId="23" borderId="133" xfId="1" applyNumberFormat="1" applyFont="1" applyFill="1" applyBorder="1" applyAlignment="1">
      <alignment vertical="top" wrapText="1"/>
    </xf>
    <xf numFmtId="49" fontId="40" fillId="5" borderId="133" xfId="1" applyNumberFormat="1" applyFont="1" applyFill="1" applyBorder="1" applyAlignment="1">
      <alignment horizontal="left" vertical="top" wrapText="1"/>
    </xf>
    <xf numFmtId="20" fontId="40" fillId="5" borderId="133" xfId="1" applyNumberFormat="1" applyFont="1" applyFill="1" applyBorder="1" applyAlignment="1">
      <alignment horizontal="left" vertical="top" wrapText="1"/>
    </xf>
    <xf numFmtId="49" fontId="40" fillId="24" borderId="118" xfId="1" applyNumberFormat="1" applyFont="1" applyFill="1" applyBorder="1" applyAlignment="1">
      <alignment vertical="top" wrapText="1"/>
    </xf>
    <xf numFmtId="49" fontId="40" fillId="5" borderId="118" xfId="1" applyNumberFormat="1" applyFont="1" applyFill="1" applyBorder="1" applyAlignment="1">
      <alignment vertical="top" wrapText="1"/>
    </xf>
    <xf numFmtId="49" fontId="40" fillId="27" borderId="133" xfId="1" applyNumberFormat="1" applyFont="1" applyFill="1" applyBorder="1" applyAlignment="1">
      <alignment vertical="top" wrapText="1"/>
    </xf>
    <xf numFmtId="49" fontId="40" fillId="24" borderId="137" xfId="1" applyNumberFormat="1" applyFont="1" applyFill="1" applyBorder="1" applyAlignment="1">
      <alignment vertical="top" wrapText="1"/>
    </xf>
    <xf numFmtId="49" fontId="58" fillId="29" borderId="137" xfId="1" applyNumberFormat="1" applyFont="1" applyFill="1" applyBorder="1" applyAlignment="1">
      <alignment vertical="top" wrapText="1"/>
    </xf>
    <xf numFmtId="1" fontId="65" fillId="35" borderId="132" xfId="0" applyNumberFormat="1" applyFont="1" applyFill="1" applyBorder="1" applyAlignment="1">
      <alignment horizontal="left" vertical="top" wrapText="1"/>
    </xf>
    <xf numFmtId="49" fontId="65" fillId="35" borderId="133" xfId="0" applyNumberFormat="1" applyFont="1" applyFill="1" applyBorder="1" applyAlignment="1">
      <alignment horizontal="left" vertical="top" wrapText="1"/>
    </xf>
    <xf numFmtId="1" fontId="65" fillId="35" borderId="133" xfId="0" applyNumberFormat="1" applyFont="1" applyFill="1" applyBorder="1" applyAlignment="1">
      <alignment horizontal="left" vertical="top" wrapText="1"/>
    </xf>
    <xf numFmtId="20" fontId="65" fillId="35" borderId="133" xfId="0" applyNumberFormat="1" applyFont="1" applyFill="1" applyBorder="1" applyAlignment="1">
      <alignment horizontal="left" vertical="top" wrapText="1"/>
    </xf>
    <xf numFmtId="49" fontId="65" fillId="35" borderId="134" xfId="0" applyNumberFormat="1" applyFont="1" applyFill="1" applyBorder="1" applyAlignment="1">
      <alignment horizontal="left" vertical="top" wrapText="1"/>
    </xf>
    <xf numFmtId="49" fontId="40" fillId="5" borderId="135" xfId="1" applyNumberFormat="1" applyFont="1" applyFill="1" applyBorder="1" applyAlignment="1">
      <alignment horizontal="left" vertical="top" wrapText="1"/>
    </xf>
    <xf numFmtId="49" fontId="40" fillId="24" borderId="135" xfId="1" applyNumberFormat="1" applyFont="1" applyFill="1" applyBorder="1" applyAlignment="1">
      <alignment horizontal="left" vertical="top" wrapText="1"/>
    </xf>
    <xf numFmtId="49" fontId="40" fillId="27" borderId="135" xfId="1" applyNumberFormat="1" applyFont="1" applyFill="1" applyBorder="1" applyAlignment="1">
      <alignment horizontal="left" vertical="top" wrapText="1"/>
    </xf>
    <xf numFmtId="49" fontId="61" fillId="19" borderId="135" xfId="1" applyNumberFormat="1" applyFont="1" applyFill="1" applyBorder="1" applyAlignment="1">
      <alignment horizontal="left" vertical="top" wrapText="1"/>
    </xf>
    <xf numFmtId="49" fontId="40" fillId="20" borderId="135" xfId="1" applyNumberFormat="1" applyFont="1" applyFill="1" applyBorder="1" applyAlignment="1">
      <alignment horizontal="left" vertical="top" wrapText="1"/>
    </xf>
    <xf numFmtId="49" fontId="40" fillId="32" borderId="135" xfId="1" applyNumberFormat="1" applyFont="1" applyFill="1" applyBorder="1" applyAlignment="1">
      <alignment horizontal="left" vertical="top" wrapText="1"/>
    </xf>
    <xf numFmtId="49" fontId="40" fillId="11" borderId="135" xfId="1" applyNumberFormat="1" applyFont="1" applyFill="1" applyBorder="1" applyAlignment="1">
      <alignment horizontal="left" vertical="top" wrapText="1"/>
    </xf>
    <xf numFmtId="1" fontId="65" fillId="35" borderId="132" xfId="0" applyNumberFormat="1" applyFont="1" applyFill="1" applyBorder="1" applyAlignment="1">
      <alignment horizontal="left" vertical="top"/>
    </xf>
    <xf numFmtId="49" fontId="65" fillId="35" borderId="133" xfId="0" applyNumberFormat="1" applyFont="1" applyFill="1" applyBorder="1" applyAlignment="1">
      <alignment horizontal="left" vertical="top"/>
    </xf>
    <xf numFmtId="49" fontId="65" fillId="35" borderId="133" xfId="1" applyNumberFormat="1" applyFont="1" applyFill="1" applyBorder="1" applyAlignment="1">
      <alignment horizontal="left" vertical="top" wrapText="1"/>
    </xf>
    <xf numFmtId="20" fontId="65" fillId="35" borderId="133" xfId="0" applyNumberFormat="1" applyFont="1" applyFill="1" applyBorder="1" applyAlignment="1">
      <alignment horizontal="left" vertical="top"/>
    </xf>
    <xf numFmtId="1" fontId="65" fillId="35" borderId="133" xfId="0" applyNumberFormat="1" applyFont="1" applyFill="1" applyBorder="1" applyAlignment="1">
      <alignment horizontal="left" vertical="top"/>
    </xf>
    <xf numFmtId="20" fontId="65" fillId="35" borderId="133" xfId="0" applyNumberFormat="1" applyFont="1" applyFill="1" applyBorder="1"/>
    <xf numFmtId="20" fontId="65" fillId="35" borderId="134" xfId="0" applyNumberFormat="1" applyFont="1" applyFill="1" applyBorder="1"/>
    <xf numFmtId="49" fontId="40" fillId="36" borderId="135" xfId="1" applyNumberFormat="1" applyFont="1" applyFill="1" applyBorder="1" applyAlignment="1">
      <alignment horizontal="left" vertical="top" wrapText="1"/>
    </xf>
    <xf numFmtId="49" fontId="40" fillId="37" borderId="135" xfId="1" applyNumberFormat="1" applyFont="1" applyFill="1" applyBorder="1" applyAlignment="1">
      <alignment horizontal="left" vertical="top" wrapText="1"/>
    </xf>
    <xf numFmtId="49" fontId="40" fillId="38" borderId="135" xfId="1" applyNumberFormat="1" applyFont="1" applyFill="1" applyBorder="1" applyAlignment="1">
      <alignment horizontal="left" vertical="top" wrapText="1"/>
    </xf>
    <xf numFmtId="49" fontId="40" fillId="39" borderId="135" xfId="1" applyNumberFormat="1" applyFont="1" applyFill="1" applyBorder="1" applyAlignment="1">
      <alignment horizontal="left" vertical="top" wrapText="1"/>
    </xf>
    <xf numFmtId="49" fontId="40" fillId="40" borderId="135" xfId="1" applyNumberFormat="1" applyFont="1" applyFill="1" applyBorder="1" applyAlignment="1">
      <alignment horizontal="left" vertical="top" wrapText="1"/>
    </xf>
    <xf numFmtId="49" fontId="66" fillId="29" borderId="133" xfId="1" applyNumberFormat="1" applyFont="1" applyFill="1" applyBorder="1" applyAlignment="1">
      <alignment vertical="top" wrapText="1"/>
    </xf>
    <xf numFmtId="0" fontId="18" fillId="4" borderId="7" xfId="0" applyFont="1" applyFill="1" applyBorder="1"/>
    <xf numFmtId="0" fontId="18" fillId="4" borderId="130" xfId="0" applyFont="1" applyFill="1" applyBorder="1"/>
    <xf numFmtId="49" fontId="65" fillId="0" borderId="133" xfId="1" applyNumberFormat="1" applyFont="1" applyBorder="1" applyAlignment="1">
      <alignment horizontal="left" vertical="top" wrapText="1"/>
    </xf>
    <xf numFmtId="0" fontId="11" fillId="0" borderId="0" xfId="0" applyFont="1" applyAlignment="1">
      <alignment horizontal="left" vertical="top" wrapText="1"/>
    </xf>
    <xf numFmtId="49" fontId="65" fillId="0" borderId="133" xfId="0" applyNumberFormat="1" applyFont="1" applyBorder="1" applyAlignment="1">
      <alignment horizontal="left" vertical="top" wrapText="1"/>
    </xf>
    <xf numFmtId="1" fontId="65" fillId="0" borderId="133" xfId="0" applyNumberFormat="1" applyFont="1" applyBorder="1" applyAlignment="1">
      <alignment horizontal="left" vertical="top" wrapText="1"/>
    </xf>
    <xf numFmtId="20" fontId="65" fillId="0" borderId="133" xfId="0" applyNumberFormat="1" applyFont="1" applyBorder="1" applyAlignment="1">
      <alignment horizontal="left" vertical="top" wrapText="1"/>
    </xf>
    <xf numFmtId="49" fontId="65" fillId="0" borderId="134" xfId="0" applyNumberFormat="1" applyFont="1" applyBorder="1" applyAlignment="1">
      <alignment horizontal="left" vertical="top" wrapText="1"/>
    </xf>
    <xf numFmtId="49" fontId="65" fillId="0" borderId="133" xfId="0" applyNumberFormat="1" applyFont="1" applyBorder="1" applyAlignment="1">
      <alignment horizontal="left" vertical="top"/>
    </xf>
    <xf numFmtId="1" fontId="65" fillId="0" borderId="132" xfId="0" applyNumberFormat="1" applyFont="1" applyBorder="1" applyAlignment="1">
      <alignment horizontal="left" vertical="top"/>
    </xf>
    <xf numFmtId="20" fontId="65" fillId="0" borderId="133" xfId="0" applyNumberFormat="1" applyFont="1" applyBorder="1" applyAlignment="1">
      <alignment horizontal="left" vertical="top"/>
    </xf>
    <xf numFmtId="0" fontId="65" fillId="0" borderId="133" xfId="0" applyFont="1" applyBorder="1"/>
    <xf numFmtId="20" fontId="65" fillId="0" borderId="133" xfId="0" applyNumberFormat="1" applyFont="1" applyBorder="1"/>
    <xf numFmtId="20" fontId="65" fillId="0" borderId="134" xfId="0" applyNumberFormat="1" applyFont="1" applyBorder="1"/>
    <xf numFmtId="1" fontId="65" fillId="0" borderId="133" xfId="0" applyNumberFormat="1" applyFont="1" applyBorder="1" applyAlignment="1">
      <alignment horizontal="left" vertical="top"/>
    </xf>
    <xf numFmtId="49" fontId="0" fillId="0" borderId="0" xfId="0" applyNumberFormat="1" applyAlignment="1">
      <alignment wrapText="1"/>
    </xf>
    <xf numFmtId="1" fontId="11" fillId="0" borderId="0" xfId="0" applyNumberFormat="1" applyFont="1" applyAlignment="1">
      <alignment horizontal="left" vertical="top"/>
    </xf>
    <xf numFmtId="20" fontId="0" fillId="0" borderId="0" xfId="0" applyNumberFormat="1" applyAlignment="1">
      <alignment horizontal="left" vertical="top"/>
    </xf>
    <xf numFmtId="1" fontId="0" fillId="0" borderId="0" xfId="0" applyNumberFormat="1" applyAlignment="1">
      <alignment horizontal="left" vertical="top"/>
    </xf>
    <xf numFmtId="0" fontId="0" fillId="0" borderId="0" xfId="0" applyAlignment="1">
      <alignment horizontal="left" wrapText="1"/>
    </xf>
    <xf numFmtId="0" fontId="67" fillId="31" borderId="0" xfId="0" applyFont="1" applyFill="1" applyAlignment="1">
      <alignment vertical="center" wrapText="1"/>
    </xf>
    <xf numFmtId="0" fontId="67" fillId="31" borderId="0" xfId="0" applyFont="1" applyFill="1" applyAlignment="1">
      <alignment horizontal="left" vertical="center" wrapText="1"/>
    </xf>
    <xf numFmtId="20" fontId="65" fillId="41" borderId="138" xfId="1" applyNumberFormat="1" applyFont="1" applyFill="1" applyBorder="1" applyAlignment="1">
      <alignment horizontal="left" vertical="top" wrapText="1"/>
    </xf>
    <xf numFmtId="49" fontId="0" fillId="0" borderId="130" xfId="0" applyNumberFormat="1" applyBorder="1" applyAlignment="1">
      <alignment horizontal="left" vertical="top" wrapText="1"/>
    </xf>
    <xf numFmtId="49" fontId="56" fillId="0" borderId="7" xfId="13" applyNumberFormat="1" applyBorder="1" applyAlignment="1">
      <alignment horizontal="left" vertical="top" wrapText="1"/>
    </xf>
    <xf numFmtId="49" fontId="56" fillId="0" borderId="9" xfId="13" applyNumberFormat="1" applyBorder="1" applyAlignment="1">
      <alignment horizontal="left" vertical="top" wrapText="1"/>
    </xf>
    <xf numFmtId="49" fontId="10" fillId="3" borderId="7" xfId="0" applyNumberFormat="1" applyFont="1" applyFill="1" applyBorder="1" applyAlignment="1">
      <alignment horizontal="left" vertical="top"/>
    </xf>
    <xf numFmtId="49" fontId="10" fillId="3" borderId="9" xfId="0" applyNumberFormat="1" applyFont="1" applyFill="1" applyBorder="1" applyAlignment="1">
      <alignment horizontal="left" vertical="top"/>
    </xf>
    <xf numFmtId="49" fontId="11" fillId="3" borderId="7" xfId="0" applyNumberFormat="1" applyFont="1" applyFill="1" applyBorder="1" applyAlignment="1">
      <alignment horizontal="left" vertical="top" wrapText="1"/>
    </xf>
    <xf numFmtId="49" fontId="11" fillId="3" borderId="9" xfId="0" applyNumberFormat="1" applyFont="1" applyFill="1" applyBorder="1" applyAlignment="1">
      <alignment horizontal="left" vertical="top" wrapText="1"/>
    </xf>
    <xf numFmtId="168" fontId="48" fillId="0" borderId="7" xfId="0" applyNumberFormat="1" applyFont="1" applyBorder="1" applyAlignment="1">
      <alignment horizontal="right" vertical="center"/>
    </xf>
    <xf numFmtId="168" fontId="48" fillId="0" borderId="8" xfId="0" applyNumberFormat="1" applyFont="1" applyBorder="1" applyAlignment="1">
      <alignment horizontal="right" vertical="center"/>
    </xf>
    <xf numFmtId="168" fontId="48" fillId="0" borderId="8" xfId="0" applyNumberFormat="1" applyFont="1" applyBorder="1" applyAlignment="1">
      <alignment horizontal="left" vertical="center"/>
    </xf>
    <xf numFmtId="0" fontId="29" fillId="3" borderId="10" xfId="0" applyFont="1" applyFill="1" applyBorder="1" applyAlignment="1">
      <alignment horizontal="center" vertical="center" wrapText="1"/>
    </xf>
    <xf numFmtId="0" fontId="30" fillId="3" borderId="0" xfId="0" applyFont="1" applyFill="1" applyAlignment="1">
      <alignment wrapText="1"/>
    </xf>
    <xf numFmtId="168" fontId="48" fillId="3" borderId="8" xfId="0" applyNumberFormat="1" applyFont="1" applyFill="1" applyBorder="1" applyAlignment="1">
      <alignment horizontal="left" vertical="center"/>
    </xf>
    <xf numFmtId="0" fontId="29" fillId="3" borderId="0" xfId="0" applyFont="1" applyFill="1" applyAlignment="1">
      <alignment horizontal="center" vertical="center" wrapText="1"/>
    </xf>
    <xf numFmtId="0" fontId="29" fillId="3" borderId="56" xfId="0" applyFont="1" applyFill="1" applyBorder="1" applyAlignment="1">
      <alignment horizontal="center" vertical="center" wrapText="1"/>
    </xf>
    <xf numFmtId="168" fontId="27" fillId="0" borderId="7" xfId="0" applyNumberFormat="1" applyFont="1" applyBorder="1" applyAlignment="1">
      <alignment horizontal="right" vertical="center"/>
    </xf>
    <xf numFmtId="168" fontId="27" fillId="0" borderId="8" xfId="0" applyNumberFormat="1" applyFont="1" applyBorder="1" applyAlignment="1">
      <alignment horizontal="right" vertical="center"/>
    </xf>
    <xf numFmtId="0" fontId="29" fillId="3" borderId="11" xfId="0" applyFont="1" applyFill="1" applyBorder="1" applyAlignment="1">
      <alignment horizontal="center" vertical="center" wrapText="1"/>
    </xf>
    <xf numFmtId="0" fontId="29" fillId="3" borderId="12" xfId="0" applyFont="1" applyFill="1" applyBorder="1" applyAlignment="1">
      <alignment horizontal="center" vertical="center" wrapText="1"/>
    </xf>
    <xf numFmtId="0" fontId="29" fillId="3" borderId="15" xfId="0" applyFont="1" applyFill="1" applyBorder="1" applyAlignment="1">
      <alignment horizontal="center" vertical="center" wrapText="1"/>
    </xf>
    <xf numFmtId="0" fontId="17" fillId="0" borderId="0" xfId="1" applyFont="1" applyAlignment="1">
      <alignment horizontal="left" vertical="center"/>
    </xf>
    <xf numFmtId="0" fontId="17" fillId="0" borderId="0" xfId="1" applyFont="1" applyAlignment="1">
      <alignment vertical="center"/>
    </xf>
    <xf numFmtId="0" fontId="26" fillId="0" borderId="0" xfId="0" applyFont="1" applyAlignment="1">
      <alignment horizontal="center" vertical="center"/>
    </xf>
    <xf numFmtId="164" fontId="25" fillId="0" borderId="0" xfId="6" applyNumberFormat="1" applyFont="1" applyAlignment="1">
      <alignment horizontal="center" vertical="center" wrapText="1"/>
    </xf>
    <xf numFmtId="165" fontId="25" fillId="12" borderId="0" xfId="8" applyNumberFormat="1" applyFont="1" applyAlignment="1">
      <alignment horizontal="center" vertical="center" wrapText="1"/>
    </xf>
    <xf numFmtId="165" fontId="25" fillId="0" borderId="0" xfId="6" applyNumberFormat="1" applyFont="1" applyAlignment="1">
      <alignment horizontal="center" vertical="center" wrapText="1"/>
    </xf>
    <xf numFmtId="0" fontId="52" fillId="3" borderId="10" xfId="0" applyFont="1" applyFill="1" applyBorder="1" applyAlignment="1">
      <alignment horizontal="center" vertical="center" wrapText="1"/>
    </xf>
    <xf numFmtId="0" fontId="52" fillId="3" borderId="0" xfId="0" applyFont="1" applyFill="1" applyAlignment="1">
      <alignment horizontal="center" vertical="center" wrapText="1"/>
    </xf>
    <xf numFmtId="0" fontId="52" fillId="3" borderId="56" xfId="0" applyFont="1" applyFill="1" applyBorder="1" applyAlignment="1">
      <alignment horizontal="center" vertical="center" wrapText="1"/>
    </xf>
    <xf numFmtId="168" fontId="55" fillId="0" borderId="7" xfId="0" applyNumberFormat="1" applyFont="1" applyBorder="1" applyAlignment="1">
      <alignment horizontal="center" vertical="center"/>
    </xf>
    <xf numFmtId="168" fontId="55" fillId="0" borderId="8" xfId="0" applyNumberFormat="1" applyFont="1" applyBorder="1" applyAlignment="1">
      <alignment horizontal="center" vertical="center"/>
    </xf>
    <xf numFmtId="168" fontId="55" fillId="0" borderId="9" xfId="0" applyNumberFormat="1" applyFont="1" applyBorder="1" applyAlignment="1">
      <alignment horizontal="center" vertical="center"/>
    </xf>
    <xf numFmtId="168" fontId="27" fillId="3" borderId="7" xfId="0" applyNumberFormat="1" applyFont="1" applyFill="1" applyBorder="1" applyAlignment="1">
      <alignment horizontal="right" vertical="center"/>
    </xf>
    <xf numFmtId="168" fontId="27" fillId="3" borderId="8" xfId="0" applyNumberFormat="1" applyFont="1" applyFill="1" applyBorder="1" applyAlignment="1">
      <alignment horizontal="right" vertical="center"/>
    </xf>
  </cellXfs>
  <cellStyles count="23">
    <cellStyle name="Boldaus" xfId="3" xr:uid="{00000000-0005-0000-0000-000000000000}"/>
    <cellStyle name="Boldaus2" xfId="6" xr:uid="{00000000-0005-0000-0000-000001000000}"/>
    <cellStyle name="Boldaus3" xfId="9" xr:uid="{4F95055F-9C36-4B94-A238-DAAB99A3B230}"/>
    <cellStyle name="Harmaatausta" xfId="8" xr:uid="{00000000-0005-0000-0000-000002000000}"/>
    <cellStyle name="Hyperlink" xfId="13" builtinId="8"/>
    <cellStyle name="Iso nimi" xfId="11" xr:uid="{BAF87466-44FC-4576-9C1A-D5243B9888E3}"/>
    <cellStyle name="IsoFontti" xfId="12" xr:uid="{BF074353-1D3A-4EF2-AB46-0721EBD42758}"/>
    <cellStyle name="Normaali 2" xfId="14" xr:uid="{0808A071-94FD-4A2C-B028-319556544AB9}"/>
    <cellStyle name="Normaali 3" xfId="15" xr:uid="{5C5D53A2-D1FD-41F9-BCFA-00A34B92BBD6}"/>
    <cellStyle name="Normal" xfId="0" builtinId="0"/>
    <cellStyle name="Normal 2" xfId="1" xr:uid="{00000000-0005-0000-0000-000004000000}"/>
    <cellStyle name="Normal 3" xfId="16" xr:uid="{4BF5F78D-B27B-4D76-AB26-BFA7260C2DCF}"/>
    <cellStyle name="Normal 4" xfId="17" xr:uid="{829746A8-A67E-43EE-A0CA-63E192C023FB}"/>
    <cellStyle name="Normal 5" xfId="18" xr:uid="{D7F33D95-DB2A-4BC9-AFB6-686436D4F8E3}"/>
    <cellStyle name="Normal 6" xfId="19" xr:uid="{E111F5B7-845A-406E-81FB-88F6CA9F0A2F}"/>
    <cellStyle name="Normal 7" xfId="20" xr:uid="{0E02E1F9-9317-44F6-95F9-E88A652F7F78}"/>
    <cellStyle name="Normal 8" xfId="21" xr:uid="{D0582D96-BF81-4A2E-9A65-8A796837A578}"/>
    <cellStyle name="Normal 9" xfId="22" xr:uid="{6C130F37-0E44-4E1E-A236-40F09E7A138F}"/>
    <cellStyle name="Oikeaviiva" xfId="5" xr:uid="{00000000-0005-0000-0000-000005000000}"/>
    <cellStyle name="Pieni" xfId="7" xr:uid="{00000000-0005-0000-0000-000006000000}"/>
    <cellStyle name="pvm" xfId="10" xr:uid="{04CB7567-0E93-434A-9D5C-E7DD3B83536F}"/>
    <cellStyle name="Tavallinen" xfId="4" xr:uid="{00000000-0005-0000-0000-000007000000}"/>
    <cellStyle name="Yläviiva" xfId="2" xr:uid="{00000000-0005-0000-0000-000008000000}"/>
  </cellStyles>
  <dxfs count="147">
    <dxf>
      <fill>
        <patternFill patternType="none">
          <bgColor auto="1"/>
        </patternFill>
      </fill>
      <alignment horizontal="left" vertical="top" textRotation="0" wrapText="1" indent="0" justifyLastLine="0" shrinkToFit="0" readingOrder="0"/>
    </dxf>
    <dxf>
      <fill>
        <patternFill patternType="none">
          <bgColor auto="1"/>
        </patternFill>
      </fill>
      <alignment horizontal="left" vertical="top" textRotation="0" wrapText="1" indent="0" justifyLastLine="0" shrinkToFit="0" readingOrder="0"/>
    </dxf>
    <dxf>
      <fill>
        <patternFill patternType="none">
          <bgColor auto="1"/>
        </patternFill>
      </fill>
      <alignment horizontal="left" vertical="top" textRotation="0" wrapText="1" indent="0" justifyLastLine="0" shrinkToFit="0" readingOrder="0"/>
    </dxf>
    <dxf>
      <fill>
        <patternFill patternType="none">
          <bgColor auto="1"/>
        </patternFill>
      </fill>
      <alignment horizontal="left" vertical="top" textRotation="0" wrapText="1" indent="0" justifyLastLine="0" shrinkToFit="0" readingOrder="0"/>
    </dxf>
    <dxf>
      <fill>
        <patternFill patternType="none">
          <bgColor auto="1"/>
        </patternFill>
      </fill>
      <alignment horizontal="left" vertical="top" textRotation="0" wrapText="1" indent="0" justifyLastLine="0" shrinkToFit="0" readingOrder="0"/>
    </dxf>
    <dxf>
      <fill>
        <patternFill patternType="none">
          <bgColor auto="1"/>
        </patternFill>
      </fill>
      <alignment horizontal="left" vertical="top" textRotation="0" wrapText="1" indent="0" justifyLastLine="0" shrinkToFit="0" readingOrder="0"/>
    </dxf>
    <dxf>
      <fill>
        <patternFill patternType="none">
          <bgColor auto="1"/>
        </patternFill>
      </fill>
      <alignment horizontal="left" vertical="top" textRotation="0" wrapText="1" indent="0" justifyLastLine="0" shrinkToFit="0" readingOrder="0"/>
    </dxf>
    <dxf>
      <fill>
        <patternFill patternType="none">
          <bgColor auto="1"/>
        </patternFill>
      </fill>
      <alignment horizontal="left" vertical="top" textRotation="0" wrapText="1" indent="0" justifyLastLine="0" shrinkToFit="0" readingOrder="0"/>
    </dxf>
    <dxf>
      <fill>
        <patternFill patternType="none">
          <bgColor auto="1"/>
        </patternFill>
      </fill>
      <alignment horizontal="left" vertical="top" textRotation="0" wrapText="1" indent="0" justifyLastLine="0" shrinkToFit="0" readingOrder="0"/>
    </dxf>
    <dxf>
      <fill>
        <patternFill patternType="none">
          <bgColor auto="1"/>
        </patternFill>
      </fill>
      <alignment horizontal="left" vertical="top" textRotation="0" wrapText="1" indent="0" justifyLastLine="0" shrinkToFit="0" readingOrder="0"/>
    </dxf>
    <dxf>
      <fill>
        <patternFill patternType="none">
          <bgColor auto="1"/>
        </patternFill>
      </fill>
      <alignment horizontal="left" vertical="top" textRotation="0" wrapText="1" indent="0" justifyLastLine="0" shrinkToFit="0" readingOrder="0"/>
    </dxf>
    <dxf>
      <fill>
        <patternFill patternType="none">
          <bgColor auto="1"/>
        </patternFill>
      </fill>
      <alignment horizontal="left" vertical="top" textRotation="0" wrapText="1" indent="0" justifyLastLine="0" shrinkToFit="0" readingOrder="0"/>
    </dxf>
    <dxf>
      <fill>
        <patternFill patternType="none">
          <bgColor auto="1"/>
        </patternFill>
      </fill>
      <alignment horizontal="left" vertical="top" textRotation="0" wrapText="1" indent="0" justifyLastLine="0" shrinkToFit="0" readingOrder="0"/>
    </dxf>
    <dxf>
      <fill>
        <patternFill patternType="none">
          <bgColor auto="1"/>
        </patternFill>
      </fill>
      <alignment horizontal="left" vertical="top" textRotation="0" wrapText="1" indent="0" justifyLastLine="0" shrinkToFit="0" readingOrder="0"/>
    </dxf>
    <dxf>
      <fill>
        <patternFill patternType="none">
          <bgColor auto="1"/>
        </patternFill>
      </fill>
      <alignment horizontal="left" vertical="top" textRotation="0" wrapText="1" indent="0" justifyLastLine="0" shrinkToFit="0" readingOrder="0"/>
    </dxf>
    <dxf>
      <fill>
        <patternFill patternType="none">
          <bgColor auto="1"/>
        </patternFill>
      </fill>
      <alignment horizontal="left" vertical="top" textRotation="0" wrapText="1" indent="0" justifyLastLine="0" shrinkToFit="0" readingOrder="0"/>
    </dxf>
    <dxf>
      <fill>
        <patternFill patternType="none">
          <bgColor auto="1"/>
        </patternFill>
      </fill>
      <alignment horizontal="left" vertical="top" textRotation="0" wrapText="1" indent="0" justifyLastLine="0" shrinkToFit="0" readingOrder="0"/>
    </dxf>
    <dxf>
      <fill>
        <patternFill patternType="none">
          <bgColor auto="1"/>
        </patternFill>
      </fill>
      <alignment horizontal="left" vertical="top" textRotation="0" wrapText="1" indent="0" justifyLastLine="0" shrinkToFit="0" readingOrder="0"/>
    </dxf>
    <dxf>
      <fill>
        <patternFill patternType="none">
          <bgColor auto="1"/>
        </patternFill>
      </fill>
      <alignment horizontal="left" vertical="top" textRotation="0" wrapText="1" indent="0" justifyLastLine="0" shrinkToFit="0" readingOrder="0"/>
    </dxf>
    <dxf>
      <fill>
        <patternFill patternType="none">
          <bgColor auto="1"/>
        </patternFill>
      </fill>
      <alignment horizontal="left" vertical="top" textRotation="0" wrapText="1" indent="0" justifyLastLine="0" shrinkToFit="0" readingOrder="0"/>
    </dxf>
    <dxf>
      <fill>
        <patternFill patternType="none">
          <bgColor auto="1"/>
        </patternFill>
      </fill>
      <alignment horizontal="left" vertical="top" textRotation="0" wrapText="1" indent="0" justifyLastLine="0" shrinkToFit="0" readingOrder="0"/>
    </dxf>
    <dxf>
      <fill>
        <patternFill patternType="none">
          <bgColor auto="1"/>
        </patternFill>
      </fill>
      <alignment horizontal="left" vertical="top" textRotation="0" wrapText="1" indent="0" justifyLastLine="0" shrinkToFit="0" readingOrder="0"/>
    </dxf>
    <dxf>
      <fill>
        <patternFill patternType="none">
          <bgColor auto="1"/>
        </patternFill>
      </fill>
      <alignment horizontal="left" vertical="top" textRotation="0" wrapText="1" indent="0" justifyLastLine="0" shrinkToFit="0" readingOrder="0"/>
    </dxf>
    <dxf>
      <fill>
        <patternFill patternType="none">
          <bgColor auto="1"/>
        </patternFill>
      </fill>
      <alignment horizontal="left" vertical="top" textRotation="0" wrapText="1" indent="0" justifyLastLine="0" shrinkToFit="0" readingOrder="0"/>
    </dxf>
    <dxf>
      <fill>
        <patternFill patternType="none">
          <bgColor auto="1"/>
        </patternFill>
      </fill>
      <alignment horizontal="left" vertical="top" textRotation="0" wrapText="1" indent="0" justifyLastLine="0" shrinkToFit="0" readingOrder="0"/>
    </dxf>
    <dxf>
      <fill>
        <patternFill patternType="none">
          <bgColor auto="1"/>
        </patternFill>
      </fill>
      <alignment horizontal="left" vertical="top" textRotation="0" wrapText="1" indent="0" justifyLastLine="0" shrinkToFit="0" readingOrder="0"/>
    </dxf>
    <dxf>
      <fill>
        <patternFill patternType="none">
          <bgColor auto="1"/>
        </patternFill>
      </fill>
      <alignment horizontal="left" vertical="top" textRotation="0" wrapText="1" indent="0" justifyLastLine="0" shrinkToFit="0" readingOrder="0"/>
    </dxf>
    <dxf>
      <fill>
        <patternFill patternType="none">
          <bgColor auto="1"/>
        </patternFill>
      </fill>
      <alignment horizontal="left" vertical="top" textRotation="0" wrapText="1" indent="0" justifyLastLine="0" shrinkToFit="0" readingOrder="0"/>
    </dxf>
    <dxf>
      <fill>
        <patternFill patternType="none">
          <bgColor auto="1"/>
        </patternFill>
      </fill>
      <alignment horizontal="left" vertical="top" textRotation="0" wrapText="1" indent="0" justifyLastLine="0" shrinkToFit="0" readingOrder="0"/>
    </dxf>
    <dxf>
      <fill>
        <patternFill patternType="none">
          <bgColor auto="1"/>
        </patternFill>
      </fill>
      <alignment horizontal="left" vertical="top" textRotation="0" wrapText="1" indent="0" justifyLastLine="0" shrinkToFit="0" readingOrder="0"/>
    </dxf>
    <dxf>
      <fill>
        <patternFill patternType="none">
          <bgColor auto="1"/>
        </patternFill>
      </fill>
      <alignment horizontal="left" vertical="top" textRotation="0" wrapText="1" indent="0" justifyLastLine="0" shrinkToFit="0" readingOrder="0"/>
    </dxf>
    <dxf>
      <fill>
        <patternFill patternType="none">
          <bgColor auto="1"/>
        </patternFill>
      </fill>
      <alignment horizontal="left" vertical="top" textRotation="0" wrapText="1" indent="0" justifyLastLine="0" shrinkToFit="0" readingOrder="0"/>
    </dxf>
    <dxf>
      <fill>
        <patternFill patternType="none">
          <bgColor auto="1"/>
        </patternFill>
      </fill>
      <alignment horizontal="left" vertical="top" textRotation="0" wrapText="1" indent="0" justifyLastLine="0" shrinkToFit="0" readingOrder="0"/>
    </dxf>
    <dxf>
      <fill>
        <patternFill patternType="none">
          <bgColor auto="1"/>
        </patternFill>
      </fill>
      <alignment horizontal="left" vertical="top" textRotation="0" wrapText="1" indent="0" justifyLastLine="0" shrinkToFit="0" readingOrder="0"/>
    </dxf>
    <dxf>
      <fill>
        <patternFill patternType="none">
          <bgColor auto="1"/>
        </patternFill>
      </fill>
      <alignment horizontal="left" vertical="top" textRotation="0" wrapText="1" indent="0" justifyLastLine="0" shrinkToFit="0" readingOrder="0"/>
    </dxf>
    <dxf>
      <fill>
        <patternFill patternType="none">
          <bgColor auto="1"/>
        </patternFill>
      </fill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bgColor auto="1"/>
        </patternFill>
      </fill>
      <alignment horizontal="left" vertical="top" textRotation="0" wrapText="1" indent="0" justifyLastLine="0" shrinkToFit="0" readingOrder="0"/>
    </dxf>
    <dxf>
      <fill>
        <patternFill patternType="none">
          <bgColor auto="1"/>
        </patternFill>
      </fill>
      <alignment horizontal="left" vertical="top" textRotation="0" wrapText="1" indent="0" justifyLastLine="0" shrinkToFit="0" readingOrder="0"/>
    </dxf>
    <dxf>
      <fill>
        <patternFill patternType="none">
          <bgColor auto="1"/>
        </patternFill>
      </fill>
      <alignment horizontal="general" vertical="bottom" textRotation="0" wrapText="1" indent="0" justifyLastLine="0" shrinkToFit="0" readingOrder="0"/>
    </dxf>
    <dxf>
      <numFmt numFmtId="30" formatCode="@"/>
      <alignment horizontal="left" vertical="top" textRotation="0" wrapText="1" indent="0" justifyLastLine="0" shrinkToFit="0" readingOrder="0"/>
    </dxf>
    <dxf>
      <numFmt numFmtId="30" formatCode="@"/>
      <alignment horizontal="left" vertical="top" textRotation="0" wrapText="1" indent="0" justifyLastLine="0" shrinkToFit="0" readingOrder="0"/>
    </dxf>
    <dxf>
      <numFmt numFmtId="30" formatCode="@"/>
      <alignment horizontal="left" vertical="top" textRotation="0" wrapText="1" indent="0" justifyLastLine="0" shrinkToFit="0" readingOrder="0"/>
    </dxf>
    <dxf>
      <numFmt numFmtId="30" formatCode="@"/>
      <alignment horizontal="left" vertical="top" textRotation="0" wrapText="1" indent="0" justifyLastLine="0" shrinkToFit="0" readingOrder="0"/>
    </dxf>
    <dxf>
      <numFmt numFmtId="30" formatCode="@"/>
      <alignment horizontal="left" vertical="top" textRotation="0" wrapText="1" indent="0" justifyLastLine="0" shrinkToFit="0" readingOrder="0"/>
    </dxf>
    <dxf>
      <numFmt numFmtId="30" formatCode="@"/>
      <alignment horizontal="left" vertical="top" textRotation="0" wrapText="1" indent="0" justifyLastLine="0" shrinkToFit="0" readingOrder="0"/>
    </dxf>
    <dxf>
      <numFmt numFmtId="30" formatCode="@"/>
      <alignment horizontal="left" vertical="top" textRotation="0" wrapText="1" indent="0" justifyLastLine="0" shrinkToFit="0" readingOrder="0"/>
    </dxf>
    <dxf>
      <numFmt numFmtId="25" formatCode="h:mm"/>
      <alignment horizontal="left" vertical="top" textRotation="0" wrapText="1" indent="0" justifyLastLine="0" shrinkToFit="0" readingOrder="0"/>
    </dxf>
    <dxf>
      <numFmt numFmtId="25" formatCode="h:mm"/>
      <alignment horizontal="left" vertical="top" textRotation="0" wrapText="1" indent="0" justifyLastLine="0" shrinkToFit="0" readingOrder="0"/>
    </dxf>
    <dxf>
      <numFmt numFmtId="25" formatCode="h:mm"/>
      <alignment horizontal="left" vertical="top" textRotation="0" wrapText="1" indent="0" justifyLastLine="0" shrinkToFit="0" readingOrder="0"/>
    </dxf>
    <dxf>
      <numFmt numFmtId="25" formatCode="h:mm"/>
      <alignment horizontal="left" vertical="top" textRotation="0" wrapText="1" indent="0" justifyLastLine="0" shrinkToFit="0" readingOrder="0"/>
    </dxf>
    <dxf>
      <numFmt numFmtId="25" formatCode="h:mm"/>
      <alignment horizontal="left" vertical="top" textRotation="0" wrapText="1" indent="0" justifyLastLine="0" shrinkToFit="0" readingOrder="0"/>
    </dxf>
    <dxf>
      <numFmt numFmtId="25" formatCode="h:mm"/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5" formatCode="h:mm"/>
      <alignment horizontal="left" vertical="top" textRotation="0" wrapText="1" indent="0" justifyLastLine="0" shrinkToFit="0" readingOrder="0"/>
    </dxf>
    <dxf>
      <numFmt numFmtId="25" formatCode="h:mm"/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5" formatCode="h:mm"/>
      <alignment horizontal="left" vertical="top" textRotation="0" wrapText="1" indent="0" justifyLastLine="0" shrinkToFit="0" readingOrder="0"/>
    </dxf>
    <dxf>
      <numFmt numFmtId="25" formatCode="h:mm"/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5" formatCode="h:mm"/>
      <alignment horizontal="left" vertical="top" textRotation="0" wrapText="1" indent="0" justifyLastLine="0" shrinkToFit="0" readingOrder="0"/>
    </dxf>
    <dxf>
      <numFmt numFmtId="25" formatCode="h:mm"/>
      <alignment horizontal="left" vertical="top" textRotation="0" wrapText="1" indent="0" justifyLastLine="0" shrinkToFit="0" readingOrder="0"/>
    </dxf>
    <dxf>
      <numFmt numFmtId="25" formatCode="h:mm"/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5" formatCode="h:mm"/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30" formatCode="@"/>
      <alignment horizontal="left" vertical="top" textRotation="0" wrapText="1" indent="0" justifyLastLine="0" shrinkToFit="0" readingOrder="0"/>
    </dxf>
    <dxf>
      <numFmt numFmtId="30" formatCode="@"/>
      <alignment horizontal="left" vertical="top" textRotation="0" wrapText="1" indent="0" justifyLastLine="0" shrinkToFit="0" readingOrder="0"/>
    </dxf>
    <dxf>
      <numFmt numFmtId="1" formatCode="0"/>
      <alignment horizontal="left" vertical="top" textRotation="0" wrapText="1" indent="0" justifyLastLine="0" shrinkToFit="0" readingOrder="0"/>
    </dxf>
    <dxf>
      <numFmt numFmtId="30" formatCode="@"/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30" formatCode="@"/>
      <alignment horizontal="left" vertical="top" textRotation="0" wrapText="1" indent="0" justifyLastLine="0" shrinkToFit="0" readingOrder="0"/>
    </dxf>
    <dxf>
      <numFmt numFmtId="30" formatCode="@"/>
      <alignment horizontal="left" vertical="top" textRotation="0" wrapText="1" indent="0" justifyLastLine="0" shrinkToFit="0" readingOrder="0"/>
    </dxf>
    <dxf>
      <numFmt numFmtId="1" formatCode="0"/>
      <alignment horizontal="left" vertical="top" textRotation="0" wrapText="1" indent="0" justifyLastLine="0" shrinkToFit="0" readingOrder="0"/>
    </dxf>
    <dxf>
      <numFmt numFmtId="30" formatCode="@"/>
      <alignment horizontal="left" vertical="top" textRotation="0" wrapText="1" indent="0" justifyLastLine="0" shrinkToFit="0" readingOrder="0"/>
    </dxf>
    <dxf>
      <numFmt numFmtId="1" formatCode="0"/>
      <alignment horizontal="left" vertical="top" textRotation="0" wrapText="1" indent="0" justifyLastLine="0" shrinkToFit="0" readingOrder="0"/>
    </dxf>
    <dxf>
      <numFmt numFmtId="30" formatCode="@"/>
      <alignment horizontal="left" vertical="top" textRotation="0" wrapText="1" indent="0" justifyLastLine="0" shrinkToFit="0" readingOrder="0"/>
    </dxf>
    <dxf>
      <numFmt numFmtId="30" formatCode="@"/>
      <alignment horizontal="left" vertical="top" textRotation="0" wrapText="1" indent="0" justifyLastLine="0" shrinkToFit="0" readingOrder="0"/>
    </dxf>
    <dxf>
      <numFmt numFmtId="30" formatCode="@"/>
      <alignment horizontal="left" vertical="top" textRotation="0" wrapText="1" indent="0" justifyLastLine="0" shrinkToFit="0" readingOrder="0"/>
    </dxf>
    <dxf>
      <numFmt numFmtId="30" formatCode="@"/>
      <alignment horizontal="left" vertical="top" textRotation="0" wrapText="1" indent="0" justifyLastLine="0" shrinkToFit="0" readingOrder="0"/>
    </dxf>
    <dxf>
      <numFmt numFmtId="30" formatCode="@"/>
      <alignment horizontal="left" vertical="top" textRotation="0" wrapText="1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numFmt numFmtId="30" formatCode="@"/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numFmt numFmtId="25" formatCode="h:mm"/>
      <alignment horizontal="left" vertical="top" textRotation="0" wrapText="1" indent="0" justifyLastLine="0" shrinkToFit="0" readingOrder="0"/>
    </dxf>
    <dxf>
      <numFmt numFmtId="30" formatCode="@"/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30" formatCode="@"/>
      <alignment horizontal="left" vertical="top" textRotation="0" wrapText="1" indent="0" justifyLastLine="0" shrinkToFit="0" readingOrder="0"/>
    </dxf>
    <dxf>
      <font>
        <color theme="1"/>
        <family val="2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top" textRotation="0" wrapText="1" indent="0" justifyLastLine="0" shrinkToFit="0" readingOrder="0"/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color theme="1"/>
        <family val="2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top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color theme="1"/>
        <family val="2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top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color theme="1"/>
        <family val="2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top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color theme="1"/>
        <family val="2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top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color theme="1"/>
        <family val="2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top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color theme="1"/>
        <family val="2"/>
      </font>
      <numFmt numFmtId="25" formatCode="h:mm"/>
      <fill>
        <patternFill patternType="solid">
          <fgColor theme="4" tint="0.79998168889431442"/>
          <bgColor theme="4" tint="0.79998168889431442"/>
        </patternFill>
      </fill>
      <alignment horizontal="left" vertical="top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color theme="1"/>
        <family val="2"/>
      </font>
      <numFmt numFmtId="25" formatCode="h:mm"/>
      <fill>
        <patternFill patternType="solid">
          <fgColor theme="4" tint="0.79998168889431442"/>
          <bgColor theme="4" tint="0.79998168889431442"/>
        </patternFill>
      </fill>
      <alignment horizontal="left" vertical="top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color theme="1"/>
        <family val="2"/>
      </font>
      <numFmt numFmtId="25" formatCode="h:mm"/>
      <fill>
        <patternFill patternType="solid">
          <fgColor theme="4" tint="0.79998168889431442"/>
          <bgColor theme="4" tint="0.79998168889431442"/>
        </patternFill>
      </fill>
      <alignment horizontal="left" vertical="top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color theme="1"/>
        <family val="2"/>
      </font>
      <numFmt numFmtId="25" formatCode="h:mm"/>
      <fill>
        <patternFill patternType="solid">
          <fgColor theme="4" tint="0.79998168889431442"/>
          <bgColor theme="4" tint="0.79998168889431442"/>
        </patternFill>
      </fill>
      <alignment horizontal="left" vertical="top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color theme="1"/>
        <family val="2"/>
      </font>
      <numFmt numFmtId="25" formatCode="h:mm"/>
      <fill>
        <patternFill patternType="solid">
          <fgColor theme="4" tint="0.79998168889431442"/>
          <bgColor theme="4" tint="0.79998168889431442"/>
        </patternFill>
      </fill>
      <alignment horizontal="left" vertical="top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color theme="1"/>
        <family val="2"/>
      </font>
      <numFmt numFmtId="25" formatCode="h:mm"/>
      <fill>
        <patternFill patternType="solid">
          <fgColor theme="4" tint="0.79998168889431442"/>
          <bgColor theme="4" tint="0.79998168889431442"/>
        </patternFill>
      </fill>
      <alignment horizontal="left" vertical="top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color theme="1"/>
        <family val="2"/>
      </font>
      <numFmt numFmtId="25" formatCode="h:mm"/>
      <fill>
        <patternFill patternType="solid">
          <fgColor theme="4" tint="0.79998168889431442"/>
          <bgColor theme="4" tint="0.79998168889431442"/>
        </patternFill>
      </fill>
      <alignment horizontal="left" vertical="top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color theme="1"/>
        <family val="2"/>
      </font>
      <numFmt numFmtId="25" formatCode="h:mm"/>
      <fill>
        <patternFill patternType="solid">
          <fgColor theme="4" tint="0.79998168889431442"/>
          <bgColor theme="4" tint="0.79998168889431442"/>
        </patternFill>
      </fill>
      <alignment horizontal="left" vertical="top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color theme="1"/>
        <family val="2"/>
      </font>
      <numFmt numFmtId="25" formatCode="h:mm"/>
      <fill>
        <patternFill patternType="solid">
          <fgColor theme="4" tint="0.79998168889431442"/>
          <bgColor theme="4" tint="0.79998168889431442"/>
        </patternFill>
      </fill>
      <alignment horizontal="left" vertical="top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color theme="1"/>
        <family val="2"/>
      </font>
      <numFmt numFmtId="25" formatCode="h:mm"/>
      <fill>
        <patternFill patternType="solid">
          <fgColor theme="4" tint="0.79998168889431442"/>
          <bgColor theme="4" tint="0.79998168889431442"/>
        </patternFill>
      </fill>
      <alignment horizontal="left" vertical="top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color theme="1"/>
        <family val="2"/>
      </font>
      <numFmt numFmtId="25" formatCode="h:mm"/>
      <fill>
        <patternFill patternType="solid">
          <fgColor theme="4" tint="0.79998168889431442"/>
          <bgColor theme="4" tint="0.79998168889431442"/>
        </patternFill>
      </fill>
      <alignment horizontal="left" vertical="top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color theme="1"/>
        <family val="2"/>
      </font>
      <numFmt numFmtId="25" formatCode="h:mm"/>
      <fill>
        <patternFill patternType="solid">
          <fgColor theme="4" tint="0.79998168889431442"/>
          <bgColor theme="4" tint="0.79998168889431442"/>
        </patternFill>
      </fill>
      <alignment horizontal="left" vertical="top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color theme="1"/>
        <family val="2"/>
      </font>
      <numFmt numFmtId="25" formatCode="h:mm"/>
      <fill>
        <patternFill patternType="solid">
          <fgColor theme="4" tint="0.79998168889431442"/>
          <bgColor theme="4" tint="0.79998168889431442"/>
        </patternFill>
      </fill>
      <alignment horizontal="left" vertical="top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25" formatCode="h:mm"/>
      <fill>
        <patternFill patternType="solid">
          <fgColor theme="4" tint="0.79998168889431442"/>
          <bgColor theme="4" tint="0.79998168889431442"/>
        </patternFill>
      </fill>
      <alignment horizontal="left" vertical="top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top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top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top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top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" formatCode="0"/>
      <fill>
        <patternFill patternType="solid">
          <fgColor theme="4" tint="0.79998168889431442"/>
          <bgColor theme="4" tint="0.79998168889431442"/>
        </patternFill>
      </fill>
      <alignment horizontal="left" vertical="top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25" formatCode="h:mm"/>
      <fill>
        <patternFill patternType="solid">
          <fgColor theme="4" tint="0.79998168889431442"/>
          <bgColor theme="4" tint="0.79998168889431442"/>
        </patternFill>
      </fill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top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top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color theme="1"/>
        <family val="2"/>
      </font>
      <fill>
        <patternFill patternType="solid">
          <fgColor theme="4" tint="0.79998168889431442"/>
          <bgColor theme="4" tint="0.79998168889431442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0" formatCode="@"/>
      <fill>
        <patternFill patternType="solid">
          <fgColor indexed="64"/>
          <bgColor theme="1" tint="0.34998626667073579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ont>
        <color theme="1"/>
        <family val="2"/>
      </font>
      <numFmt numFmtId="1" formatCode="0"/>
      <fill>
        <patternFill patternType="solid">
          <fgColor theme="4" tint="0.79998168889431442"/>
          <bgColor theme="4" tint="0.79998168889431442"/>
        </patternFill>
      </fill>
      <alignment horizontal="left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color theme="1"/>
        <family val="2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color theme="1"/>
        <family val="2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color theme="1"/>
        <family val="2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color theme="1"/>
        <family val="2"/>
      </font>
      <numFmt numFmtId="25" formatCode="h:mm"/>
      <fill>
        <patternFill patternType="solid">
          <fgColor theme="4" tint="0.79998168889431442"/>
          <bgColor theme="4" tint="0.79998168889431442"/>
        </patternFill>
      </fill>
      <alignment horizontal="left" vertical="top" textRotation="0" wrapText="1" indent="0" justifyLastLine="0" shrinkToFit="0" readingOrder="0"/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color theme="1"/>
        <family val="2"/>
      </font>
      <numFmt numFmtId="25" formatCode="h:mm"/>
      <fill>
        <patternFill patternType="solid">
          <fgColor theme="4" tint="0.79998168889431442"/>
          <bgColor theme="4" tint="0.79998168889431442"/>
        </patternFill>
      </fill>
      <alignment horizontal="left" vertical="top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color theme="1"/>
        <family val="2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top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color theme="1"/>
        <family val="2"/>
      </font>
      <numFmt numFmtId="25" formatCode="h:mm"/>
      <fill>
        <patternFill patternType="solid">
          <fgColor theme="4" tint="0.79998168889431442"/>
          <bgColor theme="4" tint="0.79998168889431442"/>
        </patternFill>
      </fill>
      <alignment horizontal="left" vertical="top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color theme="1"/>
        <family val="2"/>
      </font>
      <numFmt numFmtId="25" formatCode="h:mm"/>
      <fill>
        <patternFill patternType="solid">
          <fgColor theme="4" tint="0.79998168889431442"/>
          <bgColor theme="4" tint="0.79998168889431442"/>
        </patternFill>
      </fill>
      <alignment horizontal="left" vertical="top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color theme="1"/>
        <family val="2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top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color theme="1"/>
        <family val="2"/>
      </font>
      <numFmt numFmtId="25" formatCode="h:mm"/>
      <fill>
        <patternFill patternType="solid">
          <fgColor theme="4" tint="0.79998168889431442"/>
          <bgColor theme="4" tint="0.79998168889431442"/>
        </patternFill>
      </fill>
      <alignment horizontal="left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color theme="1"/>
        <family val="2"/>
      </font>
      <numFmt numFmtId="25" formatCode="h:mm"/>
      <fill>
        <patternFill patternType="solid">
          <fgColor theme="4" tint="0.79998168889431442"/>
          <bgColor theme="4" tint="0.79998168889431442"/>
        </patternFill>
      </fill>
      <alignment horizontal="left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color theme="1"/>
        <family val="2"/>
      </font>
      <numFmt numFmtId="25" formatCode="h:mm"/>
      <fill>
        <patternFill patternType="solid">
          <fgColor theme="4" tint="0.79998168889431442"/>
          <bgColor theme="4" tint="0.79998168889431442"/>
        </patternFill>
      </fill>
      <alignment horizontal="left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color theme="1"/>
        <family val="2"/>
      </font>
      <numFmt numFmtId="25" formatCode="h:mm"/>
      <fill>
        <patternFill patternType="solid">
          <fgColor theme="4" tint="0.79998168889431442"/>
          <bgColor theme="4" tint="0.79998168889431442"/>
        </patternFill>
      </fill>
      <alignment horizontal="left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color theme="1"/>
        <family val="2"/>
      </font>
      <numFmt numFmtId="25" formatCode="h:mm"/>
      <fill>
        <patternFill patternType="solid">
          <fgColor theme="4" tint="0.79998168889431442"/>
          <bgColor theme="4" tint="0.79998168889431442"/>
        </patternFill>
      </fill>
      <alignment horizontal="left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color theme="1"/>
        <family val="2"/>
      </font>
      <numFmt numFmtId="25" formatCode="h:mm"/>
      <fill>
        <patternFill patternType="solid">
          <fgColor theme="4" tint="0.79998168889431442"/>
          <bgColor theme="4" tint="0.79998168889431442"/>
        </patternFill>
      </fill>
      <alignment horizontal="left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color theme="1"/>
        <family val="2"/>
      </font>
      <numFmt numFmtId="25" formatCode="h:mm"/>
      <fill>
        <patternFill patternType="solid">
          <fgColor theme="4" tint="0.79998168889431442"/>
          <bgColor theme="4" tint="0.79998168889431442"/>
        </patternFill>
      </fill>
      <alignment horizontal="left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color theme="1"/>
        <family val="2"/>
      </font>
      <numFmt numFmtId="25" formatCode="h:mm"/>
      <fill>
        <patternFill patternType="solid">
          <fgColor theme="4" tint="0.79998168889431442"/>
          <bgColor theme="4" tint="0.79998168889431442"/>
        </patternFill>
      </fill>
      <alignment horizontal="left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color theme="1"/>
        <family val="2"/>
      </font>
      <numFmt numFmtId="25" formatCode="h:mm"/>
      <fill>
        <patternFill patternType="solid">
          <fgColor theme="4" tint="0.79998168889431442"/>
          <bgColor theme="4" tint="0.79998168889431442"/>
        </patternFill>
      </fill>
      <alignment horizontal="left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color theme="1"/>
        <family val="2"/>
      </font>
      <numFmt numFmtId="25" formatCode="h:mm"/>
      <fill>
        <patternFill patternType="solid">
          <fgColor theme="4" tint="0.79998168889431442"/>
          <bgColor theme="4" tint="0.79998168889431442"/>
        </patternFill>
      </fill>
      <alignment horizontal="left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color theme="1"/>
        <family val="2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color theme="1"/>
        <family val="2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color theme="1"/>
        <family val="2"/>
      </font>
      <numFmt numFmtId="25" formatCode="h:mm"/>
      <fill>
        <patternFill patternType="solid">
          <fgColor theme="4" tint="0.79998168889431442"/>
          <bgColor theme="4" tint="0.79998168889431442"/>
        </patternFill>
      </fill>
      <alignment horizontal="left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color theme="1"/>
        <family val="2"/>
      </font>
      <numFmt numFmtId="25" formatCode="h:mm"/>
      <fill>
        <patternFill patternType="solid">
          <fgColor theme="4" tint="0.79998168889431442"/>
          <bgColor theme="4" tint="0.79998168889431442"/>
        </patternFill>
      </fill>
      <alignment horizontal="left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color theme="1"/>
        <family val="2"/>
      </font>
      <numFmt numFmtId="25" formatCode="h:mm"/>
      <fill>
        <patternFill patternType="solid">
          <fgColor theme="4" tint="0.79998168889431442"/>
          <bgColor theme="4" tint="0.79998168889431442"/>
        </patternFill>
      </fill>
      <alignment horizontal="left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color theme="1"/>
        <family val="2"/>
      </font>
      <numFmt numFmtId="25" formatCode="h:mm"/>
      <fill>
        <patternFill patternType="solid">
          <fgColor theme="4" tint="0.79998168889431442"/>
          <bgColor theme="4" tint="0.79998168889431442"/>
        </patternFill>
      </fill>
      <alignment horizontal="left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color theme="1"/>
        <family val="2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color theme="1"/>
        <family val="2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color theme="1"/>
        <family val="2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color theme="1"/>
        <family val="2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color theme="1"/>
        <family val="2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color theme="1"/>
        <family val="2"/>
      </font>
      <numFmt numFmtId="1" formatCode="0"/>
      <fill>
        <patternFill patternType="solid">
          <fgColor theme="4" tint="0.79998168889431442"/>
          <bgColor theme="4" tint="0.7999816888943144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color theme="1"/>
        <family val="2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top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9"/>
        </top>
      </border>
    </dxf>
    <dxf>
      <font>
        <color theme="1"/>
        <family val="2"/>
      </font>
      <fill>
        <patternFill patternType="solid">
          <fgColor theme="4" tint="0.79998168889431442"/>
          <bgColor theme="4" tint="0.79998168889431442"/>
        </patternFill>
      </fill>
      <alignment horizontal="left" vertical="top" textRotation="0" wrapText="0" indent="0" justifyLastLine="0" shrinkToFit="0" readingOrder="0"/>
    </dxf>
    <dxf>
      <border outline="0">
        <bottom style="medium">
          <color theme="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0" formatCode="@"/>
      <fill>
        <patternFill patternType="solid">
          <fgColor indexed="64"/>
          <bgColor rgb="FF8C73AD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theme="9"/>
        </left>
        <right style="thin">
          <color theme="9"/>
        </right>
        <top/>
        <bottom/>
      </border>
    </dxf>
  </dxfs>
  <tableStyles count="1" defaultTableStyle="TableStyleMedium2" defaultPivotStyle="PivotStyleLight16">
    <tableStyle name="Table Style 1" pivot="0" count="0" xr9:uid="{DDF17614-E7D9-4E06-B601-41F5B4E978F4}"/>
  </tableStyles>
  <colors>
    <mruColors>
      <color rgb="FF31FDF8"/>
      <color rgb="FF02CAC5"/>
      <color rgb="FF5A5A5A"/>
      <color rgb="FF2D8339"/>
      <color rgb="FF6DCD7B"/>
      <color rgb="FF4AC25B"/>
      <color rgb="FF10FCF6"/>
      <color rgb="FF03D2CD"/>
      <color rgb="FF02B2AE"/>
      <color rgb="FF8C73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.xml"/><Relationship Id="rId42" Type="http://schemas.openxmlformats.org/officeDocument/2006/relationships/styles" Target="styles.xml"/><Relationship Id="rId47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externalLink" Target="externalLinks/externalLink5.xml"/><Relationship Id="rId46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4.xml"/><Relationship Id="rId40" Type="http://schemas.openxmlformats.org/officeDocument/2006/relationships/externalLink" Target="externalLinks/externalLink7.xml"/><Relationship Id="rId45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2.xml"/><Relationship Id="rId43" Type="http://schemas.openxmlformats.org/officeDocument/2006/relationships/sharedStrings" Target="sharedStrings.xml"/><Relationship Id="rId48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fmlaLink="A200" noThreeD="1"/>
</file>

<file path=xl/ctrlProps/ctrlProp2.xml><?xml version="1.0" encoding="utf-8"?>
<formControlPr xmlns="http://schemas.microsoft.com/office/spreadsheetml/2009/9/main" objectType="CheckBox" fmlaLink="A201" noThreeD="1"/>
</file>

<file path=xl/ctrlProps/ctrlProp3.xml><?xml version="1.0" encoding="utf-8"?>
<formControlPr xmlns="http://schemas.microsoft.com/office/spreadsheetml/2009/9/main" objectType="CheckBox" fmlaLink="A202" noThreeD="1"/>
</file>

<file path=xl/ctrlProps/ctrlProp4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1</xdr:row>
      <xdr:rowOff>89648</xdr:rowOff>
    </xdr:from>
    <xdr:to>
      <xdr:col>3</xdr:col>
      <xdr:colOff>977153</xdr:colOff>
      <xdr:row>2</xdr:row>
      <xdr:rowOff>9526</xdr:rowOff>
    </xdr:to>
    <xdr:sp macro="[0]!OpenUrl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234203" y="206189"/>
          <a:ext cx="984997" cy="421902"/>
        </a:xfrm>
        <a:prstGeom prst="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tx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fi-FI" sz="1600">
              <a:ln w="3175" cap="sq" cmpd="sng">
                <a:solidFill>
                  <a:schemeClr val="tx1">
                    <a:alpha val="6000"/>
                  </a:schemeClr>
                </a:solidFill>
                <a:miter lim="800000"/>
              </a:ln>
              <a:solidFill>
                <a:schemeClr val="lt1"/>
              </a:solidFill>
            </a:rPr>
            <a:t>Apua</a:t>
          </a:r>
        </a:p>
      </xdr:txBody>
    </xdr:sp>
    <xdr:clientData/>
  </xdr:twoCellAnchor>
  <xdr:oneCellAnchor>
    <xdr:from>
      <xdr:col>4</xdr:col>
      <xdr:colOff>9525</xdr:colOff>
      <xdr:row>1</xdr:row>
      <xdr:rowOff>95251</xdr:rowOff>
    </xdr:from>
    <xdr:ext cx="2249790" cy="409574"/>
    <xdr:sp macro="[0]!Lasnaconvert" textlink="">
      <xdr:nvSpPr>
        <xdr:cNvPr id="41" name="Rectangle 40" descr="bluu">
          <a:extLs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SpPr/>
      </xdr:nvSpPr>
      <xdr:spPr>
        <a:xfrm>
          <a:off x="1485900" y="695326"/>
          <a:ext cx="2249790" cy="409574"/>
        </a:xfrm>
        <a:prstGeom prst="rect">
          <a:avLst/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tx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fi-FI" sz="1600">
              <a:ln w="3175" cap="sq" cmpd="sng">
                <a:solidFill>
                  <a:schemeClr val="tx1">
                    <a:alpha val="6000"/>
                  </a:schemeClr>
                </a:solidFill>
                <a:miter lim="800000"/>
              </a:ln>
              <a:solidFill>
                <a:schemeClr val="lt1"/>
              </a:solidFill>
            </a:rPr>
            <a:t>Lisää</a:t>
          </a:r>
          <a:r>
            <a:rPr lang="fi-FI" sz="1600" baseline="0">
              <a:ln w="3175" cap="sq" cmpd="sng">
                <a:solidFill>
                  <a:schemeClr val="tx1">
                    <a:alpha val="6000"/>
                  </a:schemeClr>
                </a:solidFill>
                <a:miter lim="800000"/>
              </a:ln>
              <a:solidFill>
                <a:schemeClr val="lt1"/>
              </a:solidFill>
            </a:rPr>
            <a:t> hoitoajat</a:t>
          </a:r>
          <a:endParaRPr lang="fi-FI" sz="1600">
            <a:ln w="3175" cap="sq" cmpd="sng">
              <a:solidFill>
                <a:schemeClr val="tx1">
                  <a:alpha val="6000"/>
                </a:schemeClr>
              </a:solidFill>
              <a:miter lim="800000"/>
            </a:ln>
            <a:solidFill>
              <a:schemeClr val="lt1"/>
            </a:solidFill>
          </a:endParaRPr>
        </a:p>
      </xdr:txBody>
    </xdr:sp>
    <xdr:clientData/>
  </xdr:oneCellAnchor>
  <xdr:twoCellAnchor>
    <xdr:from>
      <xdr:col>6</xdr:col>
      <xdr:colOff>681619</xdr:colOff>
      <xdr:row>1</xdr:row>
      <xdr:rowOff>95250</xdr:rowOff>
    </xdr:from>
    <xdr:to>
      <xdr:col>7</xdr:col>
      <xdr:colOff>534866</xdr:colOff>
      <xdr:row>1</xdr:row>
      <xdr:rowOff>495300</xdr:rowOff>
    </xdr:to>
    <xdr:sp macro="[0]!Pääohjelma" textlink="">
      <xdr:nvSpPr>
        <xdr:cNvPr id="44" name="Rectangle 43">
          <a:extLst>
            <a:ext uri="{FF2B5EF4-FFF2-40B4-BE49-F238E27FC236}">
              <a16:creationId xmlns:a16="http://schemas.microsoft.com/office/drawing/2014/main" id="{00000000-0008-0000-0400-00002C000000}"/>
            </a:ext>
          </a:extLst>
        </xdr:cNvPr>
        <xdr:cNvSpPr/>
      </xdr:nvSpPr>
      <xdr:spPr>
        <a:xfrm>
          <a:off x="3253369" y="696058"/>
          <a:ext cx="1333285" cy="400050"/>
        </a:xfrm>
        <a:prstGeom prst="rect">
          <a:avLst/>
        </a:prstGeom>
        <a:gradFill flip="none" rotWithShape="1">
          <a:gsLst>
            <a:gs pos="0">
              <a:schemeClr val="accent1">
                <a:lumMod val="89000"/>
              </a:schemeClr>
            </a:gs>
            <a:gs pos="23000">
              <a:schemeClr val="accent1">
                <a:lumMod val="89000"/>
              </a:schemeClr>
            </a:gs>
            <a:gs pos="69000">
              <a:schemeClr val="accent1">
                <a:lumMod val="75000"/>
              </a:schemeClr>
            </a:gs>
            <a:gs pos="97000">
              <a:schemeClr val="accent1">
                <a:lumMod val="70000"/>
              </a:schemeClr>
            </a:gs>
          </a:gsLst>
          <a:path path="circle">
            <a:fillToRect l="50000" t="50000" r="50000" b="50000"/>
          </a:path>
          <a:tileRect/>
        </a:gradFill>
        <a:ln>
          <a:solidFill>
            <a:schemeClr val="tx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fi-FI" sz="1600">
              <a:ln w="3175" cap="sq" cmpd="sng">
                <a:solidFill>
                  <a:schemeClr val="tx1">
                    <a:alpha val="6000"/>
                  </a:schemeClr>
                </a:solidFill>
                <a:miter lim="800000"/>
              </a:ln>
              <a:solidFill>
                <a:schemeClr val="lt1"/>
              </a:solidFill>
            </a:rPr>
            <a:t>Luo listat</a:t>
          </a:r>
        </a:p>
      </xdr:txBody>
    </xdr:sp>
    <xdr:clientData/>
  </xdr:twoCellAnchor>
  <xdr:twoCellAnchor>
    <xdr:from>
      <xdr:col>7</xdr:col>
      <xdr:colOff>639856</xdr:colOff>
      <xdr:row>1</xdr:row>
      <xdr:rowOff>95250</xdr:rowOff>
    </xdr:from>
    <xdr:to>
      <xdr:col>8</xdr:col>
      <xdr:colOff>609599</xdr:colOff>
      <xdr:row>1</xdr:row>
      <xdr:rowOff>495300</xdr:rowOff>
    </xdr:to>
    <xdr:sp macro="[0]!Tulosta" textlink="">
      <xdr:nvSpPr>
        <xdr:cNvPr id="45" name="Rectangle 44">
          <a:extLst>
            <a:ext uri="{FF2B5EF4-FFF2-40B4-BE49-F238E27FC236}">
              <a16:creationId xmlns:a16="http://schemas.microsoft.com/office/drawing/2014/main" id="{00000000-0008-0000-0400-00002D000000}"/>
            </a:ext>
          </a:extLst>
        </xdr:cNvPr>
        <xdr:cNvSpPr/>
      </xdr:nvSpPr>
      <xdr:spPr>
        <a:xfrm>
          <a:off x="4691644" y="696058"/>
          <a:ext cx="1545032" cy="400050"/>
        </a:xfrm>
        <a:prstGeom prst="rect">
          <a:avLst/>
        </a:prstGeom>
        <a:gradFill flip="none" rotWithShape="1">
          <a:gsLst>
            <a:gs pos="2000">
              <a:schemeClr val="bg2">
                <a:lumMod val="25000"/>
              </a:schemeClr>
            </a:gs>
            <a:gs pos="96000">
              <a:schemeClr val="bg2">
                <a:lumMod val="50000"/>
              </a:schemeClr>
            </a:gs>
          </a:gsLst>
          <a:lin ang="5400000" scaled="1"/>
          <a:tileRect/>
        </a:gradFill>
        <a:ln>
          <a:solidFill>
            <a:schemeClr val="tx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fi-FI" sz="1600">
              <a:ln w="3175" cap="sq" cmpd="sng">
                <a:solidFill>
                  <a:schemeClr val="tx1">
                    <a:alpha val="6000"/>
                  </a:schemeClr>
                </a:solidFill>
                <a:miter lim="800000"/>
              </a:ln>
              <a:solidFill>
                <a:schemeClr val="lt1"/>
              </a:solidFill>
            </a:rPr>
            <a:t>Tulosta</a:t>
          </a:r>
        </a:p>
      </xdr:txBody>
    </xdr:sp>
    <xdr:clientData/>
  </xdr:twoCellAnchor>
  <xdr:twoCellAnchor>
    <xdr:from>
      <xdr:col>12</xdr:col>
      <xdr:colOff>483576</xdr:colOff>
      <xdr:row>102</xdr:row>
      <xdr:rowOff>43228</xdr:rowOff>
    </xdr:from>
    <xdr:to>
      <xdr:col>13</xdr:col>
      <xdr:colOff>874102</xdr:colOff>
      <xdr:row>105</xdr:row>
      <xdr:rowOff>99646</xdr:rowOff>
    </xdr:to>
    <xdr:sp macro="[0]!Poista_kaikki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>
        <a:xfrm>
          <a:off x="12704884" y="22822632"/>
          <a:ext cx="1694718" cy="627918"/>
        </a:xfrm>
        <a:prstGeom prst="rect">
          <a:avLst/>
        </a:prstGeom>
        <a:gradFill flip="none" rotWithShape="1">
          <a:gsLst>
            <a:gs pos="2000">
              <a:schemeClr val="accent2">
                <a:lumMod val="75000"/>
              </a:schemeClr>
            </a:gs>
            <a:gs pos="96000">
              <a:schemeClr val="bg2">
                <a:lumMod val="10000"/>
              </a:schemeClr>
            </a:gs>
          </a:gsLst>
          <a:lin ang="5400000" scaled="1"/>
          <a:tileRect/>
        </a:gradFill>
        <a:ln>
          <a:solidFill>
            <a:schemeClr val="bg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fi-FI" sz="1600">
              <a:ln w="3175" cap="sq" cmpd="sng">
                <a:solidFill>
                  <a:schemeClr val="tx1">
                    <a:alpha val="6000"/>
                  </a:schemeClr>
                </a:solidFill>
                <a:miter lim="800000"/>
              </a:ln>
              <a:solidFill>
                <a:schemeClr val="lt1"/>
              </a:solidFill>
            </a:rPr>
            <a:t>Poista</a:t>
          </a:r>
          <a:r>
            <a:rPr lang="fi-FI" sz="1600" baseline="0">
              <a:ln w="3175" cap="sq" cmpd="sng">
                <a:solidFill>
                  <a:schemeClr val="tx1">
                    <a:alpha val="6000"/>
                  </a:schemeClr>
                </a:solidFill>
                <a:miter lim="800000"/>
              </a:ln>
              <a:solidFill>
                <a:schemeClr val="lt1"/>
              </a:solidFill>
            </a:rPr>
            <a:t> kaikki data</a:t>
          </a:r>
        </a:p>
      </xdr:txBody>
    </xdr:sp>
    <xdr:clientData/>
  </xdr:twoCellAnchor>
  <xdr:twoCellAnchor>
    <xdr:from>
      <xdr:col>28</xdr:col>
      <xdr:colOff>510540</xdr:colOff>
      <xdr:row>8</xdr:row>
      <xdr:rowOff>30480</xdr:rowOff>
    </xdr:from>
    <xdr:to>
      <xdr:col>30</xdr:col>
      <xdr:colOff>571500</xdr:colOff>
      <xdr:row>12</xdr:row>
      <xdr:rowOff>68580</xdr:rowOff>
    </xdr:to>
    <xdr:sp macro="[0]!Suodatus" textlink="">
      <xdr:nvSpPr>
        <xdr:cNvPr id="2" name="Suorakulmio: Pyöristetyt kulma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20787360" y="1836420"/>
          <a:ext cx="1310640" cy="76962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i-FI" sz="1100"/>
            <a:t>Kehitystyökalu</a:t>
          </a:r>
        </a:p>
      </xdr:txBody>
    </xdr:sp>
    <xdr:clientData/>
  </xdr:twoCellAnchor>
  <xdr:twoCellAnchor>
    <xdr:from>
      <xdr:col>3</xdr:col>
      <xdr:colOff>367392</xdr:colOff>
      <xdr:row>8</xdr:row>
      <xdr:rowOff>155122</xdr:rowOff>
    </xdr:from>
    <xdr:to>
      <xdr:col>4</xdr:col>
      <xdr:colOff>1102177</xdr:colOff>
      <xdr:row>12</xdr:row>
      <xdr:rowOff>21772</xdr:rowOff>
    </xdr:to>
    <xdr:sp macro="[0]!Päivälappupohja_kopsuri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612321" y="3094265"/>
          <a:ext cx="1973035" cy="628650"/>
        </a:xfrm>
        <a:prstGeom prst="rect">
          <a:avLst/>
        </a:prstGeom>
        <a:gradFill flip="none" rotWithShape="1">
          <a:gsLst>
            <a:gs pos="30000">
              <a:schemeClr val="accent3">
                <a:lumMod val="75000"/>
              </a:schemeClr>
            </a:gs>
            <a:gs pos="0">
              <a:schemeClr val="accent3">
                <a:lumMod val="60000"/>
                <a:lumOff val="40000"/>
              </a:schemeClr>
            </a:gs>
            <a:gs pos="21000">
              <a:schemeClr val="accent3">
                <a:lumMod val="75000"/>
              </a:schemeClr>
            </a:gs>
            <a:gs pos="64000">
              <a:schemeClr val="accent3">
                <a:lumMod val="50000"/>
              </a:schemeClr>
            </a:gs>
            <a:gs pos="97000">
              <a:schemeClr val="accent3">
                <a:lumMod val="50000"/>
              </a:schemeClr>
            </a:gs>
          </a:gsLst>
          <a:path path="circle">
            <a:fillToRect l="50000" t="50000" r="50000" b="50000"/>
          </a:path>
          <a:tileRect/>
        </a:gradFill>
        <a:ln>
          <a:solidFill>
            <a:schemeClr val="tx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fi-FI" sz="1600">
              <a:ln w="3175" cap="sq" cmpd="sng">
                <a:solidFill>
                  <a:schemeClr val="tx1">
                    <a:alpha val="6000"/>
                  </a:schemeClr>
                </a:solidFill>
                <a:miter lim="800000"/>
              </a:ln>
              <a:solidFill>
                <a:schemeClr val="lt1"/>
              </a:solidFill>
            </a:rPr>
            <a:t>Luo</a:t>
          </a:r>
          <a:r>
            <a:rPr lang="fi-FI" sz="1600" baseline="0">
              <a:ln w="3175" cap="sq" cmpd="sng">
                <a:solidFill>
                  <a:schemeClr val="tx1">
                    <a:alpha val="6000"/>
                  </a:schemeClr>
                </a:solidFill>
                <a:miter lim="800000"/>
              </a:ln>
              <a:solidFill>
                <a:schemeClr val="lt1"/>
              </a:solidFill>
            </a:rPr>
            <a:t> uusi</a:t>
          </a:r>
          <a:br>
            <a:rPr lang="fi-FI" sz="1600" baseline="0">
              <a:ln w="3175" cap="sq" cmpd="sng">
                <a:solidFill>
                  <a:schemeClr val="tx1">
                    <a:alpha val="6000"/>
                  </a:schemeClr>
                </a:solidFill>
                <a:miter lim="800000"/>
              </a:ln>
              <a:solidFill>
                <a:schemeClr val="lt1"/>
              </a:solidFill>
            </a:rPr>
          </a:br>
          <a:r>
            <a:rPr lang="fi-FI" sz="1600" baseline="0">
              <a:ln w="3175" cap="sq" cmpd="sng">
                <a:solidFill>
                  <a:schemeClr val="tx1">
                    <a:alpha val="6000"/>
                  </a:schemeClr>
                </a:solidFill>
                <a:miter lim="800000"/>
              </a:ln>
              <a:solidFill>
                <a:schemeClr val="lt1"/>
              </a:solidFill>
            </a:rPr>
            <a:t>päivälapun pohja</a:t>
          </a:r>
          <a:endParaRPr lang="fi-FI" sz="1600">
            <a:ln w="3175" cap="sq" cmpd="sng">
              <a:solidFill>
                <a:schemeClr val="tx1">
                  <a:alpha val="6000"/>
                </a:schemeClr>
              </a:solidFill>
              <a:miter lim="800000"/>
            </a:ln>
            <a:solidFill>
              <a:schemeClr val="lt1"/>
            </a:solidFill>
          </a:endParaRPr>
        </a:p>
      </xdr:txBody>
    </xdr:sp>
    <xdr:clientData/>
  </xdr:twoCellAnchor>
  <xdr:twoCellAnchor>
    <xdr:from>
      <xdr:col>8</xdr:col>
      <xdr:colOff>811287</xdr:colOff>
      <xdr:row>20</xdr:row>
      <xdr:rowOff>170796</xdr:rowOff>
    </xdr:from>
    <xdr:to>
      <xdr:col>9</xdr:col>
      <xdr:colOff>247114</xdr:colOff>
      <xdr:row>23</xdr:row>
      <xdr:rowOff>54247</xdr:rowOff>
    </xdr:to>
    <xdr:sp macro="[0]!Ruokatilausten_lähettäminen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8009466" y="5545617"/>
          <a:ext cx="1231969" cy="414130"/>
        </a:xfrm>
        <a:prstGeom prst="rect">
          <a:avLst/>
        </a:prstGeom>
        <a:gradFill flip="none" rotWithShape="1">
          <a:gsLst>
            <a:gs pos="0">
              <a:srgbClr val="FFFF1D"/>
            </a:gs>
            <a:gs pos="23000">
              <a:srgbClr val="FFFF00"/>
            </a:gs>
            <a:gs pos="69000">
              <a:srgbClr val="E3DE00"/>
            </a:gs>
            <a:gs pos="97000">
              <a:srgbClr val="BCB800"/>
            </a:gs>
          </a:gsLst>
          <a:path path="circle">
            <a:fillToRect l="50000" t="50000" r="50000" b="50000"/>
          </a:path>
          <a:tileRect/>
        </a:gradFill>
        <a:ln>
          <a:solidFill>
            <a:schemeClr val="tx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fi-FI" sz="1600">
              <a:ln w="3175" cap="sq" cmpd="sng">
                <a:solidFill>
                  <a:schemeClr val="tx1">
                    <a:alpha val="6000"/>
                  </a:schemeClr>
                </a:solidFill>
                <a:miter lim="800000"/>
              </a:ln>
              <a:solidFill>
                <a:schemeClr val="tx1"/>
              </a:solidFill>
            </a:rPr>
            <a:t>Lähetä</a:t>
          </a:r>
          <a:endParaRPr lang="fi-FI" sz="1600" baseline="0">
            <a:ln w="3175" cap="sq" cmpd="sng">
              <a:solidFill>
                <a:schemeClr val="tx1">
                  <a:alpha val="6000"/>
                </a:schemeClr>
              </a:solidFill>
              <a:miter lim="800000"/>
            </a:ln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8272</xdr:colOff>
      <xdr:row>2</xdr:row>
      <xdr:rowOff>79739</xdr:rowOff>
    </xdr:from>
    <xdr:to>
      <xdr:col>6</xdr:col>
      <xdr:colOff>586154</xdr:colOff>
      <xdr:row>3</xdr:row>
      <xdr:rowOff>348336</xdr:rowOff>
    </xdr:to>
    <xdr:sp macro="[0]!Syntymaconvert" textlink="">
      <xdr:nvSpPr>
        <xdr:cNvPr id="4" name="Rectangle 40" descr="bluu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1327118" y="1186104"/>
          <a:ext cx="1830786" cy="415136"/>
        </a:xfrm>
        <a:prstGeom prst="rect">
          <a:avLst/>
        </a:prstGeom>
        <a:gradFill flip="none" rotWithShape="1">
          <a:gsLst>
            <a:gs pos="0">
              <a:schemeClr val="accent3">
                <a:lumMod val="75000"/>
              </a:schemeClr>
            </a:gs>
            <a:gs pos="48000">
              <a:srgbClr val="00B050"/>
            </a:gs>
            <a:gs pos="100000">
              <a:schemeClr val="accent3">
                <a:lumMod val="50000"/>
              </a:schemeClr>
            </a:gs>
          </a:gsLst>
          <a:lin ang="16200000" scaled="1"/>
          <a:tileRect/>
        </a:gradFill>
        <a:ln>
          <a:solidFill>
            <a:schemeClr val="tx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fi-FI" sz="1600">
              <a:ln w="3175" cap="sq" cmpd="sng">
                <a:solidFill>
                  <a:schemeClr val="tx1">
                    <a:alpha val="6000"/>
                  </a:schemeClr>
                </a:solidFill>
                <a:miter lim="800000"/>
              </a:ln>
              <a:solidFill>
                <a:schemeClr val="lt1"/>
              </a:solidFill>
            </a:rPr>
            <a:t>Lisää syntymäajat</a:t>
          </a:r>
        </a:p>
      </xdr:txBody>
    </xdr:sp>
    <xdr:clientData/>
  </xdr:twoCellAnchor>
  <xdr:twoCellAnchor>
    <xdr:from>
      <xdr:col>7</xdr:col>
      <xdr:colOff>1576029</xdr:colOff>
      <xdr:row>25</xdr:row>
      <xdr:rowOff>117822</xdr:rowOff>
    </xdr:from>
    <xdr:to>
      <xdr:col>8</xdr:col>
      <xdr:colOff>1746357</xdr:colOff>
      <xdr:row>28</xdr:row>
      <xdr:rowOff>298236</xdr:rowOff>
    </xdr:to>
    <xdr:sp macro="[0]!merikarhu_export_nappula" textlink="">
      <xdr:nvSpPr>
        <xdr:cNvPr id="11" name="Rectangle 40" descr="bluu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>
          <a:off x="6216065" y="6989429"/>
          <a:ext cx="1748756" cy="751914"/>
        </a:xfrm>
        <a:prstGeom prst="rect">
          <a:avLst/>
        </a:prstGeom>
        <a:gradFill flip="none" rotWithShape="1">
          <a:gsLst>
            <a:gs pos="25000">
              <a:schemeClr val="accent1">
                <a:lumMod val="75000"/>
              </a:schemeClr>
            </a:gs>
            <a:gs pos="67000">
              <a:srgbClr val="00B0F0"/>
            </a:gs>
            <a:gs pos="100000">
              <a:schemeClr val="tx2">
                <a:lumMod val="40000"/>
                <a:lumOff val="60000"/>
              </a:schemeClr>
            </a:gs>
          </a:gsLst>
          <a:lin ang="16200000" scaled="1"/>
          <a:tileRect/>
        </a:gradFill>
        <a:ln>
          <a:solidFill>
            <a:schemeClr val="tx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fi-FI" sz="1600">
              <a:ln w="3175" cap="sq" cmpd="sng">
                <a:solidFill>
                  <a:schemeClr val="tx1">
                    <a:alpha val="6000"/>
                  </a:schemeClr>
                </a:solidFill>
                <a:miter lim="800000"/>
              </a:ln>
              <a:solidFill>
                <a:schemeClr val="lt1"/>
              </a:solidFill>
            </a:rPr>
            <a:t>Vie tiedot</a:t>
          </a:r>
          <a:r>
            <a:rPr lang="fi-FI" sz="1600" baseline="0">
              <a:ln w="3175" cap="sq" cmpd="sng">
                <a:solidFill>
                  <a:schemeClr val="tx1">
                    <a:alpha val="6000"/>
                  </a:schemeClr>
                </a:solidFill>
                <a:miter lim="800000"/>
              </a:ln>
              <a:solidFill>
                <a:schemeClr val="lt1"/>
              </a:solidFill>
            </a:rPr>
            <a:t> Merikarhulle</a:t>
          </a:r>
        </a:p>
      </xdr:txBody>
    </xdr:sp>
    <xdr:clientData/>
  </xdr:twoCellAnchor>
  <xdr:twoCellAnchor>
    <xdr:from>
      <xdr:col>3</xdr:col>
      <xdr:colOff>0</xdr:colOff>
      <xdr:row>15</xdr:row>
      <xdr:rowOff>107577</xdr:rowOff>
    </xdr:from>
    <xdr:to>
      <xdr:col>5</xdr:col>
      <xdr:colOff>0</xdr:colOff>
      <xdr:row>20</xdr:row>
      <xdr:rowOff>152400</xdr:rowOff>
    </xdr:to>
    <xdr:sp macro="[0]!DataSynkka.export" textlink="">
      <xdr:nvSpPr>
        <xdr:cNvPr id="6" name="Rectangle 40" descr="bluu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234462" y="4708885"/>
          <a:ext cx="2183423" cy="997323"/>
        </a:xfrm>
        <a:prstGeom prst="rect">
          <a:avLst/>
        </a:prstGeom>
        <a:gradFill flip="none" rotWithShape="1">
          <a:gsLst>
            <a:gs pos="0">
              <a:schemeClr val="accent6">
                <a:lumMod val="75000"/>
              </a:schemeClr>
            </a:gs>
            <a:gs pos="48000">
              <a:srgbClr val="FF0000"/>
            </a:gs>
            <a:gs pos="92000">
              <a:schemeClr val="bg2">
                <a:lumMod val="25000"/>
              </a:schemeClr>
            </a:gs>
          </a:gsLst>
          <a:lin ang="0" scaled="1"/>
          <a:tileRect/>
        </a:gradFill>
        <a:ln>
          <a:solidFill>
            <a:schemeClr val="tx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fi-FI" sz="1600">
              <a:ln w="3175" cap="sq" cmpd="sng">
                <a:solidFill>
                  <a:schemeClr val="tx1">
                    <a:alpha val="6000"/>
                  </a:schemeClr>
                </a:solidFill>
                <a:miter lim="800000"/>
              </a:ln>
              <a:solidFill>
                <a:schemeClr val="lt1"/>
              </a:solidFill>
            </a:rPr>
            <a:t>Varmuuskopioi</a:t>
          </a:r>
          <a:r>
            <a:rPr lang="fi-FI" sz="1600" baseline="0">
              <a:ln w="3175" cap="sq" cmpd="sng">
                <a:solidFill>
                  <a:schemeClr val="tx1">
                    <a:alpha val="6000"/>
                  </a:schemeClr>
                </a:solidFill>
                <a:miter lim="800000"/>
              </a:ln>
              <a:solidFill>
                <a:schemeClr val="lt1"/>
              </a:solidFill>
            </a:rPr>
            <a:t> tiedot data-tiedostoon</a:t>
          </a:r>
          <a:endParaRPr lang="fi-FI" sz="1600">
            <a:ln w="3175" cap="sq" cmpd="sng">
              <a:solidFill>
                <a:schemeClr val="tx1">
                  <a:alpha val="6000"/>
                </a:schemeClr>
              </a:solidFill>
              <a:miter lim="800000"/>
            </a:ln>
            <a:solidFill>
              <a:schemeClr val="lt1"/>
            </a:solidFill>
          </a:endParaRPr>
        </a:p>
      </xdr:txBody>
    </xdr:sp>
    <xdr:clientData/>
  </xdr:twoCellAnchor>
  <xdr:twoCellAnchor>
    <xdr:from>
      <xdr:col>6</xdr:col>
      <xdr:colOff>14654</xdr:colOff>
      <xdr:row>15</xdr:row>
      <xdr:rowOff>109214</xdr:rowOff>
    </xdr:from>
    <xdr:to>
      <xdr:col>7</xdr:col>
      <xdr:colOff>952500</xdr:colOff>
      <xdr:row>20</xdr:row>
      <xdr:rowOff>145073</xdr:rowOff>
    </xdr:to>
    <xdr:sp macro="[0]!import" textlink="">
      <xdr:nvSpPr>
        <xdr:cNvPr id="12" name="Rectangle 40" descr="Heippadei joo tällainen tämä on.&#10;">
          <a:extLst>
            <a:ext uri="{FF2B5EF4-FFF2-40B4-BE49-F238E27FC236}">
              <a16:creationId xmlns:a16="http://schemas.microsoft.com/office/drawing/2014/main" id="{00000000-0008-0000-0400-00000C000000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SpPr/>
      </xdr:nvSpPr>
      <xdr:spPr>
        <a:xfrm>
          <a:off x="2586404" y="4710522"/>
          <a:ext cx="2417884" cy="988359"/>
        </a:xfrm>
        <a:prstGeom prst="rect">
          <a:avLst/>
        </a:prstGeom>
        <a:gradFill flip="none" rotWithShape="1">
          <a:gsLst>
            <a:gs pos="58000">
              <a:srgbClr val="FF0000"/>
            </a:gs>
            <a:gs pos="11000">
              <a:schemeClr val="bg2">
                <a:lumMod val="25000"/>
              </a:schemeClr>
            </a:gs>
            <a:gs pos="100000">
              <a:schemeClr val="accent6">
                <a:lumMod val="75000"/>
              </a:schemeClr>
            </a:gs>
          </a:gsLst>
          <a:lin ang="0" scaled="1"/>
          <a:tileRect/>
        </a:gradFill>
        <a:ln>
          <a:solidFill>
            <a:schemeClr val="tx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fi-FI" sz="1600">
              <a:ln w="3175" cap="sq" cmpd="sng">
                <a:solidFill>
                  <a:schemeClr val="tx1">
                    <a:alpha val="6000"/>
                  </a:schemeClr>
                </a:solidFill>
                <a:miter lim="800000"/>
              </a:ln>
              <a:solidFill>
                <a:schemeClr val="lt1"/>
              </a:solidFill>
            </a:rPr>
            <a:t>Korvaa ohjelman</a:t>
          </a:r>
          <a:r>
            <a:rPr lang="fi-FI" sz="1600" baseline="0">
              <a:ln w="3175" cap="sq" cmpd="sng">
                <a:solidFill>
                  <a:schemeClr val="tx1">
                    <a:alpha val="6000"/>
                  </a:schemeClr>
                </a:solidFill>
                <a:miter lim="800000"/>
              </a:ln>
              <a:solidFill>
                <a:schemeClr val="lt1"/>
              </a:solidFill>
            </a:rPr>
            <a:t> tiedot varmuuskopiosta löytyvillä tiedoilla</a:t>
          </a:r>
        </a:p>
        <a:p>
          <a:pPr algn="ctr"/>
          <a:endParaRPr lang="fi-FI" sz="1600">
            <a:ln w="3175" cap="sq" cmpd="sng">
              <a:solidFill>
                <a:schemeClr val="tx1">
                  <a:alpha val="6000"/>
                </a:schemeClr>
              </a:solidFill>
              <a:miter lim="800000"/>
            </a:ln>
            <a:solidFill>
              <a:schemeClr val="lt1"/>
            </a:solidFill>
          </a:endParaRPr>
        </a:p>
      </xdr:txBody>
    </xdr:sp>
    <xdr:clientData/>
  </xdr:twoCellAnchor>
  <xdr:twoCellAnchor>
    <xdr:from>
      <xdr:col>7</xdr:col>
      <xdr:colOff>1539447</xdr:colOff>
      <xdr:row>29</xdr:row>
      <xdr:rowOff>85566</xdr:rowOff>
    </xdr:from>
    <xdr:to>
      <xdr:col>8</xdr:col>
      <xdr:colOff>1737232</xdr:colOff>
      <xdr:row>33</xdr:row>
      <xdr:rowOff>164567</xdr:rowOff>
    </xdr:to>
    <xdr:sp macro="[0]!merikarhu_import_nappula" textlink="">
      <xdr:nvSpPr>
        <xdr:cNvPr id="14" name="Rectangle 40" descr="bluu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/>
      </xdr:nvSpPr>
      <xdr:spPr>
        <a:xfrm>
          <a:off x="6179483" y="7909673"/>
          <a:ext cx="1776213" cy="841001"/>
        </a:xfrm>
        <a:prstGeom prst="rect">
          <a:avLst/>
        </a:prstGeom>
        <a:gradFill flip="none" rotWithShape="1">
          <a:gsLst>
            <a:gs pos="70000">
              <a:schemeClr val="accent1">
                <a:lumMod val="75000"/>
              </a:schemeClr>
            </a:gs>
            <a:gs pos="39000">
              <a:srgbClr val="00B0F0"/>
            </a:gs>
            <a:gs pos="0">
              <a:schemeClr val="tx2">
                <a:lumMod val="40000"/>
                <a:lumOff val="60000"/>
              </a:schemeClr>
            </a:gs>
          </a:gsLst>
          <a:lin ang="16200000" scaled="1"/>
          <a:tileRect/>
        </a:gradFill>
        <a:ln>
          <a:solidFill>
            <a:schemeClr val="tx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fi-FI" sz="1600">
              <a:ln w="3175" cap="sq" cmpd="sng">
                <a:solidFill>
                  <a:schemeClr val="tx1">
                    <a:alpha val="6000"/>
                  </a:schemeClr>
                </a:solidFill>
                <a:miter lim="800000"/>
              </a:ln>
              <a:solidFill>
                <a:schemeClr val="lt1"/>
              </a:solidFill>
            </a:rPr>
            <a:t>Hae työntekijöiden tiedot Merikarhulta</a:t>
          </a:r>
        </a:p>
      </xdr:txBody>
    </xdr:sp>
    <xdr:clientData/>
  </xdr:twoCellAnchor>
  <xdr:twoCellAnchor>
    <xdr:from>
      <xdr:col>1</xdr:col>
      <xdr:colOff>83620</xdr:colOff>
      <xdr:row>5</xdr:row>
      <xdr:rowOff>288494</xdr:rowOff>
    </xdr:from>
    <xdr:to>
      <xdr:col>4</xdr:col>
      <xdr:colOff>1026885</xdr:colOff>
      <xdr:row>5</xdr:row>
      <xdr:rowOff>665012</xdr:rowOff>
    </xdr:to>
    <xdr:sp macro="" textlink="">
      <xdr:nvSpPr>
        <xdr:cNvPr id="15" name="Tekstiruutu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 txBox="1"/>
      </xdr:nvSpPr>
      <xdr:spPr>
        <a:xfrm>
          <a:off x="188723" y="2154080"/>
          <a:ext cx="2519817" cy="37651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i-FI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Päivälaput</a:t>
          </a:r>
        </a:p>
      </xdr:txBody>
    </xdr:sp>
    <xdr:clientData/>
  </xdr:twoCellAnchor>
  <xdr:twoCellAnchor>
    <xdr:from>
      <xdr:col>4</xdr:col>
      <xdr:colOff>177485</xdr:colOff>
      <xdr:row>14</xdr:row>
      <xdr:rowOff>118180</xdr:rowOff>
    </xdr:from>
    <xdr:to>
      <xdr:col>6</xdr:col>
      <xdr:colOff>1106365</xdr:colOff>
      <xdr:row>15</xdr:row>
      <xdr:rowOff>36635</xdr:rowOff>
    </xdr:to>
    <xdr:sp macro="" textlink="">
      <xdr:nvSpPr>
        <xdr:cNvPr id="17" name="Tekstiruutu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SpPr txBox="1"/>
      </xdr:nvSpPr>
      <xdr:spPr>
        <a:xfrm>
          <a:off x="1496331" y="4382449"/>
          <a:ext cx="2181784" cy="25549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i-FI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Varmuuskopiointi</a:t>
          </a:r>
        </a:p>
      </xdr:txBody>
    </xdr:sp>
    <xdr:clientData/>
  </xdr:twoCellAnchor>
  <xdr:twoCellAnchor>
    <xdr:from>
      <xdr:col>7</xdr:col>
      <xdr:colOff>1147412</xdr:colOff>
      <xdr:row>6</xdr:row>
      <xdr:rowOff>40822</xdr:rowOff>
    </xdr:from>
    <xdr:to>
      <xdr:col>10</xdr:col>
      <xdr:colOff>385499</xdr:colOff>
      <xdr:row>6</xdr:row>
      <xdr:rowOff>367394</xdr:rowOff>
    </xdr:to>
    <xdr:sp macro="" textlink="">
      <xdr:nvSpPr>
        <xdr:cNvPr id="18" name="Tekstiruutu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 txBox="1"/>
      </xdr:nvSpPr>
      <xdr:spPr>
        <a:xfrm rot="10800000" flipV="1">
          <a:off x="5787448" y="2558143"/>
          <a:ext cx="3742051" cy="32657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i-FI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Ruokatilausten lähettäminen</a:t>
          </a:r>
        </a:p>
      </xdr:txBody>
    </xdr:sp>
    <xdr:clientData/>
  </xdr:twoCellAnchor>
  <xdr:twoCellAnchor>
    <xdr:from>
      <xdr:col>8</xdr:col>
      <xdr:colOff>166327</xdr:colOff>
      <xdr:row>23</xdr:row>
      <xdr:rowOff>401812</xdr:rowOff>
    </xdr:from>
    <xdr:to>
      <xdr:col>10</xdr:col>
      <xdr:colOff>421822</xdr:colOff>
      <xdr:row>24</xdr:row>
      <xdr:rowOff>162005</xdr:rowOff>
    </xdr:to>
    <xdr:sp macro="" textlink="">
      <xdr:nvSpPr>
        <xdr:cNvPr id="20" name="Tekstiruutu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SpPr txBox="1"/>
      </xdr:nvSpPr>
      <xdr:spPr>
        <a:xfrm>
          <a:off x="6384791" y="6456991"/>
          <a:ext cx="3276281" cy="38612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ctr"/>
          <a:r>
            <a:rPr lang="fi-FI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Merikarhu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1409700</xdr:colOff>
          <xdr:row>21</xdr:row>
          <xdr:rowOff>142875</xdr:rowOff>
        </xdr:from>
        <xdr:to>
          <xdr:col>4</xdr:col>
          <xdr:colOff>200025</xdr:colOff>
          <xdr:row>23</xdr:row>
          <xdr:rowOff>200025</xdr:rowOff>
        </xdr:to>
        <xdr:sp macro="" textlink="">
          <xdr:nvSpPr>
            <xdr:cNvPr id="1032" name="Check Box 8" descr="Automaattinen tallennus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4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1123950</xdr:colOff>
          <xdr:row>35</xdr:row>
          <xdr:rowOff>133350</xdr:rowOff>
        </xdr:from>
        <xdr:to>
          <xdr:col>7</xdr:col>
          <xdr:colOff>1371600</xdr:colOff>
          <xdr:row>38</xdr:row>
          <xdr:rowOff>38100</xdr:rowOff>
        </xdr:to>
        <xdr:sp macro="" textlink="">
          <xdr:nvSpPr>
            <xdr:cNvPr id="1034" name="Check Box 10" descr="Automaattinen tallennu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4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xdr:twoCellAnchor>
    <xdr:from>
      <xdr:col>4</xdr:col>
      <xdr:colOff>188258</xdr:colOff>
      <xdr:row>21</xdr:row>
      <xdr:rowOff>35859</xdr:rowOff>
    </xdr:from>
    <xdr:to>
      <xdr:col>7</xdr:col>
      <xdr:colOff>344366</xdr:colOff>
      <xdr:row>23</xdr:row>
      <xdr:rowOff>457199</xdr:rowOff>
    </xdr:to>
    <xdr:sp macro="" textlink="">
      <xdr:nvSpPr>
        <xdr:cNvPr id="21" name="Tekstiruutu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 txBox="1"/>
      </xdr:nvSpPr>
      <xdr:spPr>
        <a:xfrm>
          <a:off x="1507104" y="5780167"/>
          <a:ext cx="2889050" cy="76570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i-FI" sz="18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Automaattinen varmuuskopion</a:t>
          </a:r>
          <a:r>
            <a:rPr lang="fi-FI" sz="18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tallennus</a:t>
          </a:r>
          <a:endParaRPr lang="fi-FI" sz="18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8</xdr:col>
      <xdr:colOff>40984</xdr:colOff>
      <xdr:row>34</xdr:row>
      <xdr:rowOff>40822</xdr:rowOff>
    </xdr:from>
    <xdr:to>
      <xdr:col>9</xdr:col>
      <xdr:colOff>38421</xdr:colOff>
      <xdr:row>42</xdr:row>
      <xdr:rowOff>176893</xdr:rowOff>
    </xdr:to>
    <xdr:sp macro="" textlink="">
      <xdr:nvSpPr>
        <xdr:cNvPr id="22" name="Tekstiruutu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 txBox="1"/>
      </xdr:nvSpPr>
      <xdr:spPr>
        <a:xfrm>
          <a:off x="6259448" y="8817429"/>
          <a:ext cx="1793580" cy="17145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i-FI" sz="18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Automaattinen keskustelu</a:t>
          </a:r>
          <a:r>
            <a:rPr lang="fi-FI" sz="18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Merikarhun kanssa</a:t>
          </a:r>
          <a:endParaRPr lang="fi-FI" sz="18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123825</xdr:colOff>
          <xdr:row>98</xdr:row>
          <xdr:rowOff>190500</xdr:rowOff>
        </xdr:from>
        <xdr:to>
          <xdr:col>12</xdr:col>
          <xdr:colOff>323850</xdr:colOff>
          <xdr:row>101</xdr:row>
          <xdr:rowOff>38100</xdr:rowOff>
        </xdr:to>
        <xdr:sp macro="" textlink="">
          <xdr:nvSpPr>
            <xdr:cNvPr id="1036" name="Check Box 12" descr="Automaattinen tallennus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4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xdr:twoCellAnchor>
    <xdr:from>
      <xdr:col>12</xdr:col>
      <xdr:colOff>483576</xdr:colOff>
      <xdr:row>97</xdr:row>
      <xdr:rowOff>148175</xdr:rowOff>
    </xdr:from>
    <xdr:to>
      <xdr:col>15</xdr:col>
      <xdr:colOff>313764</xdr:colOff>
      <xdr:row>101</xdr:row>
      <xdr:rowOff>134470</xdr:rowOff>
    </xdr:to>
    <xdr:sp macro="" textlink="">
      <xdr:nvSpPr>
        <xdr:cNvPr id="13" name="Tekstiruutu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 txBox="1"/>
      </xdr:nvSpPr>
      <xdr:spPr>
        <a:xfrm>
          <a:off x="12783152" y="20363587"/>
          <a:ext cx="2456847" cy="70347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i-FI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Kehitysmoodi</a:t>
          </a:r>
          <a:r>
            <a:rPr lang="fi-FI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(älä laita ruksia, sekoileepi muuten)</a:t>
          </a:r>
          <a:endParaRPr lang="fi-FI" sz="1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28261</xdr:colOff>
      <xdr:row>4</xdr:row>
      <xdr:rowOff>75364</xdr:rowOff>
    </xdr:from>
    <xdr:to>
      <xdr:col>6</xdr:col>
      <xdr:colOff>592123</xdr:colOff>
      <xdr:row>5</xdr:row>
      <xdr:rowOff>284812</xdr:rowOff>
    </xdr:to>
    <xdr:sp macro="[0]!lisää_rinnakkaiset" textlink="">
      <xdr:nvSpPr>
        <xdr:cNvPr id="24" name="Rectangle 40" descr="bluu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/>
      </xdr:nvSpPr>
      <xdr:spPr>
        <a:xfrm>
          <a:off x="1511440" y="1708221"/>
          <a:ext cx="2237540" cy="399948"/>
        </a:xfrm>
        <a:prstGeom prst="rect">
          <a:avLst/>
        </a:prstGeom>
        <a:gradFill flip="none" rotWithShape="1">
          <a:gsLst>
            <a:gs pos="0">
              <a:schemeClr val="accent6">
                <a:lumMod val="50000"/>
              </a:schemeClr>
            </a:gs>
            <a:gs pos="48000">
              <a:schemeClr val="accent6">
                <a:lumMod val="75000"/>
              </a:schemeClr>
            </a:gs>
            <a:gs pos="100000">
              <a:schemeClr val="accent6">
                <a:lumMod val="50000"/>
              </a:schemeClr>
            </a:gs>
          </a:gsLst>
          <a:lin ang="16200000" scaled="1"/>
          <a:tileRect/>
        </a:gradFill>
        <a:ln w="25400" cap="flat" cmpd="sng" algn="ctr">
          <a:solidFill>
            <a:sysClr val="windowText" lastClr="000000"/>
          </a:solidFill>
          <a:prstDash val="solid"/>
        </a:ln>
        <a:effectLst/>
      </xdr:spPr>
      <xdr:txBody>
        <a:bodyPr vertOverflow="clip" horzOverflow="clip" rtlCol="0" anchor="ctr" anchorCtr="0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i-FI" sz="1600" b="0" i="0" u="none" strike="noStrike" kern="0" cap="none" spc="0" normalizeH="0" baseline="0" noProof="0">
              <a:ln w="3175" cap="sq" cmpd="sng">
                <a:solidFill>
                  <a:sysClr val="windowText" lastClr="000000">
                    <a:alpha val="6000"/>
                  </a:sysClr>
                </a:solidFill>
                <a:miter lim="800000"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Lisää rinnakkaiset</a:t>
          </a:r>
        </a:p>
      </xdr:txBody>
    </xdr:sp>
    <xdr:clientData/>
  </xdr:twoCellAnchor>
  <xdr:oneCellAnchor>
    <xdr:from>
      <xdr:col>1</xdr:col>
      <xdr:colOff>2</xdr:colOff>
      <xdr:row>0</xdr:row>
      <xdr:rowOff>0</xdr:rowOff>
    </xdr:from>
    <xdr:ext cx="912427" cy="601095"/>
    <xdr:pic>
      <xdr:nvPicPr>
        <xdr:cNvPr id="26" name="Kuva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682" y="0"/>
          <a:ext cx="912427" cy="60109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2</xdr:row>
          <xdr:rowOff>38100</xdr:rowOff>
        </xdr:from>
        <xdr:to>
          <xdr:col>19</xdr:col>
          <xdr:colOff>295275</xdr:colOff>
          <xdr:row>16</xdr:row>
          <xdr:rowOff>171450</xdr:rowOff>
        </xdr:to>
        <xdr:sp macro="" textlink="">
          <xdr:nvSpPr>
            <xdr:cNvPr id="1038" name="Group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4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Ryhmän kehys 14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916237</xdr:colOff>
      <xdr:row>0</xdr:row>
      <xdr:rowOff>599190</xdr:rowOff>
    </xdr:to>
    <xdr:pic>
      <xdr:nvPicPr>
        <xdr:cNvPr id="2" name="Kuva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16237" cy="5991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479147</xdr:colOff>
      <xdr:row>0</xdr:row>
      <xdr:rowOff>110822</xdr:rowOff>
    </xdr:from>
    <xdr:to>
      <xdr:col>7</xdr:col>
      <xdr:colOff>381000</xdr:colOff>
      <xdr:row>0</xdr:row>
      <xdr:rowOff>512777</xdr:rowOff>
    </xdr:to>
    <xdr:sp macro="[0]!liitoksetsynkkaNappula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612997" y="110822"/>
          <a:ext cx="1702078" cy="401955"/>
        </a:xfrm>
        <a:prstGeom prst="rect">
          <a:avLst/>
        </a:prstGeom>
        <a:gradFill flip="none" rotWithShape="1">
          <a:gsLst>
            <a:gs pos="0">
              <a:schemeClr val="accent1">
                <a:lumMod val="89000"/>
              </a:schemeClr>
            </a:gs>
            <a:gs pos="23000">
              <a:schemeClr val="accent1">
                <a:lumMod val="89000"/>
              </a:schemeClr>
            </a:gs>
            <a:gs pos="69000">
              <a:schemeClr val="accent1">
                <a:lumMod val="75000"/>
              </a:schemeClr>
            </a:gs>
            <a:gs pos="97000">
              <a:schemeClr val="accent1">
                <a:lumMod val="70000"/>
              </a:schemeClr>
            </a:gs>
          </a:gsLst>
          <a:path path="circle">
            <a:fillToRect l="50000" t="50000" r="50000" b="50000"/>
          </a:path>
          <a:tileRect/>
        </a:gradFill>
        <a:ln>
          <a:solidFill>
            <a:schemeClr val="tx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fi-FI" sz="1600">
              <a:ln w="3175" cap="sq" cmpd="sng">
                <a:solidFill>
                  <a:schemeClr val="tx1">
                    <a:alpha val="6000"/>
                  </a:schemeClr>
                </a:solidFill>
                <a:miter lim="800000"/>
              </a:ln>
              <a:solidFill>
                <a:schemeClr val="lt1"/>
              </a:solidFill>
            </a:rPr>
            <a:t>Yhdistä liitokset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912427" cy="601095"/>
    <xdr:pic>
      <xdr:nvPicPr>
        <xdr:cNvPr id="2" name="Kuva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12427" cy="60109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912427" cy="601095"/>
    <xdr:pic>
      <xdr:nvPicPr>
        <xdr:cNvPr id="2" name="Kuva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12427" cy="60109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912427" cy="601095"/>
    <xdr:pic>
      <xdr:nvPicPr>
        <xdr:cNvPr id="2" name="Kuva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12427" cy="60109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Hoitoaikatyokalu_beta\hoitoajat-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jyvaskyla-my.sharepoint.com/Desktop/hoitoajat3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jyvaskyla.sharepoint.com/d08096eaeea135de/Tiedostot/hoitoajat-malperi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Muut\Temp\hoitoajat\daisy\hoitoajat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jyvaskyla.sharepoint.com/sites/Kukkumenpivkoti/Jaetut%20asiakirjat/Digi/Hoitoajat/P&#228;ivystys%202022%20joulu/kukkum&#228;ki/hoitoajat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aavisja/Downloads/hoitoajat%20(1)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jyvaskyla.sharepoint.com/sites/Tapiolanpivkoti/Jaetut%20asiakirjat/General/HOITOAIKA/Downloads/hoitoajat_dev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äiväkoti"/>
      <sheetName val="Ryhmät"/>
      <sheetName val="Lapset"/>
      <sheetName val="Lasna2"/>
      <sheetName val="Aamulista"/>
      <sheetName val="Iltalista"/>
      <sheetName val="Ruokakoonti"/>
      <sheetName val="Iltatuulet"/>
      <sheetName val="Iltatuulet_ruoka"/>
      <sheetName val="Lounatuulet"/>
      <sheetName val="Lounatuulet_ruoka"/>
      <sheetName val="Myötätuulet"/>
      <sheetName val="Myötätuulet_ruoka"/>
      <sheetName val="Sumuset"/>
      <sheetName val="Sumuset_ruoka"/>
      <sheetName val="Suvituulet"/>
      <sheetName val="Suvituulet_ruoka"/>
      <sheetName val="Tuuliaiset"/>
      <sheetName val="Tuuliaiset_ruoka"/>
      <sheetName val="Usvaset"/>
      <sheetName val="Usvaset_ruoka"/>
      <sheetName val="Utuset"/>
      <sheetName val="Utuset_ruoka"/>
      <sheetName val="Code"/>
      <sheetName val="Ruokakoonti_pohja"/>
      <sheetName val="pl_vaakawc"/>
      <sheetName val="pl_vaaka"/>
      <sheetName val="pl_pysty"/>
      <sheetName val="Iltatuulet_ma"/>
      <sheetName val="Iltatuulet_ti"/>
      <sheetName val="Iltatuulet_ke"/>
      <sheetName val="Iltatuulet_to"/>
      <sheetName val="Iltatuulet_pe"/>
      <sheetName val="Lounatuulet_ma"/>
      <sheetName val="Lounatuulet_ti"/>
      <sheetName val="Lounatuulet_ke"/>
      <sheetName val="Lounatuulet_to"/>
      <sheetName val="Lounatuulet_pe"/>
      <sheetName val="Myötätuulet_ma"/>
      <sheetName val="Myötätuulet_ti"/>
      <sheetName val="Myötätuulet_ke"/>
      <sheetName val="Myötätuulet_to"/>
      <sheetName val="Myötätuulet_pe"/>
      <sheetName val="Sumuset_ma"/>
      <sheetName val="Sumuset_ti"/>
      <sheetName val="Sumuset_ke"/>
      <sheetName val="Sumuset_to"/>
      <sheetName val="Sumuset_pe"/>
      <sheetName val="Suvituulet_ma"/>
      <sheetName val="Suvituulet_ti"/>
      <sheetName val="Suvituulet_ke"/>
      <sheetName val="Suvituulet_to"/>
      <sheetName val="Suvituulet_pe"/>
      <sheetName val="Tuuliaiset_ma"/>
      <sheetName val="Tuuliaiset_ti"/>
      <sheetName val="Tuuliaiset_ke"/>
      <sheetName val="Tuuliaiset_to"/>
      <sheetName val="Tuuliaiset_pe"/>
      <sheetName val="Usvaset_ma"/>
      <sheetName val="Usvaset_ti"/>
      <sheetName val="Usvaset_ke"/>
      <sheetName val="Usvaset_to"/>
      <sheetName val="Usvaset_pe"/>
      <sheetName val="Utuset_ma"/>
      <sheetName val="Utuset_ti"/>
      <sheetName val="Utuset_ke"/>
      <sheetName val="Utuset_to"/>
      <sheetName val="Utuset_pe"/>
      <sheetName val="pl_pystywc"/>
      <sheetName val="pl_Usvaset"/>
      <sheetName val="pl_Utuset"/>
      <sheetName val="pl_Sumuset"/>
      <sheetName val="pl_Tuuliaiset"/>
      <sheetName val="pl_Iltatuulet"/>
      <sheetName val="pl_Suvituulet"/>
      <sheetName val="pl_Lounatuulet"/>
      <sheetName val="pl_Myötätuulet"/>
      <sheetName val="R_arki"/>
      <sheetName val="R_ilta"/>
      <sheetName val="R_arkikaikki"/>
      <sheetName val="R_kaikki"/>
      <sheetName val="pl_pohja"/>
      <sheetName val="pv_pohja2"/>
      <sheetName val="lasna"/>
      <sheetName val="Aamuilta_pohja"/>
      <sheetName val="Pohj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4">
          <cell r="A4" t="str">
            <v>Kyllä</v>
          </cell>
        </row>
        <row r="5">
          <cell r="A5" t="str">
            <v>Ei</v>
          </cell>
        </row>
        <row r="7">
          <cell r="A7" t="str">
            <v>Kutsumanimi</v>
          </cell>
        </row>
        <row r="8">
          <cell r="A8" t="str">
            <v>Sukunimi</v>
          </cell>
        </row>
        <row r="9">
          <cell r="A9" t="str">
            <v>Oma järjestys</v>
          </cell>
        </row>
        <row r="42">
          <cell r="A42" t="str">
            <v>Kyllä</v>
          </cell>
        </row>
        <row r="43">
          <cell r="A43" t="str">
            <v>Ei</v>
          </cell>
        </row>
      </sheetData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äiväkoti"/>
      <sheetName val="Code"/>
      <sheetName val="Ryhmät"/>
      <sheetName val="lasna"/>
      <sheetName val="Lapset"/>
      <sheetName val="Aamuilta_pohja"/>
      <sheetName val="Pohja"/>
      <sheetName val="hoitoajat3"/>
    </sheetNames>
    <sheetDataSet>
      <sheetData sheetId="0" refreshError="1"/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odo"/>
      <sheetName val="Päiväkoti"/>
      <sheetName val="Code"/>
      <sheetName val="Ryhmät"/>
      <sheetName val="Sheet68"/>
      <sheetName val="Lapset"/>
      <sheetName val="Lounatuulet"/>
      <sheetName val="R_arki"/>
      <sheetName val="R_ilta"/>
      <sheetName val="R_arkikaikki"/>
      <sheetName val="R_kaikki"/>
      <sheetName val="pv_pohja"/>
      <sheetName val="Ryhmät_suodatus"/>
      <sheetName val="Lapset_suodatus"/>
      <sheetName val="pv_pohja2"/>
      <sheetName val="lasna"/>
      <sheetName val="lasna_testi"/>
      <sheetName val="lasna_testi2"/>
      <sheetName val="lasna_testi (2)"/>
      <sheetName val="hoitoajat"/>
      <sheetName val="Aamuilta_pohja"/>
      <sheetName val="Pohja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äiväkoti"/>
      <sheetName val="Code"/>
      <sheetName val="Ryhmät"/>
      <sheetName val="Lista"/>
      <sheetName val="TLista"/>
      <sheetName val="Lapset"/>
      <sheetName val="Työntekijät"/>
      <sheetName val="R_pohja1"/>
      <sheetName val="R_pohja2"/>
      <sheetName val="Ri_pohja1"/>
      <sheetName val="Ri_pohja2"/>
      <sheetName val="Pohja"/>
      <sheetName val="Aamuilta_pohja"/>
      <sheetName val="Lista_temp"/>
      <sheetName val="TLista_temp"/>
      <sheetName val="Validaatio"/>
      <sheetName val="TValidaatio"/>
      <sheetName val="hoitoajat"/>
    </sheetNames>
    <sheetDataSet>
      <sheetData sheetId="0"/>
      <sheetData sheetId="1">
        <row r="4">
          <cell r="A4" t="str">
            <v>Kyllä</v>
          </cell>
        </row>
        <row r="13">
          <cell r="A13" t="str">
            <v>Kyllä</v>
          </cell>
        </row>
        <row r="14">
          <cell r="A14" t="str">
            <v>Ei</v>
          </cell>
        </row>
        <row r="16">
          <cell r="A16" t="str">
            <v>Kyllä</v>
          </cell>
        </row>
        <row r="17">
          <cell r="A17" t="str">
            <v>Ei</v>
          </cell>
        </row>
        <row r="19">
          <cell r="A19" t="str">
            <v>Kyllä</v>
          </cell>
        </row>
        <row r="20">
          <cell r="A20" t="str">
            <v>Kyllä + tyhjä rivi</v>
          </cell>
        </row>
        <row r="21">
          <cell r="A21" t="str">
            <v>Ei</v>
          </cell>
        </row>
        <row r="31">
          <cell r="A31" t="str">
            <v>Kyllä</v>
          </cell>
        </row>
        <row r="32">
          <cell r="A32" t="str">
            <v>Ei</v>
          </cell>
        </row>
        <row r="36">
          <cell r="A36" t="str">
            <v>Kyllä</v>
          </cell>
        </row>
        <row r="37">
          <cell r="A37" t="str">
            <v>Ei</v>
          </cell>
        </row>
        <row r="42">
          <cell r="A42" t="str">
            <v>Kyllä</v>
          </cell>
        </row>
        <row r="43">
          <cell r="A43" t="str">
            <v>Ei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odo"/>
      <sheetName val="Päiväkoti"/>
      <sheetName val="Ryhmät"/>
      <sheetName val="Code"/>
      <sheetName val="Ryhmät_uusi"/>
      <sheetName val="Lapset"/>
      <sheetName val="Aamuilta_pohja (2)"/>
      <sheetName val="pl_vaakawc"/>
      <sheetName val="pl_vaaka"/>
      <sheetName val="pl_pysty"/>
      <sheetName val="pl_pystywc"/>
      <sheetName val="pl_Oravanpesä"/>
      <sheetName val="pl_Pikkuoravat"/>
      <sheetName val="R_arki"/>
      <sheetName val="R_ilta"/>
      <sheetName val="R_arkikaikki"/>
      <sheetName val="R_kaikki"/>
      <sheetName val="pl_pohja"/>
      <sheetName val="pv_pohja2"/>
      <sheetName val="lasna"/>
      <sheetName val="lasna_testi"/>
      <sheetName val="lasna_testi2"/>
      <sheetName val="hoitoajat"/>
      <sheetName val="Aamuilta_pohja"/>
      <sheetName val="Pohja"/>
    </sheetNames>
    <sheetDataSet>
      <sheetData sheetId="0" refreshError="1"/>
      <sheetData sheetId="1" refreshError="1"/>
      <sheetData sheetId="2" refreshError="1"/>
      <sheetData sheetId="3">
        <row r="4">
          <cell r="A4" t="str">
            <v>Kyllä</v>
          </cell>
        </row>
        <row r="42">
          <cell r="A42" t="str">
            <v>Kyllä</v>
          </cell>
        </row>
        <row r="43">
          <cell r="A43" t="str">
            <v>Ei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/>
      <sheetData sheetId="12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yhmis_r"/>
      <sheetName val="Ryhmät"/>
      <sheetName val="Päiväkoti"/>
      <sheetName val="Lapset"/>
      <sheetName val="Lasna2"/>
      <sheetName val="Aamulista"/>
      <sheetName val="Iltalista"/>
      <sheetName val="Kivenkolo"/>
      <sheetName val="Kivenkolo_r"/>
      <sheetName val="Käpylehto"/>
      <sheetName val="Käpylehto_r"/>
      <sheetName val="Marjamäki"/>
      <sheetName val="Marjamäki_r"/>
      <sheetName val="Oravanpesä"/>
      <sheetName val="Oravanpesä_r"/>
      <sheetName val="Pikkuoravat"/>
      <sheetName val="Pikkuoravat_r"/>
      <sheetName val="Hiirenkätkö"/>
      <sheetName val="Hiirenkätkö_r"/>
      <sheetName val="Siilinpiilo"/>
      <sheetName val="Siilinpiilo_r"/>
      <sheetName val="Honkametsä"/>
      <sheetName val="Honkametsä_r"/>
      <sheetName val="Code"/>
      <sheetName val="Ruokakoonti_pohja"/>
      <sheetName val="pl_vaakawc"/>
      <sheetName val="pl_vaaka"/>
      <sheetName val="pl_pysty"/>
      <sheetName val="Oravanpesä_ma"/>
      <sheetName val="Oravanpesä_ti"/>
      <sheetName val="Oravanpesä_ke"/>
      <sheetName val="Oravanpesä_to"/>
      <sheetName val="Oravanpesä_pe"/>
      <sheetName val="Pikkuoravat_ma"/>
      <sheetName val="Pikkuoravat_ti"/>
      <sheetName val="Pikkuoravat_ke"/>
      <sheetName val="Pikkuoravat_to"/>
      <sheetName val="Pikkuoravat_pe"/>
      <sheetName val="pl_Pikkuoravat"/>
      <sheetName val="pl_Oravanpesä"/>
      <sheetName val="Taul1"/>
      <sheetName val="pl_pystywc"/>
      <sheetName val="R_arki"/>
      <sheetName val="R_ilta"/>
      <sheetName val="R_arkikaikki"/>
      <sheetName val="R_kaikki"/>
      <sheetName val="pl_pohja"/>
      <sheetName val="pv_pohja2"/>
      <sheetName val="lasna"/>
      <sheetName val="Aamuilta_pohja"/>
      <sheetName val="Pohj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/>
      <sheetData sheetId="39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äiväkoti"/>
      <sheetName val="Ryhmät"/>
      <sheetName val="Lapset"/>
      <sheetName val="Työntekijät"/>
      <sheetName val="Syntyma2"/>
      <sheetName val="Syntyma"/>
      <sheetName val="Merikarhu"/>
      <sheetName val="Lasna2"/>
      <sheetName val="Aamulista"/>
      <sheetName val="Iltalista"/>
      <sheetName val="Ruokakoonti"/>
      <sheetName val="Utuset"/>
      <sheetName val="Utuset_r"/>
      <sheetName val="Code"/>
      <sheetName val="Ruokakoonti_pohja"/>
      <sheetName val="pl_vaakawc"/>
      <sheetName val="pl_vaaka"/>
      <sheetName val="pl_pysty"/>
      <sheetName val="Utuset_ma"/>
      <sheetName val="Utuset_ti"/>
      <sheetName val="Utuset_ke"/>
      <sheetName val="Utuset_to"/>
      <sheetName val="Utuset_pe"/>
      <sheetName val="pl_pystywc"/>
      <sheetName val="R_arki"/>
      <sheetName val="R_ilta"/>
      <sheetName val="R_arkikaikki"/>
      <sheetName val="R_kaikki"/>
      <sheetName val="pl_pohja"/>
      <sheetName val="pv_pohja2"/>
      <sheetName val="lasna"/>
      <sheetName val="pl_Utuset"/>
      <sheetName val="pl_Usvaset"/>
      <sheetName val="pl_Tuuliaiset"/>
      <sheetName val="pl_Suvituulet"/>
      <sheetName val="pl_Sumuset"/>
      <sheetName val="pl_Myötätuulet"/>
      <sheetName val="pl_Lounatuulet"/>
      <sheetName val="pl_Iltatuulet"/>
      <sheetName val="Aamuilta_pohja"/>
      <sheetName val="Pohj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1548E39-2391-468D-87CF-ABCCC8BB844A}" name="tbl_ryhmät" displayName="tbl_ryhmät" ref="A2:AH3" insertRow="1" totalsRowShown="0" headerRowDxfId="146" dataDxfId="144" headerRowBorderDxfId="145" tableBorderDxfId="143" headerRowCellStyle="Normal 2" dataCellStyle="Normal 2">
  <autoFilter ref="A2:AH3" xr:uid="{91548E39-2391-468D-87CF-ABCCC8BB844A}"/>
  <sortState xmlns:xlrd2="http://schemas.microsoft.com/office/spreadsheetml/2017/richdata2" ref="A3:AH3">
    <sortCondition descending="1" ref="B3"/>
    <sortCondition descending="1" ref="C3"/>
  </sortState>
  <tableColumns count="34">
    <tableColumn id="1" xr3:uid="{E3296D37-2452-4270-9E2F-7A04A2DDA8AE}" name="Ryhmän nimi" dataDxfId="142" dataCellStyle="Normal 2"/>
    <tableColumn id="2" xr3:uid="{C08C9AC4-2C99-424B-BC25-4BF7EB86130F}" name="Käytössä" dataDxfId="141" dataCellStyle="Normal 2"/>
    <tableColumn id="3" xr3:uid="{D4489EE4-B59D-4D8F-9A5D-CB19F39AE472}" name="Järjestys" dataDxfId="140" dataCellStyle="Normal 2"/>
    <tableColumn id="4" xr3:uid="{8E0A5E92-8AAE-4ED5-B3D2-D521257F8DFE}" name="Päivystys" dataDxfId="139" dataCellStyle="Normal 2"/>
    <tableColumn id="5" xr3:uid="{F9F6013B-765E-4B1B-B96F-B8655DA90B41}" name="Väri" dataDxfId="138" dataCellStyle="Normal 2"/>
    <tableColumn id="6" xr3:uid="{A9E4BBED-1534-4360-A312-F94672491C2A}" name="Käytössä Merikarhussa" dataDxfId="137" dataCellStyle="Normal 2"/>
    <tableColumn id="7" xr3:uid="{F968326F-FC01-46AC-BFDD-E9C2179F9726}" name="Viikkolistan tulostus" dataDxfId="136" dataCellStyle="Normal 2"/>
    <tableColumn id="8" xr3:uid="{AEE3A506-6307-4E84-B3E6-4965650B2AF9}" name="Viikkolistan aakkosjärjestys" dataDxfId="135" dataCellStyle="Normal 2"/>
    <tableColumn id="9" xr3:uid="{2C1A9073-6639-462F-B887-B3A02E4E95DE}" name="Boldaus jos lapsi tuodaan aiemmin kuin" dataDxfId="134" dataCellStyle="Normal 2"/>
    <tableColumn id="10" xr3:uid="{10BFC074-8AFE-466D-A97E-151CB4418038}" name="Boldaus jos lapsi haetaan myöhemmin kuin" dataDxfId="133" dataCellStyle="Normal 2"/>
    <tableColumn id="12" xr3:uid="{DF63A5F0-676A-45D7-A83F-C5EA89157575}" name="Puokkariboldaus" dataDxfId="132" dataCellStyle="Normal 2"/>
    <tableColumn id="13" xr3:uid="{18D30849-9774-45C7-9AB7-2CB3C06C3357}" name="Puokkariboldaus 2" dataDxfId="131" dataCellStyle="Normal 2"/>
    <tableColumn id="14" xr3:uid="{B682E08F-60CE-441F-91F9-F8062B53D64D}" name="Ruokalapun tulostus" dataDxfId="130" dataCellStyle="Normal 2"/>
    <tableColumn id="15" xr3:uid="{3BB6B95D-A56C-4CE9-8412-B17D2A9E4386}" name="Ruokalapun asetukset" dataDxfId="129" dataCellStyle="Normal 2"/>
    <tableColumn id="16" xr3:uid="{8C7BCA94-BB00-40F4-8218-2C3C9A57793C}" name="Aamupala 1" dataDxfId="128" dataCellStyle="Normal 2"/>
    <tableColumn id="17" xr3:uid="{4DC15837-7F55-49A0-8C1D-2E70CCC768C2}" name="Aamupala 2" dataDxfId="127" dataCellStyle="Normal 2"/>
    <tableColumn id="18" xr3:uid="{5CFF4B68-D80F-4801-A823-D62F5A3741F8}" name="Lounas 1" dataDxfId="126" dataCellStyle="Normal 2"/>
    <tableColumn id="19" xr3:uid="{C1D9CA21-C75F-463E-A012-8A5AD2F7FD3A}" name="Lounas 2" dataDxfId="125" dataCellStyle="Normal 2"/>
    <tableColumn id="20" xr3:uid="{51D27C45-272C-40BB-8ABE-571364016A7C}" name="Välipala 1" dataDxfId="124" dataCellStyle="Normal 2"/>
    <tableColumn id="21" xr3:uid="{89431675-28F0-4C1C-8E59-135CBEFCA36E}" name="Välipala 2" dataDxfId="123" dataCellStyle="Normal 2"/>
    <tableColumn id="22" xr3:uid="{66012CEC-A562-4DD4-A843-BCCA30B894E3}" name="Päivällinen 1" dataDxfId="122" dataCellStyle="Normal 2"/>
    <tableColumn id="26" xr3:uid="{B6355E3F-9B22-4CAA-86C8-9C6D69FEB2F3}" name="Päivällinen 2" dataDxfId="121" dataCellStyle="Normal 2"/>
    <tableColumn id="27" xr3:uid="{83459F18-6DE7-4FC3-872C-E7997DDE5C9D}" name="Iltapala 1" dataDxfId="120" dataCellStyle="Normal 2"/>
    <tableColumn id="28" xr3:uid="{2AFC1F55-BBA9-4F31-9B02-A881729513A7}" name="Iltapala 2" dataDxfId="119" dataCellStyle="Normal 2"/>
    <tableColumn id="29" xr3:uid="{D463D8B9-26B9-445C-AB57-488A1AFC6EB6}" name="Aamulapun tulostus" dataDxfId="118" dataCellStyle="Normal 2"/>
    <tableColumn id="30" xr3:uid="{82FDF068-3B19-4FA0-8CC0-6AD85C162193}" name="Aamulapun alku" dataDxfId="117" dataCellStyle="Normal 2"/>
    <tableColumn id="31" xr3:uid="{5122A2D8-7991-4DB5-8CE4-3D7C24B041BC}" name="Aamulapun loppu" dataDxfId="116" dataCellStyle="Normal 2"/>
    <tableColumn id="32" xr3:uid="{21EEBB45-C7B8-487A-B8C3-F864534D751B}" name="Iltalapun tulostus" dataDxfId="115" dataCellStyle="Normal 2"/>
    <tableColumn id="11" xr3:uid="{E4AFF30C-32AF-4F96-A2AF-B8DBC5153A72}" name="Iltalapun alku" dataDxfId="114" dataCellStyle="Normal 2"/>
    <tableColumn id="23" xr3:uid="{CB55DD4C-3A80-4604-BBD2-B7AAFA38117A}" name="Iltalapun loppu" dataDxfId="113" dataCellStyle="Normal 2"/>
    <tableColumn id="24" xr3:uid="{C98B8CF7-4FA8-44DA-815E-D2E290475181}" name="Päivälappujen tulostus" dataDxfId="112" dataCellStyle="Normal 2"/>
    <tableColumn id="25" xr3:uid="{A702AF13-A63E-48CE-8C57-D3E56ECC2DBE}" name="Päivälappujen aakkosjärjestys" dataDxfId="111" dataCellStyle="Normal 2"/>
    <tableColumn id="33" xr3:uid="{A1C4C3E9-81F3-4BA8-820B-44AC67E68917}" name="Päivälappujen pohja" dataDxfId="110" dataCellStyle="Normal 2"/>
    <tableColumn id="34" xr3:uid="{51C84082-085E-4556-ACC6-9D8D636AF421}" name="Tyhjät nimirivit" dataDxfId="109" dataCellStyle="Normal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731BAF4-2A22-4568-9855-FDC90B09533C}" name="tbl_lapset" displayName="tbl_lapset" ref="A2:AB3" insertRow="1" totalsRowShown="0" headerRowDxfId="108" dataDxfId="107" headerRowCellStyle="Normal 2" dataCellStyle="Normal 2">
  <autoFilter ref="A2:AB3" xr:uid="{1731BAF4-2A22-4568-9855-FDC90B09533C}"/>
  <tableColumns count="28">
    <tableColumn id="1" xr3:uid="{3B752F19-A033-430E-82C0-9FD430832B64}" name="Kutsumanimi" dataDxfId="106" dataCellStyle="Normal 2"/>
    <tableColumn id="2" xr3:uid="{F934E2B1-3200-4C1E-A916-53BF52F703D0}" name="Koko nimi" dataDxfId="105" dataCellStyle="Normal 2"/>
    <tableColumn id="3" xr3:uid="{6B02A382-3409-478B-86E1-B0A51BDF8A20}" name="Ryhmä" dataDxfId="104" dataCellStyle="Normal 2"/>
    <tableColumn id="4" xr3:uid="{89194CDB-33BF-4CDD-96AC-C7EDB602C277}" name="Erityisruokavalio" dataDxfId="103" dataCellStyle="Normal 2"/>
    <tableColumn id="5" xr3:uid="{70558FA5-23D2-4F6B-8A2F-1AEA7E83B763}" name="Työntekijä" dataDxfId="102" dataCellStyle="Normal 2"/>
    <tableColumn id="6" xr3:uid="{6005119A-9518-4607-A107-CD0F8CE1095C}" name="Resurssi" dataDxfId="101" dataCellStyle="Normal 2"/>
    <tableColumn id="7" xr3:uid="{B41C9590-9954-4F72-9A10-B34E788145F7}" name="Lisätieto" dataDxfId="100" dataCellStyle="Normal 2"/>
    <tableColumn id="8" xr3:uid="{FEA0D352-9764-476F-8BDD-6267BE1E735F}" name="Päivystys" dataDxfId="99" dataCellStyle="Normal 2"/>
    <tableColumn id="9" xr3:uid="{F821BC46-3978-44F1-904C-9DB4183C04A3}" name="Ma tulo" dataDxfId="98" dataCellStyle="Normal 2"/>
    <tableColumn id="10" xr3:uid="{C9DD524B-A51D-4C37-8B01-AE0E5C3406FD}" name="Ma lähtö" dataDxfId="97" dataCellStyle="Normal 2"/>
    <tableColumn id="11" xr3:uid="{5DDF9891-48E8-455B-BDE3-B91BFFA51AB1}" name="Ti tulo" dataDxfId="96" dataCellStyle="Normal 2"/>
    <tableColumn id="12" xr3:uid="{1F54EE64-0C1C-45EB-852C-38D63E252FBC}" name="Ti lähtö" dataDxfId="95" dataCellStyle="Normal 2"/>
    <tableColumn id="13" xr3:uid="{BB901DC2-6129-4656-A645-0F35F8600EAD}" name="Ke tulo" dataDxfId="94" dataCellStyle="Normal 2"/>
    <tableColumn id="14" xr3:uid="{32A94F2C-EACE-47F1-9F46-B7DC2F36BDB9}" name="Ke lähtö" dataDxfId="93" dataCellStyle="Normal 2"/>
    <tableColumn id="15" xr3:uid="{7E7E1CA9-B811-49B6-A8FF-7B5085BA657B}" name="To tulo" dataDxfId="92" dataCellStyle="Normal 2"/>
    <tableColumn id="16" xr3:uid="{99005AA1-5383-40B0-83F6-D2428E58FA66}" name="To lähtö" dataDxfId="91" dataCellStyle="Normal 2"/>
    <tableColumn id="17" xr3:uid="{2625D921-F655-4902-9C2A-AF38DCA2601A}" name="Pe tulo" dataDxfId="90" dataCellStyle="Normal 2"/>
    <tableColumn id="18" xr3:uid="{E528CCC1-6E5C-4FF9-BEE4-1FB027A60AA8}" name="Pe lähtö" dataDxfId="89" dataCellStyle="Normal 2"/>
    <tableColumn id="19" xr3:uid="{81487D6C-DC2C-4F16-9384-15F578A4E7E1}" name="La tulo" dataDxfId="88" dataCellStyle="Normal 2"/>
    <tableColumn id="20" xr3:uid="{C5DF24D9-19C8-4734-B85D-F4E4AA52ED25}" name="La lähtö" dataDxfId="87" dataCellStyle="Normal 2"/>
    <tableColumn id="21" xr3:uid="{D66A45E6-3223-408F-8E0B-44FB6D4A5FB8}" name="Su tulo" dataDxfId="86" dataCellStyle="Normal 2"/>
    <tableColumn id="22" xr3:uid="{022A4515-3945-45EF-BE0B-41228AD92B83}" name="Su lähtö" dataDxfId="85" dataCellStyle="Normal 2"/>
    <tableColumn id="23" xr3:uid="{3A4CEFAB-16AD-4E59-BE84-C8A70BC16365}" name="Sukunimi" dataDxfId="84" dataCellStyle="Normal 2"/>
    <tableColumn id="24" xr3:uid="{1AAC6A56-7E6D-4781-A8B6-24BBBB2E6293}" name="ArkiPoissa" dataDxfId="83" dataCellStyle="Normal 2"/>
    <tableColumn id="25" xr3:uid="{A806B648-A005-4CF0-B0CD-A0C7BA9F2A33}" name="VklPoissa" dataDxfId="82"/>
    <tableColumn id="26" xr3:uid="{25D499F3-A452-4411-A57C-659654B29E22}" name="AinaPoissa" dataDxfId="81" dataCellStyle="Normal 2"/>
    <tableColumn id="27" xr3:uid="{CE920EBD-0506-4937-A777-F290F909E7D3}" name="Alle 3v" dataDxfId="80" dataCellStyle="Normal 2"/>
    <tableColumn id="28" xr3:uid="{ACE84AB0-AD5E-46FB-B6F0-7290A0AE1E2A}" name="Rinnakkainen" dataDxfId="79" dataCellStyle="Normal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DADD1DE-A101-486E-80EB-3B3B1D739439}" name="tbl_liitokset" displayName="tbl_liitokset" ref="A2:B3" insertRow="1" totalsRowShown="0" headerRowDxfId="78">
  <autoFilter ref="A2:B3" xr:uid="{FDADD1DE-A101-486E-80EB-3B3B1D739439}"/>
  <tableColumns count="2">
    <tableColumn id="1" xr3:uid="{74E21F36-4EF0-4121-AF6B-33C4757DED6B}" name="Nimi" dataDxfId="77"/>
    <tableColumn id="2" xr3:uid="{14C27E7E-EB76-4E2F-B8D8-974A37AEE7A6}" name="Liitetyt ryhmät" dataDxfId="76" dataCellStyle="Normal 2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5147DEE-612F-4283-BFE5-19692936134D}" name="tbl_työntekijät" displayName="tbl_työntekijät" ref="A2:H3" insertRow="1" totalsRowShown="0" dataDxfId="75">
  <autoFilter ref="A2:H3" xr:uid="{55147DEE-612F-4283-BFE5-19692936134D}"/>
  <sortState xmlns:xlrd2="http://schemas.microsoft.com/office/spreadsheetml/2017/richdata2" ref="A3:H3">
    <sortCondition ref="B2:B3"/>
  </sortState>
  <tableColumns count="8">
    <tableColumn id="1" xr3:uid="{3409CF1B-6D65-42A2-A663-C528856437E7}" name="Kutsumanimi" dataDxfId="74"/>
    <tableColumn id="2" xr3:uid="{ECC29FFA-5A1D-4D4B-8D3F-08B57AF4682C}" name="Koko nimi" dataDxfId="73"/>
    <tableColumn id="3" xr3:uid="{27E8A73E-14EE-45C9-A09D-67611EEED59F}" name="Ryhmä" dataDxfId="72"/>
    <tableColumn id="4" xr3:uid="{37CA93A5-2380-4AB6-9DC3-75D958D13823}" name="Vastuullinen" dataDxfId="71"/>
    <tableColumn id="5" xr3:uid="{EA050B99-6F10-4331-BBAB-ABAE4EBC3DB6}" name="Nimike" dataDxfId="70"/>
    <tableColumn id="6" xr3:uid="{7191B896-6CA3-43C6-8C25-F9062352B016}" name="Kiertopohja" dataDxfId="69"/>
    <tableColumn id="7" xr3:uid="{4521F0BB-6932-4CE0-B70B-4BFC512DEF98}" name="Prosentti" dataDxfId="68"/>
    <tableColumn id="8" xr3:uid="{F441AFBD-ECB3-42C5-A108-D6C3BE57E2B9}" name="Aktiivinen" dataDxfId="6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F08240F-E02D-4CD0-9C1F-0AB654CF5D98}" name="tbl_migraatio_temp" displayName="tbl_migraatio_temp" ref="A1:AH2" insertRow="1" totalsRowShown="0">
  <autoFilter ref="A1:AH2" xr:uid="{FF08240F-E02D-4CD0-9C1F-0AB654CF5D98}"/>
  <tableColumns count="34">
    <tableColumn id="1" xr3:uid="{0FAC302A-B9B5-4D3C-8157-10EE01CA1D27}" name="Järjestys" dataDxfId="66"/>
    <tableColumn id="2" xr3:uid="{72408FDE-E0ED-4A08-9359-E9E8B3D0DAD0}" name="Kutsumanimi" dataDxfId="65"/>
    <tableColumn id="3" xr3:uid="{EB4017AD-64DF-4CFE-A897-D4663FC66B08}" name="Koko nimi" dataDxfId="64"/>
    <tableColumn id="4" xr3:uid="{18BD4AD1-8CAF-4C4A-97D7-89ECE648FB83}" name="Ryhmä" dataDxfId="63"/>
    <tableColumn id="5" xr3:uid="{C74BD528-0E52-4454-BD58-5C99FD2AFD34}" name="Erityisruokavalio" dataDxfId="62"/>
    <tableColumn id="6" xr3:uid="{6FC4BA02-0A5B-4523-953B-24486105305F}" name="Työntekijä" dataDxfId="61"/>
    <tableColumn id="7" xr3:uid="{168F5CC2-DB69-466A-9303-A11B8501111F}" name="Päivystys" dataDxfId="60"/>
    <tableColumn id="8" xr3:uid="{BF5EB8BD-C951-4C45-A41D-0900D25B4F31}" name="Ma tulo" dataDxfId="59"/>
    <tableColumn id="9" xr3:uid="{484D6FEC-3432-4C8D-A424-005060E69F41}" name="Ma lähtö" dataDxfId="58"/>
    <tableColumn id="10" xr3:uid="{5F8367A1-1242-42D0-95CA-6C9AFFA4B721}" name="Ti tulo" dataDxfId="57"/>
    <tableColumn id="11" xr3:uid="{6E93B431-3F95-4E70-80A4-2FF865283CE7}" name="Ti lähtö" dataDxfId="56"/>
    <tableColumn id="12" xr3:uid="{B7ABB554-1F3E-40F6-97AE-7C0800184D79}" name="Ke tulo" dataDxfId="55"/>
    <tableColumn id="13" xr3:uid="{9A482845-9BBD-45AE-AFFC-591522C00DB6}" name="Ke lähtö" dataDxfId="54"/>
    <tableColumn id="14" xr3:uid="{F405BE0D-E802-4BE1-9C35-14AC46D4532A}" name="To tulo" dataDxfId="53"/>
    <tableColumn id="15" xr3:uid="{00986EFA-0C0A-4785-BC7B-479662FA3C59}" name="To lähtö" dataDxfId="52"/>
    <tableColumn id="16" xr3:uid="{5338D0E4-1433-4959-9DAD-AB0039D61898}" name="Pe tulo" dataDxfId="51"/>
    <tableColumn id="17" xr3:uid="{D06D5FDC-B27D-40BE-BCA2-2F5B1A552523}" name="Pe lähtö" dataDxfId="50"/>
    <tableColumn id="18" xr3:uid="{11B05CDF-7297-4D96-AB3B-B16E6870D1F8}" name="La tulo" dataDxfId="49"/>
    <tableColumn id="19" xr3:uid="{0DBD8E8F-B0E4-4A79-910E-04AAFCF0EBE2}" name="La lähtö" dataDxfId="48"/>
    <tableColumn id="20" xr3:uid="{D8F65A6A-77B8-4053-A571-093A11B95F55}" name="Su tulo" dataDxfId="47"/>
    <tableColumn id="21" xr3:uid="{C93A0DC8-883C-4E91-B623-15F29E629D3F}" name="Su lähtö" dataDxfId="46"/>
    <tableColumn id="22" xr3:uid="{65199517-1DA3-4260-8AD7-1B97FF966485}" name="Sukunimi" dataDxfId="45"/>
    <tableColumn id="23" xr3:uid="{628CE670-1CC3-4D88-8AE7-8B8FD85742D1}" name="ArkiPoissa" dataDxfId="44"/>
    <tableColumn id="24" xr3:uid="{DEC42F91-62DA-426F-A949-BD2920624D5E}" name="VklPoissa" dataDxfId="43"/>
    <tableColumn id="25" xr3:uid="{1F0C67FE-F138-4E73-938B-9DAE080C2B36}" name="AinaPoissa" dataDxfId="42"/>
    <tableColumn id="26" xr3:uid="{B920EDEF-325B-4A0C-95EA-C1C24F172602}" name="Syntymäaika" dataDxfId="41"/>
    <tableColumn id="27" xr3:uid="{4E68DD4C-24AE-4427-AF9C-FBF0A5E9435E}" name="Spessu" dataDxfId="40"/>
    <tableColumn id="28" xr3:uid="{100EFC3A-E287-4422-93E1-9A2CC3901F31}" name="Rinnakkainen" dataDxfId="39"/>
    <tableColumn id="29" xr3:uid="{E4DC0564-2ABF-4B2C-92B7-71BA3916A77A}" name="Aamulapun tulostus"/>
    <tableColumn id="30" xr3:uid="{282078C4-8EB7-4DBB-A12F-F02FB7EEE216}" name="Aamulapun alku"/>
    <tableColumn id="31" xr3:uid="{100AC0E5-D3DE-4C92-BF56-AFACEDE8960C}" name="Aamulapun loppu"/>
    <tableColumn id="32" xr3:uid="{4DF7ED48-D8DC-4E43-AFD6-0AABABBDAD0C}" name="Iltalapun tulostus"/>
    <tableColumn id="33" xr3:uid="{E889F0E9-0EE5-4757-97E3-8F9934A7576F}" name="Iltalapun alku"/>
    <tableColumn id="34" xr3:uid="{E036D898-96F2-418C-9C7B-2941575BD228}" name="Iltalapun loppu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6C17C06-5CE4-4A62-A258-189BC04F2869}" name="tbl_migraatio" displayName="tbl_migraatio" ref="A2:AK28" totalsRowShown="0" headerRowDxfId="38" dataDxfId="37">
  <autoFilter ref="A2:AK28" xr:uid="{36C17C06-5CE4-4A62-A258-189BC04F2869}">
    <filterColumn colId="0">
      <filters>
        <filter val="Ryhmät"/>
      </filters>
    </filterColumn>
  </autoFilter>
  <sortState xmlns:xlrd2="http://schemas.microsoft.com/office/spreadsheetml/2017/richdata2" ref="A3:AK28">
    <sortCondition descending="1" ref="C3:C28"/>
  </sortState>
  <tableColumns count="37">
    <tableColumn id="1" xr3:uid="{E7DE710E-D05F-452B-9B8B-E1E571C99BFA}" name="Lista" dataDxfId="36"/>
    <tableColumn id="37" xr3:uid="{C656F25A-075A-4D57-8906-C8591F38FBE9}" name="Tyyppi" dataDxfId="35"/>
    <tableColumn id="2" xr3:uid="{D5FD0389-6387-4314-9053-0D36260D92CD}" name="Versio" dataDxfId="34"/>
    <tableColumn id="3" xr3:uid="{5608CC35-FA9D-4890-8AAC-8A36F351D51E}" name="1" dataDxfId="33"/>
    <tableColumn id="4" xr3:uid="{4D24B329-1953-48CF-981A-AC63C97EE722}" name="2" dataDxfId="32"/>
    <tableColumn id="5" xr3:uid="{CC0499FF-9C6A-4E33-A616-2762394232C0}" name="3" dataDxfId="31"/>
    <tableColumn id="6" xr3:uid="{5EDAD4F3-9FCA-49A4-BEB1-0D649359CFAB}" name="4" dataDxfId="30"/>
    <tableColumn id="7" xr3:uid="{2C3C5C12-AA40-4B6F-B1CB-04C0543F7B79}" name="5" dataDxfId="29"/>
    <tableColumn id="8" xr3:uid="{710E30F0-57D2-468C-86DB-06622A7B91D2}" name="6" dataDxfId="28"/>
    <tableColumn id="9" xr3:uid="{DA04460F-E71E-44D7-8B01-39481C20EC22}" name="7" dataDxfId="27"/>
    <tableColumn id="10" xr3:uid="{9A1C5F31-9DC1-4A6D-8A91-41BFB7026965}" name="8" dataDxfId="26"/>
    <tableColumn id="11" xr3:uid="{A9BAF34F-AF00-42D1-BC29-910D12CD76EF}" name="9" dataDxfId="25"/>
    <tableColumn id="12" xr3:uid="{35A1046D-9231-4B5B-9F80-5F283DCF9B32}" name="10" dataDxfId="24"/>
    <tableColumn id="13" xr3:uid="{4AB3AA0A-2488-48CC-A1E5-7108232AD6CC}" name="11" dataDxfId="23"/>
    <tableColumn id="14" xr3:uid="{8B54F261-529F-40EB-8E79-8039DAE00C7A}" name="12" dataDxfId="22"/>
    <tableColumn id="15" xr3:uid="{16B02CA9-AD34-436B-99E8-1D388BBB819C}" name="13" dataDxfId="21"/>
    <tableColumn id="16" xr3:uid="{328978A8-19AF-4FAB-ADB6-A20694B351E5}" name="14" dataDxfId="20"/>
    <tableColumn id="17" xr3:uid="{50AF6AB3-A114-4B74-8B51-230475D95C7B}" name="15" dataDxfId="19"/>
    <tableColumn id="18" xr3:uid="{A1BE91C4-8F4F-4544-B231-4AD7122C723D}" name="16" dataDxfId="18"/>
    <tableColumn id="19" xr3:uid="{C871DB29-9D69-4E50-A729-1F96B4CF5EA8}" name="17" dataDxfId="17"/>
    <tableColumn id="20" xr3:uid="{A1B4C075-B9D5-4658-83EC-B0E122764B0C}" name="18" dataDxfId="16"/>
    <tableColumn id="21" xr3:uid="{EA27BC69-7A02-467F-930E-C62F7839CACC}" name="19" dataDxfId="15"/>
    <tableColumn id="22" xr3:uid="{0F4AC1FB-DD5C-4B9F-B9B4-FF54D94FF0DE}" name="20" dataDxfId="14"/>
    <tableColumn id="23" xr3:uid="{AD14F1D9-9E55-45AA-B4A2-1818BF759DAE}" name="21" dataDxfId="13"/>
    <tableColumn id="24" xr3:uid="{F2B88698-185D-4A48-97EA-F8EFDDAD72BF}" name="22" dataDxfId="12"/>
    <tableColumn id="25" xr3:uid="{B8973570-6012-4262-B5FD-8EEF022DF890}" name="23" dataDxfId="11"/>
    <tableColumn id="26" xr3:uid="{E827B17D-81FD-4D84-9085-E6639B3F35FE}" name="24" dataDxfId="10"/>
    <tableColumn id="27" xr3:uid="{3815741B-EB40-4D57-B2A4-A9F4EE879E6A}" name="25" dataDxfId="9"/>
    <tableColumn id="28" xr3:uid="{F8955C69-BF7C-495C-905E-99D43709BC80}" name="26" dataDxfId="8"/>
    <tableColumn id="29" xr3:uid="{79098358-5322-4A1D-8712-86C7B17E9213}" name="27" dataDxfId="7"/>
    <tableColumn id="30" xr3:uid="{E6CFD39A-1ED2-43F9-BFBF-C791CCB04A9E}" name="28" dataDxfId="6"/>
    <tableColumn id="31" xr3:uid="{E62E2785-E8E9-4A01-9D97-CF85F180873C}" name="29" dataDxfId="5"/>
    <tableColumn id="32" xr3:uid="{65102887-498C-436A-8E42-DC727EFD10A0}" name="30" dataDxfId="4"/>
    <tableColumn id="33" xr3:uid="{4637755B-6C5C-46DD-BB54-D0F3EBF35B4F}" name="31" dataDxfId="3"/>
    <tableColumn id="34" xr3:uid="{FEA34204-BADE-452D-84B0-6BEEA9F43059}" name="32" dataDxfId="2"/>
    <tableColumn id="35" xr3:uid="{BFB8BF03-1DBE-4511-881F-52CE8A998936}" name="33" dataDxfId="1"/>
    <tableColumn id="36" xr3:uid="{50189ABB-D345-4AE7-88FB-70610BDC7CC5}" name="34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FCBB898-FE8B-46B4-8324-0FAF7D6BB391}">
  <we:reference id="wa200005502" version="1.0.0.6" store="en-US" storeType="OMEX"/>
  <we:alternateReferences>
    <we:reference id="wa200005502" version="1.0.0.6" store="" storeType="OMEX"/>
  </we:alternateReferences>
  <we:properties>
    <we:property name="docId" value="&quot;70f8c725-633c-496d-ad3e-8f4e27e6c2a6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</we:customFunctionIdList>
    </a:ext>
  </we:extLst>
</we:webextension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52E968-DB83-4895-B9E0-5E875716AD7C}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C19430-94E6-400A-9F0C-95BF65E82B5E}">
  <sheetPr codeName="Sheet5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756EB8-0BB5-46BB-BE32-4748A4AF2F35}">
  <sheetPr codeName="Sheet8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K165"/>
  <sheetViews>
    <sheetView zoomScale="145" zoomScaleNormal="145" workbookViewId="0"/>
  </sheetViews>
  <sheetFormatPr defaultColWidth="9.140625" defaultRowHeight="15"/>
  <cols>
    <col min="1" max="1" width="29" customWidth="1"/>
    <col min="2" max="2" width="18.42578125" bestFit="1" customWidth="1"/>
    <col min="3" max="3" width="12.42578125" customWidth="1"/>
    <col min="4" max="4" width="20.42578125" customWidth="1"/>
    <col min="5" max="5" width="18.42578125" customWidth="1"/>
    <col min="6" max="6" width="21.5703125" customWidth="1"/>
    <col min="7" max="7" width="18.42578125" customWidth="1"/>
    <col min="8" max="8" width="22.28515625" customWidth="1"/>
    <col min="9" max="9" width="15.85546875" bestFit="1" customWidth="1"/>
    <col min="10" max="16" width="12.140625" customWidth="1"/>
    <col min="17" max="35" width="10" customWidth="1"/>
  </cols>
  <sheetData>
    <row r="1" spans="1:11" ht="15.75" thickBot="1">
      <c r="A1" s="575" t="s">
        <v>210</v>
      </c>
      <c r="B1" s="576"/>
      <c r="C1" s="6" t="s">
        <v>97</v>
      </c>
      <c r="D1" s="6" t="s">
        <v>98</v>
      </c>
      <c r="E1" s="6" t="s">
        <v>99</v>
      </c>
      <c r="F1" s="6"/>
      <c r="G1" s="6" t="s">
        <v>100</v>
      </c>
      <c r="H1" s="6" t="s">
        <v>132</v>
      </c>
      <c r="I1" s="6" t="s">
        <v>112</v>
      </c>
      <c r="J1" s="6" t="s">
        <v>181</v>
      </c>
      <c r="K1" s="6" t="s">
        <v>180</v>
      </c>
    </row>
    <row r="2" spans="1:11">
      <c r="A2">
        <v>6</v>
      </c>
      <c r="B2" s="527"/>
      <c r="C2" s="524"/>
      <c r="D2" s="525"/>
      <c r="E2" s="525"/>
      <c r="F2" s="525"/>
      <c r="G2" s="526"/>
      <c r="H2" s="73">
        <v>6</v>
      </c>
      <c r="J2" s="2" t="s">
        <v>182</v>
      </c>
      <c r="K2" t="s">
        <v>183</v>
      </c>
    </row>
    <row r="3" spans="1:11" s="1" customFormat="1">
      <c r="A3"/>
      <c r="B3" s="527"/>
      <c r="G3" s="529"/>
      <c r="H3" s="475"/>
      <c r="J3" s="2" t="s">
        <v>184</v>
      </c>
      <c r="K3" s="2" t="s">
        <v>185</v>
      </c>
    </row>
    <row r="4" spans="1:11">
      <c r="B4" s="527"/>
      <c r="G4" s="529"/>
      <c r="J4" s="2" t="s">
        <v>186</v>
      </c>
      <c r="K4" s="2" t="s">
        <v>187</v>
      </c>
    </row>
    <row r="5" spans="1:11">
      <c r="B5" s="527"/>
      <c r="G5" s="529"/>
      <c r="J5" s="518" t="s">
        <v>188</v>
      </c>
      <c r="K5" s="518" t="s">
        <v>189</v>
      </c>
    </row>
    <row r="6" spans="1:11">
      <c r="B6" s="527"/>
      <c r="G6" s="529"/>
      <c r="J6" s="2" t="s">
        <v>190</v>
      </c>
      <c r="K6" s="2" t="s">
        <v>191</v>
      </c>
    </row>
    <row r="7" spans="1:11">
      <c r="B7" s="527"/>
      <c r="G7" s="529"/>
      <c r="J7" s="2" t="s">
        <v>192</v>
      </c>
      <c r="K7" t="s">
        <v>193</v>
      </c>
    </row>
    <row r="8" spans="1:11">
      <c r="B8" s="527"/>
      <c r="E8" s="597"/>
      <c r="G8" s="529"/>
      <c r="J8" s="2" t="s">
        <v>194</v>
      </c>
      <c r="K8" t="s">
        <v>195</v>
      </c>
    </row>
    <row r="9" spans="1:11">
      <c r="B9" s="527"/>
      <c r="G9" s="529"/>
      <c r="J9" s="2" t="s">
        <v>196</v>
      </c>
      <c r="K9" t="s">
        <v>197</v>
      </c>
    </row>
    <row r="10" spans="1:11">
      <c r="B10" s="527"/>
      <c r="G10" s="528"/>
      <c r="J10" s="2" t="s">
        <v>198</v>
      </c>
      <c r="K10" s="2" t="s">
        <v>199</v>
      </c>
    </row>
    <row r="11" spans="1:11">
      <c r="B11" s="527"/>
      <c r="G11" s="529"/>
      <c r="J11" s="2" t="s">
        <v>200</v>
      </c>
      <c r="K11" s="2" t="s">
        <v>201</v>
      </c>
    </row>
    <row r="12" spans="1:11">
      <c r="B12" s="527"/>
      <c r="G12" s="528"/>
      <c r="J12" s="2" t="s">
        <v>3</v>
      </c>
    </row>
    <row r="13" spans="1:11">
      <c r="B13" s="527"/>
      <c r="G13" s="528"/>
    </row>
    <row r="14" spans="1:11">
      <c r="B14" s="527"/>
      <c r="G14" s="528"/>
    </row>
    <row r="15" spans="1:11">
      <c r="B15" s="527"/>
      <c r="G15" s="528"/>
    </row>
    <row r="16" spans="1:11">
      <c r="B16" s="527"/>
      <c r="G16" s="528"/>
    </row>
    <row r="17" spans="2:11">
      <c r="B17" s="527"/>
      <c r="G17" s="528"/>
    </row>
    <row r="18" spans="2:11">
      <c r="B18" s="527"/>
      <c r="G18" s="528"/>
    </row>
    <row r="19" spans="2:11">
      <c r="B19" s="527"/>
      <c r="G19" s="528"/>
    </row>
    <row r="20" spans="2:11">
      <c r="B20" s="527"/>
      <c r="G20" s="528"/>
    </row>
    <row r="21" spans="2:11">
      <c r="B21" s="527"/>
      <c r="G21" s="528"/>
    </row>
    <row r="22" spans="2:11">
      <c r="B22" s="527"/>
      <c r="G22" s="528"/>
    </row>
    <row r="23" spans="2:11">
      <c r="B23" s="527"/>
      <c r="G23" s="528"/>
    </row>
    <row r="24" spans="2:11">
      <c r="B24" s="527"/>
      <c r="G24" s="528"/>
    </row>
    <row r="25" spans="2:11">
      <c r="B25" s="527"/>
      <c r="G25" s="528"/>
    </row>
    <row r="26" spans="2:11">
      <c r="B26" s="527"/>
      <c r="G26" s="528"/>
    </row>
    <row r="27" spans="2:11">
      <c r="B27" s="527"/>
      <c r="G27" s="528"/>
      <c r="K27">
        <v>5</v>
      </c>
    </row>
    <row r="28" spans="2:11">
      <c r="B28" s="527"/>
      <c r="G28" s="528"/>
    </row>
    <row r="29" spans="2:11">
      <c r="B29" s="527"/>
      <c r="G29" s="528"/>
    </row>
    <row r="30" spans="2:11">
      <c r="B30" s="527"/>
      <c r="G30" s="528"/>
    </row>
    <row r="31" spans="2:11">
      <c r="B31" s="527"/>
      <c r="G31" s="528"/>
    </row>
    <row r="32" spans="2:11">
      <c r="B32" s="527"/>
      <c r="G32" s="528"/>
    </row>
    <row r="33" spans="2:7">
      <c r="B33" s="527"/>
      <c r="G33" s="528"/>
    </row>
    <row r="34" spans="2:7">
      <c r="B34" s="527"/>
      <c r="G34" s="528"/>
    </row>
    <row r="35" spans="2:7">
      <c r="B35" s="527"/>
      <c r="G35" s="528"/>
    </row>
    <row r="36" spans="2:7">
      <c r="B36" s="527"/>
      <c r="G36" s="528"/>
    </row>
    <row r="37" spans="2:7">
      <c r="B37" s="527"/>
      <c r="G37" s="528"/>
    </row>
    <row r="38" spans="2:7">
      <c r="B38" s="527"/>
      <c r="G38" s="528"/>
    </row>
    <row r="39" spans="2:7">
      <c r="B39" s="527"/>
      <c r="G39" s="528"/>
    </row>
    <row r="40" spans="2:7">
      <c r="B40" s="527"/>
      <c r="G40" s="528"/>
    </row>
    <row r="41" spans="2:7">
      <c r="B41" s="527"/>
      <c r="G41" s="528"/>
    </row>
    <row r="42" spans="2:7">
      <c r="B42" s="527"/>
      <c r="G42" s="528"/>
    </row>
    <row r="43" spans="2:7">
      <c r="B43" s="527"/>
      <c r="G43" s="528"/>
    </row>
    <row r="44" spans="2:7">
      <c r="B44" s="527"/>
      <c r="G44" s="528"/>
    </row>
    <row r="45" spans="2:7">
      <c r="B45" s="527"/>
      <c r="G45" s="528"/>
    </row>
    <row r="46" spans="2:7">
      <c r="B46" s="527"/>
      <c r="G46" s="528"/>
    </row>
    <row r="47" spans="2:7">
      <c r="B47" s="527"/>
      <c r="G47" s="528"/>
    </row>
    <row r="48" spans="2:7">
      <c r="B48" s="527"/>
      <c r="G48" s="528"/>
    </row>
    <row r="49" spans="2:7">
      <c r="B49" s="527"/>
      <c r="G49" s="528"/>
    </row>
    <row r="50" spans="2:7">
      <c r="B50" s="527"/>
      <c r="G50" s="528"/>
    </row>
    <row r="51" spans="2:7">
      <c r="B51" s="527"/>
      <c r="G51" s="528"/>
    </row>
    <row r="52" spans="2:7">
      <c r="B52" s="527"/>
      <c r="G52" s="528"/>
    </row>
    <row r="53" spans="2:7">
      <c r="B53" s="527"/>
      <c r="G53" s="528"/>
    </row>
    <row r="54" spans="2:7">
      <c r="B54" s="527"/>
      <c r="G54" s="528"/>
    </row>
    <row r="55" spans="2:7">
      <c r="B55" s="527"/>
      <c r="G55" s="528"/>
    </row>
    <row r="56" spans="2:7">
      <c r="B56" s="527"/>
      <c r="G56" s="528"/>
    </row>
    <row r="57" spans="2:7">
      <c r="B57" s="527"/>
      <c r="G57" s="528"/>
    </row>
    <row r="58" spans="2:7">
      <c r="B58" s="527"/>
      <c r="G58" s="528"/>
    </row>
    <row r="59" spans="2:7">
      <c r="B59" s="527"/>
      <c r="G59" s="528"/>
    </row>
    <row r="60" spans="2:7">
      <c r="B60" s="527"/>
      <c r="G60" s="528"/>
    </row>
    <row r="61" spans="2:7">
      <c r="B61" s="527"/>
      <c r="G61" s="528"/>
    </row>
    <row r="62" spans="2:7">
      <c r="B62" s="527"/>
      <c r="G62" s="528"/>
    </row>
    <row r="63" spans="2:7">
      <c r="B63" s="527"/>
      <c r="G63" s="528"/>
    </row>
    <row r="64" spans="2:7" ht="15.75" thickBot="1">
      <c r="B64" s="530"/>
      <c r="C64" s="531"/>
      <c r="D64" s="531"/>
      <c r="E64" s="531"/>
      <c r="F64" s="531"/>
      <c r="G64" s="532"/>
    </row>
    <row r="95" spans="5:5">
      <c r="E95" s="2"/>
    </row>
    <row r="96" spans="5:5">
      <c r="E96" s="2"/>
    </row>
    <row r="97" spans="5:5">
      <c r="E97" s="2"/>
    </row>
    <row r="98" spans="5:5">
      <c r="E98" s="2"/>
    </row>
    <row r="99" spans="5:5">
      <c r="E99" s="2"/>
    </row>
    <row r="162" spans="1:1">
      <c r="A162" s="2"/>
    </row>
    <row r="163" spans="1:1">
      <c r="A163" s="2"/>
    </row>
    <row r="164" spans="1:1">
      <c r="A164" s="2"/>
    </row>
    <row r="165" spans="1:1">
      <c r="A165" s="2"/>
    </row>
  </sheetData>
  <sortState xmlns:xlrd2="http://schemas.microsoft.com/office/spreadsheetml/2017/richdata2" ref="J3:K12">
    <sortCondition ref="K12"/>
  </sortState>
  <phoneticPr fontId="24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theme="0" tint="-0.249977111117893"/>
  </sheetPr>
  <dimension ref="A1:BM427"/>
  <sheetViews>
    <sheetView showGridLines="0" tabSelected="1" zoomScale="85" zoomScaleNormal="85" workbookViewId="0">
      <selection activeCell="J4" sqref="J4"/>
    </sheetView>
  </sheetViews>
  <sheetFormatPr defaultRowHeight="15"/>
  <cols>
    <col min="1" max="1" width="1.5703125" style="11" customWidth="1"/>
    <col min="2" max="2" width="1.5703125" customWidth="1"/>
    <col min="3" max="3" width="0.42578125" customWidth="1"/>
    <col min="4" max="4" width="18.5703125" customWidth="1"/>
    <col min="5" max="5" width="22.85546875" customWidth="1"/>
    <col min="6" max="6" width="2.28515625" customWidth="1"/>
    <col min="7" max="7" width="22.28515625" customWidth="1"/>
    <col min="8" max="8" width="23.5703125" customWidth="1"/>
    <col min="9" max="9" width="26.85546875" customWidth="1"/>
    <col min="10" max="10" width="18.28515625" customWidth="1"/>
    <col min="11" max="11" width="27.85546875" style="11" customWidth="1"/>
    <col min="12" max="12" width="13.140625" style="11" customWidth="1"/>
    <col min="13" max="13" width="11" style="11" customWidth="1"/>
    <col min="14" max="14" width="14.85546875" style="11" customWidth="1"/>
    <col min="15" max="15" width="12.42578125" style="11" customWidth="1"/>
    <col min="16" max="16" width="8" style="11" customWidth="1"/>
    <col min="17" max="17" width="1.7109375" style="11" customWidth="1"/>
    <col min="18" max="18" width="9.140625" style="11"/>
    <col min="19" max="19" width="31.42578125" style="11" customWidth="1"/>
    <col min="20" max="20" width="23.5703125" style="11" customWidth="1"/>
    <col min="21" max="21" width="21.140625" style="11" customWidth="1"/>
    <col min="22" max="22" width="21.42578125" style="11" customWidth="1"/>
    <col min="23" max="23" width="33.85546875" style="11" customWidth="1"/>
    <col min="24" max="24" width="21.140625" style="11" customWidth="1"/>
    <col min="25" max="65" width="9.140625" style="11"/>
  </cols>
  <sheetData>
    <row r="1" spans="1:17" s="11" customFormat="1" ht="47.45" customHeight="1">
      <c r="A1" s="515"/>
      <c r="B1" s="465"/>
      <c r="C1" s="465"/>
      <c r="D1" s="465"/>
      <c r="E1" s="516" t="s">
        <v>121</v>
      </c>
      <c r="F1" s="465"/>
      <c r="G1" s="595" t="s">
        <v>211</v>
      </c>
      <c r="H1" s="596" t="s">
        <v>212</v>
      </c>
      <c r="I1" s="465"/>
      <c r="J1" s="465"/>
      <c r="K1" s="465"/>
      <c r="L1" s="465"/>
      <c r="M1" s="465"/>
      <c r="N1" s="465"/>
      <c r="O1" s="465"/>
      <c r="P1" s="465"/>
      <c r="Q1" s="465"/>
    </row>
    <row r="2" spans="1:17" ht="39.75" customHeight="1">
      <c r="B2" s="2"/>
      <c r="K2"/>
      <c r="L2"/>
      <c r="M2"/>
      <c r="N2"/>
      <c r="O2"/>
      <c r="P2"/>
      <c r="Q2"/>
    </row>
    <row r="3" spans="1:17" ht="11.25" customHeight="1">
      <c r="B3" s="2"/>
      <c r="I3" s="92"/>
      <c r="K3" s="13"/>
      <c r="L3" s="13"/>
      <c r="M3"/>
      <c r="N3" s="13"/>
      <c r="O3" s="13"/>
      <c r="P3" s="13"/>
      <c r="Q3" s="13"/>
    </row>
    <row r="4" spans="1:17" ht="30.75" customHeight="1">
      <c r="C4" s="15"/>
      <c r="D4" s="14"/>
      <c r="E4" s="14"/>
      <c r="F4" s="14"/>
      <c r="G4" s="14"/>
      <c r="H4" s="14"/>
      <c r="I4" s="466"/>
      <c r="J4" s="93"/>
      <c r="K4" s="93"/>
      <c r="L4" s="93"/>
      <c r="M4" s="466"/>
      <c r="N4" s="466"/>
      <c r="O4" s="466"/>
      <c r="P4" s="13"/>
      <c r="Q4" s="13"/>
    </row>
    <row r="5" spans="1:17">
      <c r="C5" s="12"/>
      <c r="D5" s="16"/>
      <c r="E5" s="16"/>
      <c r="F5" s="16"/>
      <c r="G5" s="16"/>
      <c r="H5" s="17"/>
      <c r="I5" s="93"/>
      <c r="J5" s="93"/>
      <c r="K5" s="93"/>
      <c r="L5" s="93" t="s">
        <v>131</v>
      </c>
      <c r="M5"/>
      <c r="N5"/>
      <c r="O5"/>
      <c r="P5" s="13"/>
      <c r="Q5" s="13"/>
    </row>
    <row r="6" spans="1:17" ht="50.25" customHeight="1">
      <c r="G6" s="13"/>
      <c r="K6"/>
      <c r="L6"/>
      <c r="M6"/>
      <c r="N6"/>
      <c r="O6"/>
      <c r="P6"/>
      <c r="Q6" s="13"/>
    </row>
    <row r="7" spans="1:17" ht="31.5" customHeight="1">
      <c r="D7" s="388" t="s">
        <v>1</v>
      </c>
      <c r="E7" s="388" t="s">
        <v>124</v>
      </c>
      <c r="G7" s="13"/>
      <c r="I7" s="92"/>
      <c r="J7" s="92"/>
      <c r="K7" s="92"/>
      <c r="L7"/>
      <c r="M7"/>
      <c r="N7"/>
      <c r="O7"/>
      <c r="P7" s="13"/>
      <c r="Q7" s="13"/>
    </row>
    <row r="8" spans="1:17" ht="17.25" customHeight="1">
      <c r="B8" s="13"/>
      <c r="C8" s="13"/>
      <c r="D8" s="10" t="s">
        <v>2</v>
      </c>
      <c r="E8" s="483" t="s">
        <v>131</v>
      </c>
      <c r="F8" s="13"/>
      <c r="G8" s="13"/>
      <c r="H8" s="13"/>
      <c r="I8" s="435" t="s">
        <v>4</v>
      </c>
      <c r="J8" s="470"/>
      <c r="K8" s="13"/>
      <c r="L8"/>
      <c r="M8"/>
      <c r="N8"/>
      <c r="O8"/>
      <c r="P8" s="13"/>
      <c r="Q8" s="13"/>
    </row>
    <row r="9" spans="1:17" s="11" customFormat="1">
      <c r="B9" s="13"/>
      <c r="C9" s="13"/>
      <c r="D9" s="13"/>
      <c r="E9" s="13"/>
      <c r="F9" s="13"/>
      <c r="G9" s="13"/>
      <c r="H9" s="13"/>
      <c r="I9" s="599" t="s">
        <v>131</v>
      </c>
      <c r="J9" s="600"/>
      <c r="K9" s="469"/>
      <c r="L9"/>
      <c r="M9"/>
      <c r="N9"/>
      <c r="O9"/>
      <c r="P9" s="13"/>
      <c r="Q9" s="13"/>
    </row>
    <row r="10" spans="1:17" s="11" customFormat="1">
      <c r="B10" s="13"/>
      <c r="C10" s="13"/>
      <c r="D10" s="13"/>
      <c r="E10" s="13"/>
      <c r="F10" s="13"/>
      <c r="G10" s="13"/>
      <c r="H10" s="13"/>
      <c r="I10" s="438" t="s">
        <v>5</v>
      </c>
      <c r="J10" s="436"/>
      <c r="K10" s="13"/>
      <c r="L10"/>
      <c r="M10"/>
      <c r="N10"/>
      <c r="O10"/>
      <c r="P10" s="13"/>
      <c r="Q10" s="13"/>
    </row>
    <row r="11" spans="1:17" s="11" customFormat="1">
      <c r="B11" s="13"/>
      <c r="C11" s="13"/>
      <c r="D11" s="13"/>
      <c r="E11" s="93"/>
      <c r="F11" s="13"/>
      <c r="G11" s="13"/>
      <c r="H11" s="13"/>
      <c r="I11" s="601" t="s">
        <v>131</v>
      </c>
      <c r="J11" s="602"/>
      <c r="K11" s="467"/>
      <c r="L11"/>
      <c r="M11"/>
      <c r="N11"/>
      <c r="O11"/>
      <c r="P11" s="13"/>
      <c r="Q11" s="13"/>
    </row>
    <row r="12" spans="1:17" s="11" customFormat="1">
      <c r="B12" s="13"/>
      <c r="C12" s="13"/>
      <c r="D12" s="13"/>
      <c r="E12" s="13"/>
      <c r="F12" s="13"/>
      <c r="G12" s="13"/>
      <c r="H12" s="13"/>
      <c r="I12" s="437" t="s">
        <v>6</v>
      </c>
      <c r="J12" s="436"/>
      <c r="K12" s="13"/>
      <c r="L12"/>
      <c r="M12"/>
      <c r="N12"/>
      <c r="O12"/>
      <c r="P12" s="13"/>
      <c r="Q12" s="13"/>
    </row>
    <row r="13" spans="1:17" s="11" customFormat="1" ht="15" customHeight="1">
      <c r="B13" s="13"/>
      <c r="C13" s="440"/>
      <c r="D13" s="13"/>
      <c r="E13" s="13"/>
      <c r="F13" s="13"/>
      <c r="G13" s="13"/>
      <c r="H13"/>
      <c r="I13" s="603" t="s">
        <v>131</v>
      </c>
      <c r="J13" s="604"/>
      <c r="K13" s="468"/>
      <c r="L13"/>
      <c r="M13"/>
      <c r="N13"/>
      <c r="O13"/>
      <c r="P13" s="13"/>
      <c r="Q13" s="13"/>
    </row>
    <row r="14" spans="1:17" s="11" customFormat="1">
      <c r="B14" s="13"/>
      <c r="C14" s="13"/>
      <c r="D14" s="13"/>
      <c r="E14" s="13"/>
      <c r="F14" s="13"/>
      <c r="G14" s="13"/>
      <c r="H14" s="13"/>
      <c r="I14" s="437" t="s">
        <v>7</v>
      </c>
      <c r="J14" s="436"/>
      <c r="K14" s="13"/>
      <c r="L14"/>
      <c r="M14"/>
      <c r="N14"/>
      <c r="O14"/>
      <c r="P14" s="13"/>
      <c r="Q14" s="13"/>
    </row>
    <row r="15" spans="1:17" s="11" customFormat="1" ht="26.45" customHeight="1">
      <c r="B15" s="13"/>
      <c r="C15" s="13"/>
      <c r="D15" s="13"/>
      <c r="E15" s="13"/>
      <c r="F15" s="93"/>
      <c r="G15" s="13"/>
      <c r="H15" s="13"/>
      <c r="I15" s="603" t="s">
        <v>131</v>
      </c>
      <c r="J15" s="604"/>
      <c r="K15" s="468"/>
      <c r="L15"/>
      <c r="M15"/>
      <c r="N15"/>
      <c r="O15"/>
      <c r="P15" s="13"/>
      <c r="Q15" s="13"/>
    </row>
    <row r="16" spans="1:17" s="11" customFormat="1">
      <c r="B16" s="13"/>
      <c r="C16" s="13"/>
      <c r="D16" s="13"/>
      <c r="E16" s="13"/>
      <c r="F16" s="13"/>
      <c r="G16" s="13"/>
      <c r="H16" s="13"/>
      <c r="I16" s="603"/>
      <c r="J16" s="604"/>
      <c r="K16" s="468"/>
      <c r="L16" s="13"/>
      <c r="M16" s="13"/>
      <c r="N16" s="13"/>
      <c r="O16" s="13"/>
      <c r="P16" s="13"/>
      <c r="Q16" s="13"/>
    </row>
    <row r="17" spans="2:17" s="11" customFormat="1">
      <c r="B17" s="13"/>
      <c r="C17" s="13"/>
      <c r="D17" s="13"/>
      <c r="E17" s="13"/>
      <c r="F17" s="13"/>
      <c r="G17" s="13"/>
      <c r="H17" s="13"/>
      <c r="I17" s="603"/>
      <c r="J17" s="604"/>
      <c r="K17" s="468"/>
      <c r="L17" s="13"/>
      <c r="M17" s="13"/>
      <c r="N17" s="13"/>
      <c r="O17" s="13"/>
      <c r="P17" s="13"/>
      <c r="Q17" s="13"/>
    </row>
    <row r="18" spans="2:17" s="11" customFormat="1">
      <c r="B18" s="13"/>
      <c r="C18" s="13"/>
      <c r="D18" s="13"/>
      <c r="E18" s="13"/>
      <c r="F18" s="13"/>
      <c r="G18" s="13"/>
      <c r="H18" s="13"/>
      <c r="I18" s="603"/>
      <c r="J18" s="604"/>
      <c r="K18" s="468"/>
      <c r="L18" s="13"/>
      <c r="M18" s="13"/>
      <c r="N18" s="13"/>
      <c r="O18" s="13"/>
      <c r="P18" s="13"/>
      <c r="Q18" s="13"/>
    </row>
    <row r="19" spans="2:17" s="11" customFormat="1">
      <c r="B19" s="13"/>
      <c r="C19" s="13"/>
      <c r="D19" s="13"/>
      <c r="E19" s="13"/>
      <c r="F19" s="13"/>
      <c r="G19" s="13"/>
      <c r="H19" s="13"/>
      <c r="I19" s="603"/>
      <c r="J19" s="604"/>
      <c r="K19" s="468"/>
      <c r="L19" s="13"/>
      <c r="M19" s="13"/>
      <c r="N19" s="13"/>
      <c r="O19" s="13"/>
      <c r="P19" s="13"/>
      <c r="Q19" s="13"/>
    </row>
    <row r="20" spans="2:17" s="11" customFormat="1">
      <c r="B20" s="13"/>
      <c r="C20" s="13"/>
      <c r="D20" s="13"/>
      <c r="E20" s="13"/>
      <c r="F20" s="13"/>
      <c r="G20" s="13"/>
      <c r="H20" s="13"/>
      <c r="I20" s="468"/>
      <c r="J20" s="468"/>
      <c r="K20" s="468"/>
      <c r="L20" s="13"/>
      <c r="M20" s="13"/>
      <c r="N20" s="13"/>
      <c r="O20" s="13"/>
      <c r="P20" s="13"/>
      <c r="Q20" s="13"/>
    </row>
    <row r="21" spans="2:17" s="11" customFormat="1">
      <c r="B21" s="13"/>
      <c r="C21" s="13"/>
      <c r="D21" s="13"/>
      <c r="E21" s="13"/>
      <c r="F21" s="13"/>
      <c r="G21" s="13"/>
      <c r="H21" s="13"/>
      <c r="I21" s="468"/>
      <c r="J21" s="468"/>
      <c r="K21" s="468"/>
      <c r="L21" s="13"/>
      <c r="M21" s="13"/>
      <c r="N21" s="13"/>
      <c r="O21" s="13"/>
      <c r="P21" s="13"/>
      <c r="Q21" s="13"/>
    </row>
    <row r="22" spans="2:17" s="11" customFormat="1">
      <c r="B22" s="13"/>
      <c r="C22" s="13"/>
      <c r="D22" s="13"/>
      <c r="E22" s="13"/>
      <c r="F22" s="13"/>
      <c r="G22" s="13"/>
      <c r="H22" s="13"/>
      <c r="I22" s="468"/>
      <c r="J22" s="468"/>
      <c r="K22" s="468"/>
      <c r="L22" s="13"/>
      <c r="M22" s="13"/>
      <c r="N22" s="13"/>
      <c r="O22" s="13"/>
      <c r="P22" s="13"/>
      <c r="Q22" s="13"/>
    </row>
    <row r="23" spans="2:17" s="11" customFormat="1" ht="12.6" customHeight="1">
      <c r="B23" s="13"/>
      <c r="C23" s="13"/>
      <c r="D23" s="13"/>
      <c r="E23" s="13"/>
      <c r="F23" s="13"/>
      <c r="G23" s="13"/>
      <c r="H23" s="13"/>
      <c r="I23" s="468"/>
      <c r="J23" s="468"/>
      <c r="K23" s="468"/>
      <c r="L23" s="13"/>
      <c r="M23" s="13"/>
      <c r="N23" s="13"/>
      <c r="O23" s="13"/>
      <c r="P23" s="13"/>
      <c r="Q23" s="13"/>
    </row>
    <row r="24" spans="2:17" s="11" customFormat="1" ht="49.15" customHeight="1">
      <c r="B24" s="13"/>
      <c r="C24" s="13"/>
      <c r="D24" s="13"/>
      <c r="E24" s="13"/>
      <c r="F24" s="13"/>
      <c r="G24" s="13"/>
      <c r="H24" s="13"/>
      <c r="I24" s="466"/>
      <c r="J24" s="466"/>
      <c r="K24" s="466"/>
      <c r="L24" s="13"/>
      <c r="M24" s="13"/>
      <c r="N24" s="13"/>
      <c r="O24" s="13"/>
      <c r="P24" s="13"/>
      <c r="Q24" s="13"/>
    </row>
    <row r="25" spans="2:17" s="11" customFormat="1"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</row>
    <row r="26" spans="2:17" s="11" customFormat="1"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</row>
    <row r="27" spans="2:17" s="11" customFormat="1">
      <c r="B27" s="13"/>
      <c r="C27" s="13"/>
      <c r="D27" s="13"/>
      <c r="E27" s="13"/>
      <c r="F27" s="13"/>
      <c r="G27" s="13"/>
      <c r="H27" s="13"/>
      <c r="I27" s="13"/>
      <c r="J27" s="473" t="s">
        <v>11</v>
      </c>
      <c r="K27" s="484">
        <v>5</v>
      </c>
      <c r="L27" s="13" t="s">
        <v>131</v>
      </c>
      <c r="M27" s="13" t="s">
        <v>131</v>
      </c>
      <c r="N27" s="13" t="s">
        <v>131</v>
      </c>
      <c r="O27" s="13"/>
      <c r="P27" s="13"/>
      <c r="Q27" s="13"/>
    </row>
    <row r="28" spans="2:17" s="11" customFormat="1">
      <c r="B28" s="13"/>
      <c r="C28" s="13"/>
      <c r="D28" s="13"/>
      <c r="E28" s="13"/>
      <c r="F28" s="13"/>
      <c r="G28" s="13"/>
      <c r="H28" s="13"/>
      <c r="I28" s="13"/>
      <c r="J28" s="473" t="s">
        <v>113</v>
      </c>
      <c r="K28" s="471" t="s">
        <v>3</v>
      </c>
      <c r="L28" s="13" t="s">
        <v>131</v>
      </c>
      <c r="M28" s="13" t="s">
        <v>131</v>
      </c>
      <c r="N28" s="13" t="s">
        <v>131</v>
      </c>
      <c r="O28" s="13"/>
      <c r="P28" s="13"/>
      <c r="Q28" s="13"/>
    </row>
    <row r="29" spans="2:17" s="11" customFormat="1" ht="30">
      <c r="B29" s="13"/>
      <c r="C29" s="13"/>
      <c r="D29" s="13"/>
      <c r="E29" s="13"/>
      <c r="F29" s="13"/>
      <c r="G29" s="13"/>
      <c r="H29" s="13"/>
      <c r="I29" s="13"/>
      <c r="J29" s="472" t="s">
        <v>202</v>
      </c>
      <c r="K29" s="471" t="s">
        <v>131</v>
      </c>
      <c r="L29" s="13" t="s">
        <v>131</v>
      </c>
      <c r="M29" s="13" t="s">
        <v>131</v>
      </c>
      <c r="N29" s="13" t="s">
        <v>131</v>
      </c>
      <c r="O29" s="13"/>
      <c r="P29" s="13"/>
      <c r="Q29" s="13"/>
    </row>
    <row r="30" spans="2:17" s="11" customFormat="1">
      <c r="B30" s="13"/>
      <c r="C30" s="13"/>
      <c r="D30" s="13"/>
      <c r="E30" s="13"/>
      <c r="F30" s="13"/>
      <c r="G30" s="13"/>
      <c r="H30" s="13"/>
      <c r="I30" s="13"/>
      <c r="J30" s="446"/>
      <c r="K30" s="13" t="s">
        <v>131</v>
      </c>
      <c r="L30" s="13" t="s">
        <v>131</v>
      </c>
      <c r="M30" s="13" t="s">
        <v>131</v>
      </c>
      <c r="N30" s="13" t="s">
        <v>131</v>
      </c>
      <c r="O30" s="13"/>
      <c r="P30" s="13"/>
      <c r="Q30" s="13"/>
    </row>
    <row r="31" spans="2:17" s="11" customFormat="1">
      <c r="B31" s="13"/>
      <c r="C31" s="13"/>
      <c r="D31" s="13"/>
      <c r="E31" s="13"/>
      <c r="F31" s="13"/>
      <c r="G31" s="13"/>
      <c r="H31" s="13"/>
      <c r="I31" s="13"/>
      <c r="J31" s="445"/>
      <c r="K31" s="13" t="s">
        <v>131</v>
      </c>
      <c r="L31" s="13" t="s">
        <v>131</v>
      </c>
      <c r="M31" s="13" t="s">
        <v>131</v>
      </c>
      <c r="N31" s="13" t="s">
        <v>131</v>
      </c>
      <c r="O31" s="13"/>
      <c r="P31" s="13"/>
      <c r="Q31" s="13"/>
    </row>
    <row r="32" spans="2:17" s="11" customFormat="1">
      <c r="B32" s="13"/>
      <c r="C32" s="13"/>
      <c r="D32" s="13"/>
      <c r="E32" s="13"/>
      <c r="F32" s="13"/>
      <c r="G32" s="13"/>
      <c r="H32" s="13"/>
      <c r="I32" s="13"/>
      <c r="J32" s="445"/>
      <c r="K32" s="13" t="s">
        <v>131</v>
      </c>
      <c r="L32" s="13" t="s">
        <v>131</v>
      </c>
      <c r="M32" s="13" t="s">
        <v>131</v>
      </c>
      <c r="N32" s="13" t="s">
        <v>131</v>
      </c>
      <c r="O32" s="13"/>
      <c r="P32" s="13"/>
      <c r="Q32" s="13"/>
    </row>
    <row r="33" spans="2:17" s="11" customFormat="1">
      <c r="B33" s="13"/>
      <c r="C33" s="13"/>
      <c r="D33" s="13"/>
      <c r="E33" s="13"/>
      <c r="F33" s="13"/>
      <c r="G33" s="13"/>
      <c r="H33" s="13"/>
      <c r="I33" s="13"/>
      <c r="J33" s="445"/>
      <c r="K33" s="13" t="s">
        <v>131</v>
      </c>
      <c r="L33" s="13" t="s">
        <v>131</v>
      </c>
      <c r="M33" s="13" t="s">
        <v>131</v>
      </c>
      <c r="N33" s="13" t="s">
        <v>131</v>
      </c>
      <c r="O33" s="13"/>
      <c r="P33" s="13"/>
      <c r="Q33" s="13"/>
    </row>
    <row r="34" spans="2:17" s="11" customFormat="1">
      <c r="B34" s="13"/>
      <c r="C34" s="13"/>
      <c r="D34" s="13"/>
      <c r="E34" s="13"/>
      <c r="F34" s="13"/>
      <c r="G34" s="13"/>
      <c r="H34" s="13"/>
      <c r="I34" s="13"/>
      <c r="J34" s="445"/>
      <c r="K34" s="13" t="s">
        <v>131</v>
      </c>
      <c r="L34" s="13" t="s">
        <v>131</v>
      </c>
      <c r="M34" s="13" t="s">
        <v>131</v>
      </c>
      <c r="N34" s="13" t="s">
        <v>131</v>
      </c>
      <c r="O34" s="13"/>
      <c r="P34" s="13"/>
      <c r="Q34" s="13"/>
    </row>
    <row r="35" spans="2:17" s="11" customFormat="1">
      <c r="B35" s="13"/>
      <c r="C35" s="13"/>
      <c r="D35" s="13"/>
      <c r="E35" s="13"/>
      <c r="F35" s="13"/>
      <c r="G35" s="13"/>
      <c r="H35" s="13"/>
      <c r="I35" s="13"/>
      <c r="J35" s="445"/>
      <c r="K35" s="13" t="s">
        <v>131</v>
      </c>
      <c r="L35" s="13" t="s">
        <v>131</v>
      </c>
      <c r="M35" s="13" t="s">
        <v>131</v>
      </c>
      <c r="N35" s="13" t="s">
        <v>131</v>
      </c>
      <c r="O35" s="13"/>
      <c r="P35" s="13"/>
      <c r="Q35" s="13"/>
    </row>
    <row r="36" spans="2:17" s="11" customFormat="1">
      <c r="B36" s="13"/>
      <c r="C36" s="13"/>
      <c r="D36" s="13"/>
      <c r="E36" s="13"/>
      <c r="F36" s="13"/>
      <c r="G36" s="13"/>
      <c r="H36" s="13"/>
      <c r="I36" s="13"/>
      <c r="J36" s="445"/>
      <c r="K36" s="13" t="s">
        <v>131</v>
      </c>
      <c r="L36" s="13" t="s">
        <v>131</v>
      </c>
      <c r="M36" s="13" t="s">
        <v>131</v>
      </c>
      <c r="N36" s="13" t="s">
        <v>131</v>
      </c>
      <c r="O36" s="13"/>
      <c r="P36" s="13"/>
      <c r="Q36" s="13"/>
    </row>
    <row r="37" spans="2:17" s="11" customFormat="1">
      <c r="B37" s="13"/>
      <c r="C37" s="13"/>
      <c r="D37" s="13"/>
      <c r="E37" s="13"/>
      <c r="F37" s="13"/>
      <c r="G37" s="13"/>
      <c r="H37" s="13"/>
      <c r="I37" s="13"/>
      <c r="J37" s="445"/>
      <c r="K37" s="13" t="s">
        <v>131</v>
      </c>
      <c r="L37" s="13" t="s">
        <v>131</v>
      </c>
      <c r="M37" s="13" t="s">
        <v>131</v>
      </c>
      <c r="N37" s="13" t="s">
        <v>131</v>
      </c>
      <c r="O37" s="13"/>
      <c r="P37" s="13"/>
      <c r="Q37" s="13"/>
    </row>
    <row r="38" spans="2:17" s="11" customFormat="1">
      <c r="B38" s="13"/>
      <c r="C38" s="13"/>
      <c r="D38" s="13"/>
      <c r="E38" s="13"/>
      <c r="F38" s="13"/>
      <c r="G38" s="13"/>
      <c r="H38" s="13"/>
      <c r="I38" s="13"/>
      <c r="J38" s="445"/>
      <c r="K38" s="13" t="s">
        <v>131</v>
      </c>
      <c r="L38" s="13" t="s">
        <v>131</v>
      </c>
      <c r="M38" s="13" t="s">
        <v>131</v>
      </c>
      <c r="N38" s="13" t="s">
        <v>131</v>
      </c>
      <c r="O38" s="13"/>
      <c r="P38" s="13"/>
      <c r="Q38" s="13"/>
    </row>
    <row r="39" spans="2:17" s="11" customFormat="1" ht="19.350000000000001" customHeight="1">
      <c r="B39" s="13"/>
      <c r="C39" s="13"/>
      <c r="D39" s="13"/>
      <c r="E39" s="13"/>
      <c r="F39" s="13"/>
      <c r="G39" s="13"/>
      <c r="H39" s="13"/>
      <c r="I39" s="13"/>
      <c r="J39" s="445"/>
      <c r="K39" s="13" t="s">
        <v>131</v>
      </c>
      <c r="L39" s="13" t="s">
        <v>131</v>
      </c>
      <c r="M39" s="13" t="s">
        <v>131</v>
      </c>
      <c r="N39" s="13" t="s">
        <v>131</v>
      </c>
      <c r="O39" s="13"/>
      <c r="P39" s="13"/>
      <c r="Q39" s="13"/>
    </row>
    <row r="40" spans="2:17" s="11" customFormat="1">
      <c r="B40" s="13"/>
      <c r="C40" s="13"/>
      <c r="D40" s="13"/>
      <c r="E40" s="13"/>
      <c r="F40" s="13"/>
      <c r="G40" s="13"/>
      <c r="H40" s="13"/>
      <c r="I40" s="13"/>
      <c r="J40" s="445"/>
      <c r="K40" s="13" t="s">
        <v>131</v>
      </c>
      <c r="L40" s="13" t="s">
        <v>131</v>
      </c>
      <c r="M40" s="13" t="s">
        <v>131</v>
      </c>
      <c r="N40" s="13" t="s">
        <v>131</v>
      </c>
      <c r="O40" s="13"/>
      <c r="P40" s="13"/>
      <c r="Q40" s="13"/>
    </row>
    <row r="41" spans="2:17" s="11" customFormat="1">
      <c r="B41" s="13"/>
      <c r="C41" s="13"/>
      <c r="D41" s="13"/>
      <c r="E41" s="13"/>
      <c r="F41" s="13"/>
      <c r="G41" s="13"/>
      <c r="H41" s="13"/>
      <c r="I41" s="13"/>
      <c r="J41" s="445"/>
      <c r="K41" s="13" t="s">
        <v>131</v>
      </c>
      <c r="L41" s="13" t="s">
        <v>131</v>
      </c>
      <c r="M41" s="13" t="s">
        <v>131</v>
      </c>
      <c r="N41" s="13" t="s">
        <v>131</v>
      </c>
      <c r="O41" s="13"/>
      <c r="P41" s="13"/>
      <c r="Q41" s="13"/>
    </row>
    <row r="42" spans="2:17" s="11" customFormat="1">
      <c r="B42" s="13"/>
      <c r="C42" s="13"/>
      <c r="D42" s="13"/>
      <c r="E42" s="13"/>
      <c r="F42" s="13"/>
      <c r="G42" s="13"/>
      <c r="H42" s="13"/>
      <c r="I42" s="13"/>
      <c r="J42" s="445"/>
      <c r="K42" s="13" t="s">
        <v>131</v>
      </c>
      <c r="L42" s="13" t="s">
        <v>131</v>
      </c>
      <c r="M42" s="13" t="s">
        <v>131</v>
      </c>
      <c r="N42" s="13" t="s">
        <v>131</v>
      </c>
      <c r="O42" s="13"/>
      <c r="P42" s="13"/>
      <c r="Q42" s="13"/>
    </row>
    <row r="43" spans="2:17" s="11" customFormat="1">
      <c r="B43" s="13"/>
      <c r="C43" s="13"/>
      <c r="D43" s="13"/>
      <c r="E43" s="13"/>
      <c r="F43" s="13"/>
      <c r="G43" s="13"/>
      <c r="H43" s="13"/>
      <c r="I43" s="13"/>
      <c r="J43" s="445"/>
      <c r="K43" s="13" t="s">
        <v>131</v>
      </c>
      <c r="L43" s="13" t="s">
        <v>131</v>
      </c>
      <c r="M43" s="13" t="s">
        <v>131</v>
      </c>
      <c r="N43" s="13" t="s">
        <v>131</v>
      </c>
      <c r="O43" s="13"/>
      <c r="P43" s="13"/>
      <c r="Q43" s="13"/>
    </row>
    <row r="44" spans="2:17" s="11" customFormat="1">
      <c r="B44" s="13"/>
      <c r="C44" s="13"/>
      <c r="D44" s="13"/>
      <c r="E44" s="13"/>
      <c r="F44" s="13"/>
      <c r="G44" s="13"/>
      <c r="H44" s="13"/>
      <c r="I44" s="13"/>
      <c r="J44" s="445"/>
      <c r="K44" s="13" t="s">
        <v>131</v>
      </c>
      <c r="L44" s="13" t="s">
        <v>131</v>
      </c>
      <c r="M44" s="13" t="s">
        <v>131</v>
      </c>
      <c r="N44" s="13" t="s">
        <v>131</v>
      </c>
      <c r="O44" s="13"/>
      <c r="P44" s="13"/>
      <c r="Q44" s="13"/>
    </row>
    <row r="45" spans="2:17" s="11" customFormat="1">
      <c r="B45" s="13"/>
      <c r="C45" s="13"/>
      <c r="D45" s="13"/>
      <c r="E45" s="13"/>
      <c r="F45" s="13"/>
      <c r="G45" s="13"/>
      <c r="H45" s="13"/>
      <c r="I45" s="13"/>
      <c r="J45" s="445"/>
      <c r="K45" s="13" t="s">
        <v>131</v>
      </c>
      <c r="L45" s="13" t="s">
        <v>131</v>
      </c>
      <c r="M45" s="13" t="s">
        <v>131</v>
      </c>
      <c r="N45" s="13" t="s">
        <v>131</v>
      </c>
      <c r="O45" s="13"/>
      <c r="P45" s="13"/>
      <c r="Q45" s="13"/>
    </row>
    <row r="46" spans="2:17" s="11" customFormat="1">
      <c r="B46" s="13"/>
      <c r="C46" s="13"/>
      <c r="D46" s="13"/>
      <c r="E46" s="13"/>
      <c r="F46" s="13"/>
      <c r="G46" s="13"/>
      <c r="H46" s="13"/>
      <c r="I46" s="13"/>
      <c r="J46" s="445"/>
      <c r="K46" s="13" t="s">
        <v>131</v>
      </c>
      <c r="L46" s="13" t="s">
        <v>131</v>
      </c>
      <c r="M46" s="13" t="s">
        <v>131</v>
      </c>
      <c r="N46" s="13" t="s">
        <v>131</v>
      </c>
      <c r="O46" s="13"/>
      <c r="P46" s="13"/>
      <c r="Q46" s="13"/>
    </row>
    <row r="47" spans="2:17" s="11" customFormat="1">
      <c r="B47" s="13"/>
      <c r="C47" s="13"/>
      <c r="D47" s="13"/>
      <c r="E47" s="13"/>
      <c r="F47" s="13"/>
      <c r="G47" s="13"/>
      <c r="H47" s="13"/>
      <c r="I47" s="13"/>
      <c r="J47" s="445"/>
      <c r="K47" s="13" t="s">
        <v>131</v>
      </c>
      <c r="L47" s="13" t="s">
        <v>131</v>
      </c>
      <c r="M47" s="13" t="s">
        <v>131</v>
      </c>
      <c r="N47" s="13" t="s">
        <v>131</v>
      </c>
      <c r="O47" s="13"/>
      <c r="P47" s="13"/>
      <c r="Q47" s="13"/>
    </row>
    <row r="48" spans="2:17" s="11" customFormat="1">
      <c r="B48" s="13"/>
      <c r="C48" s="13"/>
      <c r="D48" s="13"/>
      <c r="E48" s="13"/>
      <c r="F48" s="13"/>
      <c r="G48" s="13"/>
      <c r="H48" s="13"/>
      <c r="I48" s="13"/>
      <c r="J48" s="445"/>
      <c r="K48" s="13" t="s">
        <v>131</v>
      </c>
      <c r="L48" s="13" t="s">
        <v>131</v>
      </c>
      <c r="M48" s="13" t="s">
        <v>131</v>
      </c>
      <c r="N48" s="13" t="s">
        <v>131</v>
      </c>
      <c r="O48" s="13"/>
      <c r="P48" s="13"/>
      <c r="Q48" s="13"/>
    </row>
    <row r="49" spans="2:17" s="11" customFormat="1" ht="43.5" customHeight="1"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</row>
    <row r="50" spans="2:17" s="11" customFormat="1"/>
    <row r="51" spans="2:17" s="11" customFormat="1"/>
    <row r="52" spans="2:17" s="11" customFormat="1"/>
    <row r="53" spans="2:17" s="11" customFormat="1"/>
    <row r="54" spans="2:17" s="11" customFormat="1"/>
    <row r="55" spans="2:17" s="11" customFormat="1"/>
    <row r="56" spans="2:17" s="11" customFormat="1"/>
    <row r="57" spans="2:17" s="11" customFormat="1"/>
    <row r="58" spans="2:17" s="11" customFormat="1"/>
    <row r="59" spans="2:17" s="11" customFormat="1"/>
    <row r="60" spans="2:17" s="11" customFormat="1"/>
    <row r="61" spans="2:17" s="11" customFormat="1"/>
    <row r="62" spans="2:17" s="11" customFormat="1"/>
    <row r="63" spans="2:17" s="11" customFormat="1"/>
    <row r="64" spans="2:17" s="11" customFormat="1"/>
    <row r="65" s="11" customFormat="1"/>
    <row r="66" s="11" customFormat="1"/>
    <row r="67" s="11" customFormat="1"/>
    <row r="68" s="11" customFormat="1"/>
    <row r="69" s="11" customFormat="1"/>
    <row r="70" s="11" customFormat="1"/>
    <row r="71" s="11" customFormat="1"/>
    <row r="72" s="11" customFormat="1"/>
    <row r="73" s="11" customFormat="1"/>
    <row r="74" s="11" customFormat="1"/>
    <row r="75" s="11" customFormat="1"/>
    <row r="76" s="11" customFormat="1" ht="14.45" customHeight="1"/>
    <row r="77" s="11" customFormat="1"/>
    <row r="78" s="11" customFormat="1"/>
    <row r="79" s="11" customFormat="1"/>
    <row r="80" s="11" customFormat="1" ht="14.45" customHeight="1"/>
    <row r="81" s="11" customFormat="1"/>
    <row r="82" s="11" customFormat="1"/>
    <row r="83" s="11" customFormat="1"/>
    <row r="84" s="11" customFormat="1"/>
    <row r="85" s="11" customFormat="1"/>
    <row r="86" s="11" customFormat="1"/>
    <row r="87" s="11" customFormat="1"/>
    <row r="88" s="11" customFormat="1"/>
    <row r="89" s="11" customFormat="1"/>
    <row r="90" s="11" customFormat="1"/>
    <row r="91" s="11" customFormat="1"/>
    <row r="92" s="11" customFormat="1"/>
    <row r="93" s="11" customFormat="1"/>
    <row r="94" s="11" customFormat="1"/>
    <row r="95" s="11" customFormat="1"/>
    <row r="96" s="11" customFormat="1"/>
    <row r="97" s="11" customFormat="1"/>
    <row r="98" s="11" customFormat="1"/>
    <row r="99" s="11" customFormat="1"/>
    <row r="100" s="11" customFormat="1"/>
    <row r="101" s="11" customFormat="1"/>
    <row r="102" s="11" customFormat="1"/>
    <row r="103" s="11" customFormat="1"/>
    <row r="104" s="11" customFormat="1"/>
    <row r="105" s="11" customFormat="1"/>
    <row r="106" s="11" customFormat="1"/>
    <row r="107" s="11" customFormat="1"/>
    <row r="108" s="11" customFormat="1"/>
    <row r="109" s="11" customFormat="1"/>
    <row r="110" s="11" customFormat="1"/>
    <row r="111" s="11" customFormat="1"/>
    <row r="112" s="11" customFormat="1"/>
    <row r="113" s="11" customFormat="1"/>
    <row r="114" s="11" customFormat="1"/>
    <row r="115" s="11" customFormat="1"/>
    <row r="116" s="11" customFormat="1"/>
    <row r="117" s="11" customFormat="1"/>
    <row r="118" s="11" customFormat="1"/>
    <row r="119" s="11" customFormat="1"/>
    <row r="120" s="11" customFormat="1"/>
    <row r="121" s="11" customFormat="1"/>
    <row r="122" s="11" customFormat="1"/>
    <row r="123" s="11" customFormat="1"/>
    <row r="124" s="11" customFormat="1"/>
    <row r="125" s="11" customFormat="1"/>
    <row r="126" s="11" customFormat="1"/>
    <row r="127" s="11" customFormat="1"/>
    <row r="128" s="11" customFormat="1"/>
    <row r="129" s="11" customFormat="1"/>
    <row r="130" s="11" customFormat="1"/>
    <row r="131" s="11" customFormat="1"/>
    <row r="132" s="11" customFormat="1"/>
    <row r="133" s="11" customFormat="1"/>
    <row r="134" s="11" customFormat="1"/>
    <row r="135" s="11" customFormat="1"/>
    <row r="136" s="11" customFormat="1"/>
    <row r="137" s="11" customFormat="1"/>
    <row r="138" s="11" customFormat="1"/>
    <row r="139" s="11" customFormat="1"/>
    <row r="140" s="11" customFormat="1"/>
    <row r="141" s="11" customFormat="1"/>
    <row r="142" s="11" customFormat="1"/>
    <row r="143" s="11" customFormat="1"/>
    <row r="144" s="11" customFormat="1"/>
    <row r="145" s="11" customFormat="1"/>
    <row r="146" s="11" customFormat="1"/>
    <row r="147" s="11" customFormat="1"/>
    <row r="148" s="11" customFormat="1"/>
    <row r="149" s="11" customFormat="1" ht="19.350000000000001" customHeight="1"/>
    <row r="150" s="11" customFormat="1"/>
    <row r="151" s="11" customFormat="1"/>
    <row r="152" s="11" customFormat="1"/>
    <row r="153" s="11" customFormat="1" ht="19.350000000000001" customHeight="1"/>
    <row r="154" s="11" customFormat="1"/>
    <row r="155" s="11" customFormat="1"/>
    <row r="156" s="11" customFormat="1"/>
    <row r="157" s="11" customFormat="1"/>
    <row r="158" s="11" customFormat="1"/>
    <row r="159" s="11" customFormat="1"/>
    <row r="160" s="11" customFormat="1"/>
    <row r="161" s="11" customFormat="1"/>
    <row r="162" s="11" customFormat="1"/>
    <row r="163" s="11" customFormat="1"/>
    <row r="164" s="11" customFormat="1"/>
    <row r="165" s="11" customFormat="1"/>
    <row r="166" s="11" customFormat="1"/>
    <row r="167" s="11" customFormat="1"/>
    <row r="168" s="11" customFormat="1"/>
    <row r="169" s="11" customFormat="1"/>
    <row r="170" s="11" customFormat="1"/>
    <row r="171" s="11" customFormat="1"/>
    <row r="172" s="11" customFormat="1"/>
    <row r="173" s="11" customFormat="1"/>
    <row r="174" s="11" customFormat="1"/>
    <row r="175" s="11" customFormat="1"/>
    <row r="176" s="11" customFormat="1"/>
    <row r="177" s="11" customFormat="1"/>
    <row r="178" s="11" customFormat="1"/>
    <row r="179" s="11" customFormat="1"/>
    <row r="180" s="11" customFormat="1"/>
    <row r="181" s="11" customFormat="1"/>
    <row r="182" s="11" customFormat="1"/>
    <row r="183" s="11" customFormat="1"/>
    <row r="184" s="11" customFormat="1"/>
    <row r="185" s="11" customFormat="1"/>
    <row r="186" s="11" customFormat="1"/>
    <row r="187" s="11" customFormat="1"/>
    <row r="188" s="11" customFormat="1"/>
    <row r="189" s="11" customFormat="1"/>
    <row r="190" s="11" customFormat="1" ht="19.350000000000001" customHeight="1"/>
    <row r="191" s="11" customFormat="1"/>
    <row r="192" s="11" customFormat="1"/>
    <row r="193" spans="1:1" s="11" customFormat="1"/>
    <row r="194" spans="1:1" s="11" customFormat="1" ht="19.350000000000001" customHeight="1"/>
    <row r="195" spans="1:1" s="11" customFormat="1"/>
    <row r="196" spans="1:1" s="11" customFormat="1"/>
    <row r="197" spans="1:1" s="11" customFormat="1"/>
    <row r="198" spans="1:1" s="11" customFormat="1"/>
    <row r="199" spans="1:1" s="11" customFormat="1"/>
    <row r="200" spans="1:1" s="11" customFormat="1">
      <c r="A200" s="11" t="b">
        <v>0</v>
      </c>
    </row>
    <row r="201" spans="1:1" s="11" customFormat="1">
      <c r="A201" s="11" t="b">
        <v>0</v>
      </c>
    </row>
    <row r="202" spans="1:1" s="11" customFormat="1">
      <c r="A202" s="11" t="b">
        <v>0</v>
      </c>
    </row>
    <row r="203" spans="1:1" s="11" customFormat="1"/>
    <row r="204" spans="1:1" s="11" customFormat="1"/>
    <row r="205" spans="1:1" s="11" customFormat="1"/>
    <row r="206" spans="1:1" s="11" customFormat="1"/>
    <row r="207" spans="1:1" s="11" customFormat="1"/>
    <row r="208" spans="1:1" s="11" customFormat="1"/>
    <row r="209" s="11" customFormat="1"/>
    <row r="210" s="11" customFormat="1"/>
    <row r="211" s="11" customFormat="1"/>
    <row r="212" s="11" customFormat="1"/>
    <row r="213" s="11" customFormat="1"/>
    <row r="214" s="11" customFormat="1"/>
    <row r="215" s="11" customFormat="1"/>
    <row r="216" s="11" customFormat="1"/>
    <row r="217" s="11" customFormat="1"/>
    <row r="218" s="11" customFormat="1"/>
    <row r="219" s="11" customFormat="1"/>
    <row r="220" s="11" customFormat="1"/>
    <row r="221" s="11" customFormat="1"/>
    <row r="222" s="11" customFormat="1"/>
    <row r="223" s="11" customFormat="1"/>
    <row r="224" s="11" customFormat="1"/>
    <row r="225" s="11" customFormat="1"/>
    <row r="226" s="11" customFormat="1"/>
    <row r="227" s="11" customFormat="1"/>
    <row r="228" s="11" customFormat="1"/>
    <row r="229" s="11" customFormat="1"/>
    <row r="230" s="11" customFormat="1"/>
    <row r="231" s="11" customFormat="1"/>
    <row r="232" s="11" customFormat="1"/>
    <row r="233" s="11" customFormat="1"/>
    <row r="234" s="11" customFormat="1"/>
    <row r="235" s="11" customFormat="1"/>
    <row r="236" s="11" customFormat="1"/>
    <row r="237" s="11" customFormat="1"/>
    <row r="238" s="11" customFormat="1"/>
    <row r="239" s="11" customFormat="1"/>
    <row r="240" s="11" customFormat="1"/>
    <row r="241" s="11" customFormat="1"/>
    <row r="242" s="11" customFormat="1"/>
    <row r="243" s="11" customFormat="1"/>
    <row r="244" s="11" customFormat="1"/>
    <row r="245" s="11" customFormat="1"/>
    <row r="246" s="11" customFormat="1"/>
    <row r="247" s="11" customFormat="1"/>
    <row r="248" s="11" customFormat="1"/>
    <row r="249" s="11" customFormat="1"/>
    <row r="250" s="11" customFormat="1"/>
    <row r="251" s="11" customFormat="1"/>
    <row r="252" s="11" customFormat="1"/>
    <row r="253" s="11" customFormat="1"/>
    <row r="254" s="11" customFormat="1"/>
    <row r="255" s="11" customFormat="1"/>
    <row r="256" s="11" customFormat="1"/>
    <row r="257" s="11" customFormat="1"/>
    <row r="258" s="11" customFormat="1"/>
    <row r="259" s="11" customFormat="1"/>
    <row r="260" s="11" customFormat="1"/>
    <row r="261" s="11" customFormat="1"/>
    <row r="262" s="11" customFormat="1"/>
    <row r="263" s="11" customFormat="1"/>
    <row r="264" s="11" customFormat="1"/>
    <row r="265" s="11" customFormat="1"/>
    <row r="266" s="11" customFormat="1"/>
    <row r="267" s="11" customFormat="1"/>
    <row r="268" s="11" customFormat="1"/>
    <row r="269" s="11" customFormat="1"/>
    <row r="270" s="11" customFormat="1"/>
    <row r="271" s="11" customFormat="1"/>
    <row r="272" s="11" customFormat="1"/>
    <row r="273" s="11" customFormat="1"/>
    <row r="274" s="11" customFormat="1"/>
    <row r="275" s="11" customFormat="1"/>
    <row r="276" s="11" customFormat="1"/>
    <row r="277" s="11" customFormat="1"/>
    <row r="278" s="11" customFormat="1"/>
    <row r="279" s="11" customFormat="1"/>
    <row r="280" s="11" customFormat="1"/>
    <row r="281" s="11" customFormat="1"/>
    <row r="282" s="11" customFormat="1"/>
    <row r="283" s="11" customFormat="1"/>
    <row r="284" s="11" customFormat="1"/>
    <row r="285" s="11" customFormat="1"/>
    <row r="286" s="11" customFormat="1"/>
    <row r="287" s="11" customFormat="1"/>
    <row r="288" s="11" customFormat="1"/>
    <row r="289" s="11" customFormat="1"/>
    <row r="290" s="11" customFormat="1"/>
    <row r="291" s="11" customFormat="1"/>
    <row r="292" s="11" customFormat="1"/>
    <row r="293" s="11" customFormat="1"/>
    <row r="294" s="11" customFormat="1"/>
    <row r="295" s="11" customFormat="1"/>
    <row r="296" s="11" customFormat="1"/>
    <row r="297" s="11" customFormat="1"/>
    <row r="298" s="11" customFormat="1"/>
    <row r="299" s="11" customFormat="1"/>
    <row r="300" s="11" customFormat="1"/>
    <row r="301" s="11" customFormat="1"/>
    <row r="302" s="11" customFormat="1"/>
    <row r="303" s="11" customFormat="1"/>
    <row r="304" s="11" customFormat="1"/>
    <row r="305" s="11" customFormat="1"/>
    <row r="306" s="11" customFormat="1"/>
    <row r="307" s="11" customFormat="1"/>
    <row r="308" s="11" customFormat="1"/>
    <row r="309" s="11" customFormat="1"/>
    <row r="310" s="11" customFormat="1"/>
    <row r="311" s="11" customFormat="1"/>
    <row r="312" s="11" customFormat="1"/>
    <row r="313" s="11" customFormat="1"/>
    <row r="314" s="11" customFormat="1"/>
    <row r="315" s="11" customFormat="1"/>
    <row r="316" s="11" customFormat="1"/>
    <row r="317" s="11" customFormat="1"/>
    <row r="318" s="11" customFormat="1"/>
    <row r="319" s="11" customFormat="1"/>
    <row r="320" s="11" customFormat="1"/>
    <row r="321" s="11" customFormat="1"/>
    <row r="322" s="11" customFormat="1"/>
    <row r="323" s="11" customFormat="1"/>
    <row r="324" s="11" customFormat="1"/>
    <row r="325" s="11" customFormat="1"/>
    <row r="326" s="11" customFormat="1"/>
    <row r="327" s="11" customFormat="1"/>
    <row r="328" s="11" customFormat="1"/>
    <row r="329" s="11" customFormat="1"/>
    <row r="330" s="11" customFormat="1"/>
    <row r="331" s="11" customFormat="1"/>
    <row r="332" s="11" customFormat="1"/>
    <row r="333" s="11" customFormat="1"/>
    <row r="334" s="11" customFormat="1"/>
    <row r="335" s="11" customFormat="1"/>
    <row r="336" s="11" customFormat="1"/>
    <row r="337" s="11" customFormat="1"/>
    <row r="338" s="11" customFormat="1"/>
    <row r="339" s="11" customFormat="1"/>
    <row r="340" s="11" customFormat="1"/>
    <row r="341" s="11" customFormat="1"/>
    <row r="342" s="11" customFormat="1"/>
    <row r="343" s="11" customFormat="1"/>
    <row r="344" s="11" customFormat="1"/>
    <row r="345" s="11" customFormat="1"/>
    <row r="346" s="11" customFormat="1"/>
    <row r="347" s="11" customFormat="1"/>
    <row r="348" s="11" customFormat="1"/>
    <row r="349" s="11" customFormat="1"/>
    <row r="350" s="11" customFormat="1"/>
    <row r="351" s="11" customFormat="1"/>
    <row r="352" s="11" customFormat="1"/>
    <row r="353" s="11" customFormat="1"/>
    <row r="354" s="11" customFormat="1"/>
    <row r="355" s="11" customFormat="1"/>
    <row r="356" s="11" customFormat="1"/>
    <row r="357" s="11" customFormat="1"/>
    <row r="358" s="11" customFormat="1"/>
    <row r="359" s="11" customFormat="1"/>
    <row r="360" s="11" customFormat="1"/>
    <row r="361" s="11" customFormat="1"/>
    <row r="362" s="11" customFormat="1"/>
    <row r="363" s="11" customFormat="1"/>
    <row r="364" s="11" customFormat="1"/>
    <row r="365" s="11" customFormat="1"/>
    <row r="366" s="11" customFormat="1"/>
    <row r="367" s="11" customFormat="1"/>
    <row r="368" s="11" customFormat="1"/>
    <row r="369" s="11" customFormat="1"/>
    <row r="370" s="11" customFormat="1"/>
    <row r="371" s="11" customFormat="1"/>
    <row r="372" s="11" customFormat="1"/>
    <row r="373" s="11" customFormat="1"/>
    <row r="374" s="11" customFormat="1"/>
    <row r="375" s="11" customFormat="1"/>
    <row r="376" s="11" customFormat="1"/>
    <row r="377" s="11" customFormat="1"/>
    <row r="378" s="11" customFormat="1"/>
    <row r="379" s="11" customFormat="1"/>
    <row r="380" s="11" customFormat="1"/>
    <row r="381" s="11" customFormat="1"/>
    <row r="382" s="11" customFormat="1"/>
    <row r="383" s="11" customFormat="1"/>
    <row r="384" s="11" customFormat="1"/>
    <row r="385" s="11" customFormat="1"/>
    <row r="386" s="11" customFormat="1"/>
    <row r="387" s="11" customFormat="1"/>
    <row r="388" s="11" customFormat="1"/>
    <row r="389" s="11" customFormat="1"/>
    <row r="390" s="11" customFormat="1"/>
    <row r="391" s="11" customFormat="1"/>
    <row r="392" s="11" customFormat="1"/>
    <row r="393" s="11" customFormat="1"/>
    <row r="394" s="11" customFormat="1"/>
    <row r="395" s="11" customFormat="1"/>
    <row r="396" s="11" customFormat="1"/>
    <row r="397" s="11" customFormat="1"/>
    <row r="398" s="11" customFormat="1"/>
    <row r="399" s="11" customFormat="1"/>
    <row r="400" s="11" customFormat="1"/>
    <row r="401" s="11" customFormat="1"/>
    <row r="402" s="11" customFormat="1"/>
    <row r="403" s="11" customFormat="1"/>
    <row r="404" s="11" customFormat="1"/>
    <row r="405" s="11" customFormat="1"/>
    <row r="406" s="11" customFormat="1"/>
    <row r="407" s="11" customFormat="1"/>
    <row r="408" s="11" customFormat="1"/>
    <row r="409" s="11" customFormat="1"/>
    <row r="410" s="11" customFormat="1"/>
    <row r="411" s="11" customFormat="1"/>
    <row r="412" s="11" customFormat="1"/>
    <row r="413" s="11" customFormat="1"/>
    <row r="414" s="11" customFormat="1"/>
    <row r="415" s="11" customFormat="1"/>
    <row r="416" s="11" customFormat="1"/>
    <row r="417" s="11" customFormat="1"/>
    <row r="418" s="11" customFormat="1"/>
    <row r="419" s="11" customFormat="1"/>
    <row r="420" s="11" customFormat="1"/>
    <row r="421" s="11" customFormat="1"/>
    <row r="422" s="11" customFormat="1"/>
    <row r="423" s="11" customFormat="1"/>
    <row r="424" s="11" customFormat="1"/>
    <row r="425" s="11" customFormat="1"/>
    <row r="426" s="11" customFormat="1"/>
    <row r="427" s="11" customFormat="1"/>
  </sheetData>
  <dataConsolidate/>
  <mergeCells count="4">
    <mergeCell ref="I9:J9"/>
    <mergeCell ref="I11:J11"/>
    <mergeCell ref="I13:J13"/>
    <mergeCell ref="I15:J19"/>
  </mergeCells>
  <dataValidations count="4">
    <dataValidation type="list" allowBlank="1" showInputMessage="1" showErrorMessage="1" sqref="K28" xr:uid="{00000000-0002-0000-0000-000001000000}">
      <formula1>"Kyllä,Ei"</formula1>
    </dataValidation>
    <dataValidation type="time" allowBlank="1" showInputMessage="1" showErrorMessage="1" sqref="J12" xr:uid="{A34DC73E-3A0A-4CFB-B718-7995AB758C6E}">
      <formula1>0</formula1>
      <formula2>0.999988425925926</formula2>
    </dataValidation>
    <dataValidation type="list" allowBlank="1" showInputMessage="1" showErrorMessage="1" sqref="K27" xr:uid="{542D08EA-1CBA-49E7-9066-9422F3734DAB}">
      <formula1>"5,7"</formula1>
    </dataValidation>
    <dataValidation type="list" allowBlank="1" showInputMessage="1" showErrorMessage="1" sqref="N27:N48" xr:uid="{37684516-C6B3-47DA-A98D-EBB4E224D9EC}">
      <formula1>"keltainen,musta,oranssi,pinkki,punainen,sininen,turkoosi,vihreä,violetti"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Check Box 8">
              <controlPr locked="0" defaultSize="0" print="0" autoFill="0" autoLine="0" autoPict="0" altText="Automaattinen tallennus">
                <anchor moveWithCells="1">
                  <from>
                    <xdr:col>3</xdr:col>
                    <xdr:colOff>1409700</xdr:colOff>
                    <xdr:row>21</xdr:row>
                    <xdr:rowOff>142875</xdr:rowOff>
                  </from>
                  <to>
                    <xdr:col>4</xdr:col>
                    <xdr:colOff>200025</xdr:colOff>
                    <xdr:row>23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Check Box 10">
              <controlPr locked="0" defaultSize="0" print="0" autoFill="0" autoLine="0" autoPict="0" altText="Automaattinen tallennus">
                <anchor moveWithCells="1">
                  <from>
                    <xdr:col>7</xdr:col>
                    <xdr:colOff>1123950</xdr:colOff>
                    <xdr:row>35</xdr:row>
                    <xdr:rowOff>133350</xdr:rowOff>
                  </from>
                  <to>
                    <xdr:col>7</xdr:col>
                    <xdr:colOff>1371600</xdr:colOff>
                    <xdr:row>38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6" name="Check Box 12">
              <controlPr locked="0" defaultSize="0" print="0" autoFill="0" autoLine="0" autoPict="0" altText="Automaattinen tallennus">
                <anchor moveWithCells="1">
                  <from>
                    <xdr:col>12</xdr:col>
                    <xdr:colOff>123825</xdr:colOff>
                    <xdr:row>98</xdr:row>
                    <xdr:rowOff>190500</xdr:rowOff>
                  </from>
                  <to>
                    <xdr:col>12</xdr:col>
                    <xdr:colOff>323850</xdr:colOff>
                    <xdr:row>101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Group Box 14">
              <controlPr defaultSize="0" autoFill="0" autoPict="0">
                <anchor moveWithCells="1">
                  <from>
                    <xdr:col>17</xdr:col>
                    <xdr:colOff>104775</xdr:colOff>
                    <xdr:row>2</xdr:row>
                    <xdr:rowOff>38100</xdr:rowOff>
                  </from>
                  <to>
                    <xdr:col>19</xdr:col>
                    <xdr:colOff>295275</xdr:colOff>
                    <xdr:row>16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247497-CE98-422C-AD3D-14DAAB8B2053}">
          <x14:formula1>
            <xm:f>Code!$A$4:$A$5</xm:f>
          </x14:formula1>
          <xm:sqref>S16</xm:sqref>
        </x14:dataValidation>
        <x14:dataValidation type="list" allowBlank="1" showInputMessage="1" showErrorMessage="1" xr:uid="{3813037B-46FC-44EF-A18D-E6A736CBC2E6}">
          <x14:formula1>
            <xm:f>Code!$A$24:$A$26</xm:f>
          </x14:formula1>
          <xm:sqref>R16</xm:sqref>
        </x14:dataValidation>
        <x14:dataValidation type="list" allowBlank="1" showInputMessage="1" showErrorMessage="1" xr:uid="{895353C4-956A-4AFA-9554-86CCD5DE16A4}">
          <x14:formula1>
            <xm:f>Code!$A$69:$A$72</xm:f>
          </x14:formula1>
          <xm:sqref>D8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9" tint="-0.249977111117893"/>
  </sheetPr>
  <dimension ref="A1:AS14"/>
  <sheetViews>
    <sheetView zoomScaleNormal="100" workbookViewId="0">
      <pane xSplit="1" topLeftCell="B1" activePane="topRight" state="frozen"/>
      <selection pane="topRight"/>
    </sheetView>
  </sheetViews>
  <sheetFormatPr defaultColWidth="9.140625" defaultRowHeight="15"/>
  <cols>
    <col min="1" max="1" width="23.42578125" style="488" customWidth="1"/>
    <col min="2" max="2" width="9" style="487" customWidth="1"/>
    <col min="3" max="3" width="8.7109375" style="487" customWidth="1"/>
    <col min="4" max="4" width="9.140625" style="487" customWidth="1"/>
    <col min="5" max="5" width="11.7109375" style="489" customWidth="1"/>
    <col min="6" max="6" width="15.28515625" style="489" customWidth="1"/>
    <col min="7" max="7" width="11.7109375" style="489" customWidth="1"/>
    <col min="8" max="8" width="16.7109375" style="489" customWidth="1"/>
    <col min="9" max="10" width="22.7109375" style="487" customWidth="1"/>
    <col min="11" max="12" width="16.140625" style="489" customWidth="1"/>
    <col min="13" max="13" width="11.7109375" style="489" customWidth="1"/>
    <col min="14" max="14" width="25" style="489" customWidth="1"/>
    <col min="15" max="15" width="10.140625" style="489" customWidth="1"/>
    <col min="16" max="16" width="9.7109375" style="489" customWidth="1"/>
    <col min="17" max="17" width="7.140625" style="489" customWidth="1"/>
    <col min="18" max="18" width="9" style="489" customWidth="1"/>
    <col min="19" max="19" width="7.85546875" style="489" customWidth="1"/>
    <col min="20" max="20" width="8.28515625" style="489" customWidth="1"/>
    <col min="21" max="21" width="10.85546875" style="487" customWidth="1"/>
    <col min="22" max="22" width="11" style="487" customWidth="1"/>
    <col min="23" max="23" width="7.5703125" style="487" customWidth="1"/>
    <col min="24" max="24" width="7.28515625" style="487" customWidth="1"/>
    <col min="25" max="25" width="11.5703125" style="486" customWidth="1"/>
    <col min="26" max="27" width="10.7109375" style="488" customWidth="1"/>
    <col min="28" max="28" width="11.28515625" style="487" customWidth="1"/>
    <col min="29" max="29" width="9.140625" style="487" customWidth="1"/>
    <col min="30" max="30" width="9.28515625" style="489" customWidth="1"/>
    <col min="31" max="31" width="20.42578125" style="489" customWidth="1"/>
    <col min="32" max="32" width="16.7109375" style="487" customWidth="1"/>
    <col min="33" max="33" width="14.42578125" style="489" customWidth="1"/>
    <col min="34" max="34" width="11.42578125" style="489" customWidth="1"/>
    <col min="35" max="45" width="9.140625" style="490"/>
    <col min="46" max="16384" width="9.140625" style="56"/>
  </cols>
  <sheetData>
    <row r="1" spans="1:45" s="522" customFormat="1" ht="47.45" customHeight="1">
      <c r="C1" s="523" t="s">
        <v>143</v>
      </c>
    </row>
    <row r="2" spans="1:45" s="474" customFormat="1" ht="35.25" customHeight="1" thickBot="1">
      <c r="A2" s="572" t="s">
        <v>8</v>
      </c>
      <c r="B2" s="572" t="s">
        <v>13</v>
      </c>
      <c r="C2" s="572" t="s">
        <v>12</v>
      </c>
      <c r="D2" s="572" t="s">
        <v>36</v>
      </c>
      <c r="E2" s="572" t="s">
        <v>10</v>
      </c>
      <c r="F2" s="572" t="s">
        <v>41</v>
      </c>
      <c r="G2" s="569" t="s">
        <v>32</v>
      </c>
      <c r="H2" s="569" t="s">
        <v>14</v>
      </c>
      <c r="I2" s="569" t="s">
        <v>15</v>
      </c>
      <c r="J2" s="569" t="s">
        <v>16</v>
      </c>
      <c r="K2" s="569" t="s">
        <v>17</v>
      </c>
      <c r="L2" s="569" t="s">
        <v>18</v>
      </c>
      <c r="M2" s="570" t="s">
        <v>19</v>
      </c>
      <c r="N2" s="570" t="s">
        <v>20</v>
      </c>
      <c r="O2" s="570" t="s">
        <v>22</v>
      </c>
      <c r="P2" s="570" t="s">
        <v>23</v>
      </c>
      <c r="Q2" s="570" t="s">
        <v>177</v>
      </c>
      <c r="R2" s="570" t="s">
        <v>25</v>
      </c>
      <c r="S2" s="570" t="s">
        <v>178</v>
      </c>
      <c r="T2" s="570" t="s">
        <v>27</v>
      </c>
      <c r="U2" s="570" t="s">
        <v>28</v>
      </c>
      <c r="V2" s="570" t="s">
        <v>29</v>
      </c>
      <c r="W2" s="570" t="s">
        <v>30</v>
      </c>
      <c r="X2" s="570" t="s">
        <v>31</v>
      </c>
      <c r="Y2" s="573" t="s">
        <v>137</v>
      </c>
      <c r="Z2" s="573" t="s">
        <v>138</v>
      </c>
      <c r="AA2" s="573" t="s">
        <v>141</v>
      </c>
      <c r="AB2" s="573" t="s">
        <v>136</v>
      </c>
      <c r="AC2" s="573" t="s">
        <v>139</v>
      </c>
      <c r="AD2" s="573" t="s">
        <v>140</v>
      </c>
      <c r="AE2" s="571" t="s">
        <v>37</v>
      </c>
      <c r="AF2" s="571" t="s">
        <v>38</v>
      </c>
      <c r="AG2" s="571" t="s">
        <v>39</v>
      </c>
      <c r="AH2" s="571" t="s">
        <v>40</v>
      </c>
      <c r="AI2" s="487"/>
      <c r="AJ2" s="487"/>
      <c r="AK2" s="487"/>
      <c r="AL2" s="487"/>
      <c r="AM2" s="487"/>
      <c r="AN2" s="487"/>
      <c r="AO2" s="487"/>
      <c r="AP2" s="487"/>
      <c r="AQ2" s="487"/>
      <c r="AR2" s="487"/>
      <c r="AS2" s="487"/>
    </row>
    <row r="3" spans="1:45" s="487" customFormat="1">
      <c r="A3" s="577"/>
      <c r="B3" s="583"/>
      <c r="C3" s="584"/>
      <c r="D3" s="583"/>
      <c r="E3" s="583"/>
      <c r="F3" s="583"/>
      <c r="G3" s="583"/>
      <c r="H3" s="583"/>
      <c r="I3" s="585"/>
      <c r="J3" s="585"/>
      <c r="K3" s="585"/>
      <c r="L3" s="585"/>
      <c r="M3" s="583"/>
      <c r="N3" s="583"/>
      <c r="O3" s="585"/>
      <c r="P3" s="585"/>
      <c r="Q3" s="585"/>
      <c r="R3" s="585"/>
      <c r="S3" s="585"/>
      <c r="T3" s="585"/>
      <c r="U3" s="585"/>
      <c r="V3" s="585"/>
      <c r="W3" s="585"/>
      <c r="X3" s="585"/>
      <c r="Y3" s="586"/>
      <c r="Z3" s="587"/>
      <c r="AA3" s="587"/>
      <c r="AB3" s="586"/>
      <c r="AC3" s="587"/>
      <c r="AD3" s="588"/>
      <c r="AE3" s="583"/>
      <c r="AF3" s="583"/>
      <c r="AG3" s="583"/>
      <c r="AH3" s="589"/>
    </row>
    <row r="4" spans="1:45" s="487" customFormat="1">
      <c r="A4" s="488"/>
      <c r="E4" s="489"/>
      <c r="F4" s="489"/>
      <c r="G4" s="489"/>
      <c r="H4" s="489"/>
      <c r="K4" s="489"/>
      <c r="L4" s="489"/>
      <c r="M4" s="489"/>
      <c r="N4" s="489"/>
      <c r="O4" s="489"/>
      <c r="P4" s="489"/>
      <c r="Q4" s="489"/>
      <c r="R4" s="489"/>
      <c r="S4" s="489"/>
      <c r="T4" s="489"/>
      <c r="Y4" s="486"/>
      <c r="Z4" s="488"/>
      <c r="AA4" s="488"/>
      <c r="AD4" s="489"/>
      <c r="AE4" s="489"/>
      <c r="AG4" s="489"/>
      <c r="AH4" s="489"/>
    </row>
    <row r="5" spans="1:45" s="487" customFormat="1">
      <c r="A5" s="488"/>
      <c r="E5" s="489"/>
      <c r="F5" s="489"/>
      <c r="G5" s="489"/>
      <c r="H5" s="489"/>
      <c r="K5" s="489"/>
      <c r="L5" s="489"/>
      <c r="M5" s="489"/>
      <c r="N5" s="489"/>
      <c r="O5" s="489"/>
      <c r="P5" s="489"/>
      <c r="Q5" s="489"/>
      <c r="R5" s="489"/>
      <c r="S5" s="489"/>
      <c r="T5" s="489"/>
      <c r="Y5" s="486"/>
      <c r="Z5" s="488"/>
      <c r="AA5" s="488"/>
      <c r="AD5" s="489"/>
      <c r="AE5" s="489"/>
      <c r="AG5" s="489"/>
      <c r="AH5" s="489"/>
    </row>
    <row r="6" spans="1:45" s="487" customFormat="1">
      <c r="A6" s="488"/>
      <c r="E6" s="489"/>
      <c r="F6" s="489"/>
      <c r="G6" s="489"/>
      <c r="H6" s="489"/>
      <c r="K6" s="489"/>
      <c r="L6" s="489"/>
      <c r="M6" s="489"/>
      <c r="N6" s="489"/>
      <c r="O6" s="489"/>
      <c r="P6" s="489"/>
      <c r="Q6" s="489"/>
      <c r="R6" s="489"/>
      <c r="S6" s="489"/>
      <c r="T6" s="489"/>
      <c r="Y6" s="486"/>
      <c r="Z6" s="488"/>
      <c r="AA6" s="488"/>
      <c r="AD6" s="489"/>
      <c r="AE6" s="489"/>
      <c r="AG6" s="489"/>
      <c r="AH6" s="489"/>
    </row>
    <row r="7" spans="1:45" s="487" customFormat="1">
      <c r="A7" s="488"/>
      <c r="E7" s="489"/>
      <c r="F7" s="489"/>
      <c r="G7" s="489"/>
      <c r="H7" s="489"/>
      <c r="K7" s="489"/>
      <c r="L7" s="489"/>
      <c r="M7" s="489"/>
      <c r="N7" s="489"/>
      <c r="O7" s="489"/>
      <c r="P7" s="489"/>
      <c r="Q7" s="489"/>
      <c r="R7" s="489"/>
      <c r="S7" s="489"/>
      <c r="T7" s="489"/>
      <c r="Y7" s="486"/>
      <c r="Z7" s="488"/>
      <c r="AA7" s="488"/>
      <c r="AD7" s="489"/>
      <c r="AE7" s="489"/>
      <c r="AG7" s="489"/>
      <c r="AH7" s="489"/>
    </row>
    <row r="8" spans="1:45" s="487" customFormat="1">
      <c r="A8" s="488"/>
      <c r="E8" s="489"/>
      <c r="F8" s="489"/>
      <c r="G8" s="489"/>
      <c r="H8" s="489"/>
      <c r="K8" s="489"/>
      <c r="L8" s="489"/>
      <c r="M8" s="489"/>
      <c r="N8" s="489"/>
      <c r="O8" s="489"/>
      <c r="P8" s="489"/>
      <c r="Q8" s="489"/>
      <c r="R8" s="489"/>
      <c r="S8" s="489"/>
      <c r="T8" s="489"/>
      <c r="Y8" s="486"/>
      <c r="Z8" s="488"/>
      <c r="AA8" s="488"/>
      <c r="AD8" s="489"/>
      <c r="AE8" s="489"/>
      <c r="AG8" s="489"/>
      <c r="AH8" s="489"/>
    </row>
    <row r="9" spans="1:45" s="487" customFormat="1">
      <c r="A9" s="488"/>
      <c r="E9" s="489"/>
      <c r="F9" s="489"/>
      <c r="G9" s="489"/>
      <c r="H9" s="489"/>
      <c r="K9" s="489"/>
      <c r="L9" s="489"/>
      <c r="M9" s="489"/>
      <c r="N9" s="489"/>
      <c r="O9" s="489"/>
      <c r="P9" s="489"/>
      <c r="Q9" s="489"/>
      <c r="R9" s="489"/>
      <c r="S9" s="489"/>
      <c r="T9" s="489"/>
      <c r="Y9" s="486"/>
      <c r="Z9" s="488"/>
      <c r="AA9" s="488"/>
      <c r="AD9" s="489"/>
      <c r="AE9" s="489"/>
      <c r="AG9" s="489"/>
      <c r="AH9" s="489"/>
    </row>
    <row r="10" spans="1:45" s="487" customFormat="1">
      <c r="A10" s="488"/>
      <c r="E10" s="489"/>
      <c r="F10" s="489"/>
      <c r="G10" s="489"/>
      <c r="H10" s="489"/>
      <c r="K10" s="489"/>
      <c r="L10" s="489"/>
      <c r="M10" s="489"/>
      <c r="N10" s="489"/>
      <c r="O10" s="489"/>
      <c r="P10" s="489"/>
      <c r="Q10" s="489"/>
      <c r="R10" s="489"/>
      <c r="S10" s="489"/>
      <c r="T10" s="489"/>
      <c r="Y10" s="486"/>
      <c r="Z10" s="488"/>
      <c r="AA10" s="488"/>
      <c r="AD10" s="489"/>
      <c r="AE10" s="489"/>
      <c r="AG10" s="489"/>
      <c r="AH10" s="489"/>
    </row>
    <row r="11" spans="1:45" s="487" customFormat="1">
      <c r="A11" s="488"/>
      <c r="E11" s="489"/>
      <c r="F11" s="489"/>
      <c r="G11" s="489"/>
      <c r="H11" s="489"/>
      <c r="K11" s="489"/>
      <c r="L11" s="489"/>
      <c r="M11" s="489"/>
      <c r="N11" s="489"/>
      <c r="O11" s="489"/>
      <c r="P11" s="489"/>
      <c r="Q11" s="489"/>
      <c r="R11" s="489"/>
      <c r="S11" s="489"/>
      <c r="T11" s="489"/>
      <c r="Y11" s="486"/>
      <c r="Z11" s="488"/>
      <c r="AA11" s="488"/>
      <c r="AD11" s="489"/>
      <c r="AE11" s="489"/>
      <c r="AG11" s="489"/>
      <c r="AH11" s="489"/>
    </row>
    <row r="12" spans="1:45" s="487" customFormat="1">
      <c r="A12" s="488"/>
      <c r="E12" s="489"/>
      <c r="F12" s="489"/>
      <c r="G12" s="489"/>
      <c r="H12" s="489"/>
      <c r="K12" s="489"/>
      <c r="L12" s="489"/>
      <c r="M12" s="489"/>
      <c r="N12" s="489"/>
      <c r="O12" s="489"/>
      <c r="P12" s="489"/>
      <c r="Q12" s="489"/>
      <c r="R12" s="489"/>
      <c r="S12" s="489"/>
      <c r="T12" s="489"/>
      <c r="Y12" s="486"/>
      <c r="Z12" s="488"/>
      <c r="AA12" s="488"/>
      <c r="AD12" s="489"/>
      <c r="AE12" s="489"/>
      <c r="AG12" s="489"/>
      <c r="AH12" s="489"/>
    </row>
    <row r="13" spans="1:45" s="487" customFormat="1">
      <c r="A13" s="488"/>
      <c r="E13" s="489"/>
      <c r="F13" s="489"/>
      <c r="G13" s="489"/>
      <c r="H13" s="489"/>
      <c r="K13" s="489"/>
      <c r="L13" s="489"/>
      <c r="M13" s="489"/>
      <c r="N13" s="489"/>
      <c r="O13" s="489"/>
      <c r="P13" s="489"/>
      <c r="Q13" s="489"/>
      <c r="R13" s="489"/>
      <c r="S13" s="489"/>
      <c r="T13" s="489"/>
      <c r="Y13" s="486"/>
      <c r="Z13" s="488"/>
      <c r="AA13" s="488"/>
      <c r="AD13" s="489"/>
      <c r="AE13" s="489"/>
      <c r="AG13" s="489"/>
      <c r="AH13" s="489"/>
    </row>
    <row r="14" spans="1:45" s="487" customFormat="1">
      <c r="A14" s="488"/>
      <c r="E14" s="489"/>
      <c r="F14" s="489"/>
      <c r="G14" s="489"/>
      <c r="H14" s="489"/>
      <c r="K14" s="489"/>
      <c r="L14" s="489"/>
      <c r="M14" s="489"/>
      <c r="N14" s="489"/>
      <c r="O14" s="489"/>
      <c r="P14" s="489"/>
      <c r="Q14" s="489"/>
      <c r="R14" s="489"/>
      <c r="S14" s="489"/>
      <c r="T14" s="489"/>
      <c r="Y14" s="486"/>
      <c r="Z14" s="488"/>
      <c r="AA14" s="488"/>
      <c r="AD14" s="489"/>
      <c r="AE14" s="489"/>
      <c r="AG14" s="489"/>
      <c r="AH14" s="489"/>
    </row>
  </sheetData>
  <sheetProtection formatCells="0" formatColumns="0" formatRows="0" insertColumns="0" insertRows="0" insertHyperlinks="0" deleteColumns="0" deleteRows="0" selectLockedCells="1" sort="0" autoFilter="0"/>
  <dataConsolidate/>
  <phoneticPr fontId="24" type="noConversion"/>
  <dataValidations count="10">
    <dataValidation type="list" allowBlank="1" showInputMessage="1" showErrorMessage="1" sqref="AB4:AC1048576 AF4:AF1048576 V4:V1048576 AB3 Y3 F3 D3 B3:B1048576" xr:uid="{00000000-0002-0000-0200-000000000000}">
      <formula1>"Kyllä,Ei"</formula1>
    </dataValidation>
    <dataValidation type="list" allowBlank="1" showInputMessage="1" showErrorMessage="1" sqref="AA4:AA1048576 E3" xr:uid="{9C6AA524-78CF-429E-A598-68083061C4D5}">
      <formula1>"Ei,Keltainen,Musta,Oranssi,Pinkki,Punainen,Sininen,Turkoosi,Vihreä,Violetti"</formula1>
    </dataValidation>
    <dataValidation type="list" allowBlank="1" showInputMessage="1" showErrorMessage="1" sqref="W4:W1048576 AE3" xr:uid="{E65BEC34-B207-4528-8E15-5BC7BD906487}">
      <formula1>"Ei,Kyllä,Kyllä - poissaolevat"</formula1>
    </dataValidation>
    <dataValidation type="whole" operator="greaterThanOrEqual" allowBlank="1" showInputMessage="1" showErrorMessage="1" sqref="A4:A1048576 C3" xr:uid="{5C0F9409-9521-4DA8-A3E1-23AE66DA6982}">
      <formula1>0</formula1>
    </dataValidation>
    <dataValidation type="list" allowBlank="1" showInputMessage="1" showErrorMessage="1" sqref="H3 AF3" xr:uid="{A272E86D-2339-4C11-817E-4F06B7A95534}">
      <formula1>"Kutsumanimi,Sukunimi"</formula1>
    </dataValidation>
    <dataValidation type="list" allowBlank="1" showInputMessage="1" showErrorMessage="1" sqref="AH3" xr:uid="{3EDC121D-4D78-4B73-BD94-F91866D3FF1C}">
      <formula1>"0,1,2,3,4,5,6,7,8,9,10,11,12,13,14,15,16,17,18,19,20"</formula1>
    </dataValidation>
    <dataValidation type="list" allowBlank="1" showInputMessage="1" showErrorMessage="1" sqref="AG3" xr:uid="{60033A87-2EDE-4B52-BBA4-A2C7AABB0045}">
      <formula1>"Pysty,Pysty + wc,Vaaka,Vaaka + wc,Kustomoitu"</formula1>
    </dataValidation>
    <dataValidation type="list" allowBlank="1" showInputMessage="1" showErrorMessage="1" sqref="N3" xr:uid="{AACB2433-7AA1-43C7-8337-61E776AABF79}">
      <formula1>"Pieni fontti,Pieni fontti - poissa,Pieni fontti - poissa - tyhjät,Iso fontti,Iso fontti - poissa,Iso fontti - poissa - tyhjät"</formula1>
    </dataValidation>
    <dataValidation type="list" allowBlank="1" showInputMessage="1" showErrorMessage="1" sqref="G3" xr:uid="{EC5772E4-B7E3-43DE-8872-B37D6843C6D3}">
      <formula1>"Ei,Ma-pe,Ma-su"</formula1>
    </dataValidation>
    <dataValidation type="list" allowBlank="1" showInputMessage="1" showErrorMessage="1" sqref="M3" xr:uid="{8BB2CC5C-6FF4-45E3-9567-A5B742D42C63}">
      <formula1>"Ei,Ma-pe,Ma-pe, vain ilta,Ma-pe + ilta,Ma-su + ilta"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3946C1EF-A03D-41F9-A0AB-389D64B685BA}">
          <x14:formula1>
            <xm:f>Code!$A$69:$A$73</xm:f>
          </x14:formula1>
          <xm:sqref>Y4:Y1048576</xm:sqref>
        </x14:dataValidation>
        <x14:dataValidation type="list" allowBlank="1" showInputMessage="1" showErrorMessage="1" xr:uid="{1845A692-878E-41AE-8A8D-B014E5125804}">
          <x14:formula1>
            <xm:f>Code!$A$7:$A$8</xm:f>
          </x14:formula1>
          <xm:sqref>X4:X1048576 D4:D1048576</xm:sqref>
        </x14:dataValidation>
        <x14:dataValidation type="list" allowBlank="1" showInputMessage="1" showErrorMessage="1" xr:uid="{AC7393F0-5672-4B09-8527-B3834DB6E6A2}">
          <x14:formula1>
            <xm:f>Code!$A$133:$A$153</xm:f>
          </x14:formula1>
          <xm:sqref>Z4:Z1048576</xm:sqref>
        </x14:dataValidation>
        <x14:dataValidation type="list" allowBlank="1" showInputMessage="1" showErrorMessage="1" xr:uid="{E7B2DF77-2150-4C56-8FC8-7B19CA55A72B}">
          <x14:formula1>
            <xm:f>Code!$A$108:$A$112</xm:f>
          </x14:formula1>
          <xm:sqref>I4:I1048576</xm:sqref>
        </x14:dataValidation>
        <x14:dataValidation type="list" allowBlank="1" showInputMessage="1" showErrorMessage="1" xr:uid="{9790A858-C513-44FB-ACA4-DA12075B64F3}">
          <x14:formula1>
            <xm:f>Code!$A$118:$A$123</xm:f>
          </x14:formula1>
          <xm:sqref>J4:J1048576</xm:sqref>
        </x14:dataValidation>
        <x14:dataValidation type="list" allowBlank="1" showInputMessage="1" showErrorMessage="1" xr:uid="{24494C3E-FBAF-4B5F-9BFE-954776A3025A}">
          <x14:formula1>
            <xm:f>Code!$A$84:$A$86</xm:f>
          </x14:formula1>
          <xm:sqref>U4:U1048576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theme="7" tint="-0.249977111117893"/>
  </sheetPr>
  <dimension ref="A1:CB3"/>
  <sheetViews>
    <sheetView zoomScaleNormal="100" workbookViewId="0">
      <pane xSplit="2" topLeftCell="C1" activePane="topRight" state="frozen"/>
      <selection activeCell="V2" sqref="V2"/>
      <selection pane="topRight"/>
    </sheetView>
  </sheetViews>
  <sheetFormatPr defaultColWidth="9.140625" defaultRowHeight="15"/>
  <cols>
    <col min="1" max="1" width="13.5703125" style="479" customWidth="1"/>
    <col min="2" max="2" width="33.28515625" style="441" customWidth="1"/>
    <col min="3" max="3" width="21.5703125" style="72" customWidth="1"/>
    <col min="4" max="4" width="18.140625" style="72" customWidth="1"/>
    <col min="5" max="5" width="12.5703125" style="442" customWidth="1"/>
    <col min="6" max="6" width="10.7109375" style="72" customWidth="1"/>
    <col min="7" max="7" width="11" style="72" customWidth="1"/>
    <col min="8" max="8" width="18.7109375" style="485" customWidth="1"/>
    <col min="9" max="9" width="11.42578125" style="485" customWidth="1"/>
    <col min="10" max="21" width="11.42578125" style="443" customWidth="1"/>
    <col min="22" max="22" width="11.42578125" style="439" customWidth="1"/>
    <col min="23" max="23" width="12" style="439" bestFit="1" customWidth="1"/>
    <col min="24" max="24" width="10" style="439" customWidth="1"/>
    <col min="25" max="25" width="9.7109375" style="459" customWidth="1"/>
    <col min="26" max="26" width="11" style="439" customWidth="1"/>
    <col min="27" max="27" width="9.42578125" style="439" customWidth="1"/>
    <col min="28" max="28" width="15.5703125" style="439" customWidth="1"/>
    <col min="29" max="56" width="12" style="4" customWidth="1"/>
    <col min="57" max="61" width="13" style="4" customWidth="1"/>
    <col min="62" max="16384" width="9.140625" style="4"/>
  </cols>
  <sheetData>
    <row r="1" spans="1:80" s="464" customFormat="1" ht="47.45" customHeight="1">
      <c r="C1" s="516" t="s">
        <v>144</v>
      </c>
    </row>
    <row r="2" spans="1:80" s="5" customFormat="1" ht="30.75" thickBot="1">
      <c r="A2" s="537" t="s">
        <v>42</v>
      </c>
      <c r="B2" s="538" t="s">
        <v>44</v>
      </c>
      <c r="C2" s="539" t="s">
        <v>45</v>
      </c>
      <c r="D2" s="540" t="s">
        <v>46</v>
      </c>
      <c r="E2" s="541" t="s">
        <v>47</v>
      </c>
      <c r="F2" s="548" t="s">
        <v>207</v>
      </c>
      <c r="G2" s="574" t="s">
        <v>209</v>
      </c>
      <c r="H2" s="542" t="s">
        <v>36</v>
      </c>
      <c r="I2" s="543" t="s">
        <v>48</v>
      </c>
      <c r="J2" s="543" t="s">
        <v>49</v>
      </c>
      <c r="K2" s="543" t="s">
        <v>50</v>
      </c>
      <c r="L2" s="544" t="s">
        <v>51</v>
      </c>
      <c r="M2" s="543" t="s">
        <v>52</v>
      </c>
      <c r="N2" s="543" t="s">
        <v>53</v>
      </c>
      <c r="O2" s="544" t="s">
        <v>54</v>
      </c>
      <c r="P2" s="543" t="s">
        <v>55</v>
      </c>
      <c r="Q2" s="543" t="s">
        <v>56</v>
      </c>
      <c r="R2" s="543" t="s">
        <v>57</v>
      </c>
      <c r="S2" s="543" t="s">
        <v>58</v>
      </c>
      <c r="T2" s="543" t="s">
        <v>59</v>
      </c>
      <c r="U2" s="543" t="s">
        <v>60</v>
      </c>
      <c r="V2" s="543" t="s">
        <v>61</v>
      </c>
      <c r="W2" s="545" t="s">
        <v>62</v>
      </c>
      <c r="X2" s="546" t="s">
        <v>63</v>
      </c>
      <c r="Y2" s="546" t="s">
        <v>64</v>
      </c>
      <c r="Z2" s="546" t="s">
        <v>65</v>
      </c>
      <c r="AA2" s="547" t="s">
        <v>208</v>
      </c>
      <c r="AB2" s="549" t="s">
        <v>120</v>
      </c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CB2" s="5" t="s">
        <v>62</v>
      </c>
    </row>
    <row r="3" spans="1:80" s="459" customFormat="1">
      <c r="A3" s="579"/>
      <c r="B3" s="579"/>
      <c r="C3" s="579"/>
      <c r="D3" s="580"/>
      <c r="E3" s="579"/>
      <c r="F3" s="579"/>
      <c r="G3" s="579"/>
      <c r="H3" s="579"/>
      <c r="I3" s="581"/>
      <c r="J3" s="581"/>
      <c r="K3" s="581"/>
      <c r="L3" s="581"/>
      <c r="M3" s="581"/>
      <c r="N3" s="581"/>
      <c r="O3" s="581"/>
      <c r="P3" s="581"/>
      <c r="Q3" s="581"/>
      <c r="R3" s="581"/>
      <c r="S3" s="581"/>
      <c r="T3" s="581"/>
      <c r="U3" s="581"/>
      <c r="V3" s="581"/>
      <c r="W3" s="579"/>
      <c r="X3" s="579"/>
      <c r="Y3" s="579"/>
      <c r="Z3" s="579"/>
      <c r="AA3" s="579"/>
      <c r="AB3" s="582"/>
    </row>
  </sheetData>
  <dataConsolidate/>
  <phoneticPr fontId="24" type="noConversion"/>
  <dataValidations count="3">
    <dataValidation allowBlank="1" showErrorMessage="1" promptTitle="Lasten valinta" prompt="Valitse vetovalikosta lapsen nimi." sqref="B3" xr:uid="{6FCA700C-B7E5-47B6-804C-4EC2F6CA1028}"/>
    <dataValidation type="list" allowBlank="1" showInputMessage="1" showErrorMessage="1" sqref="E3:F3 AA3:AB1048576" xr:uid="{51285925-966F-4EB0-8AFF-B5A523AC79EB}">
      <formula1>"Kyllä,Ei"</formula1>
    </dataValidation>
    <dataValidation allowBlank="1" error="Et voi lisätä lapsia ryhmään jota ei ole olemassa. Käy ensin luomassa ryhmä Ryhmät-välilehdellä." promptTitle="Ryhmän valinta" prompt="Klikkaa nuolta ja valitse vetovalikosta ryhmä, johon lapsi kuuluu._x000a__x000a_Jos valikko on tyhjä, käy Ryhmät -välilehdessä lisäämässä ryhmiä." sqref="C3" xr:uid="{6CB948E6-CD8A-41ED-B359-F0FED6DF9BBD}"/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5087B9-AD63-402D-AF21-024BCEC33440}">
  <sheetPr codeName="Taul8">
    <tabColor rgb="FFFF0000"/>
  </sheetPr>
  <dimension ref="A1:U11"/>
  <sheetViews>
    <sheetView zoomScale="85" zoomScaleNormal="85" workbookViewId="0"/>
  </sheetViews>
  <sheetFormatPr defaultRowHeight="15"/>
  <cols>
    <col min="1" max="1" width="16.5703125" style="478" customWidth="1"/>
    <col min="2" max="2" width="51.140625" style="478" customWidth="1"/>
    <col min="3" max="21" width="9.140625" style="459"/>
  </cols>
  <sheetData>
    <row r="1" spans="1:4" s="464" customFormat="1" ht="47.45" customHeight="1">
      <c r="B1" s="517" t="s">
        <v>142</v>
      </c>
    </row>
    <row r="2" spans="1:4">
      <c r="A2" s="477" t="s">
        <v>122</v>
      </c>
      <c r="B2" s="477" t="s">
        <v>123</v>
      </c>
    </row>
    <row r="3" spans="1:4" ht="35.25" customHeight="1">
      <c r="A3" s="477"/>
      <c r="B3" s="489"/>
    </row>
    <row r="11" spans="1:4">
      <c r="D11" s="459" t="s">
        <v>213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9D6099-0A9A-44CE-9ECA-6F4E1025C5FB}">
  <sheetPr codeName="Sheet1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6FA548-61F2-483E-8A12-10066A934431}">
  <sheetPr codeName="Taul5">
    <tabColor rgb="FF2D8339"/>
  </sheetPr>
  <dimension ref="A1:H3"/>
  <sheetViews>
    <sheetView zoomScale="130" zoomScaleNormal="130" workbookViewId="0"/>
  </sheetViews>
  <sheetFormatPr defaultRowHeight="15"/>
  <cols>
    <col min="1" max="1" width="23.5703125" style="459" customWidth="1"/>
    <col min="2" max="2" width="34.7109375" style="459" customWidth="1"/>
    <col min="3" max="3" width="20.5703125" style="459" customWidth="1"/>
    <col min="4" max="4" width="13.7109375" style="459" bestFit="1" customWidth="1"/>
    <col min="5" max="5" width="11.5703125" style="459" customWidth="1"/>
    <col min="6" max="6" width="19" style="459" customWidth="1"/>
    <col min="7" max="7" width="10.7109375" style="476" bestFit="1" customWidth="1"/>
    <col min="8" max="8" width="11.7109375" style="459" bestFit="1" customWidth="1"/>
  </cols>
  <sheetData>
    <row r="1" spans="1:8" s="464" customFormat="1" ht="47.45" customHeight="1">
      <c r="A1" s="464" t="s">
        <v>204</v>
      </c>
      <c r="B1" s="516" t="s">
        <v>145</v>
      </c>
    </row>
    <row r="2" spans="1:8">
      <c r="A2" s="7" t="s">
        <v>42</v>
      </c>
      <c r="B2" s="8" t="s">
        <v>44</v>
      </c>
      <c r="C2" s="9" t="s">
        <v>45</v>
      </c>
      <c r="D2" s="480" t="s">
        <v>69</v>
      </c>
      <c r="E2" s="533" t="s">
        <v>119</v>
      </c>
      <c r="F2" s="534" t="s">
        <v>116</v>
      </c>
      <c r="G2" s="482" t="s">
        <v>117</v>
      </c>
      <c r="H2" s="481" t="s">
        <v>118</v>
      </c>
    </row>
    <row r="3" spans="1:8">
      <c r="A3" s="478"/>
      <c r="B3" s="598"/>
      <c r="C3" s="478"/>
      <c r="D3" s="478"/>
      <c r="E3" s="478"/>
      <c r="F3" s="478"/>
      <c r="G3" s="521"/>
      <c r="H3" s="478"/>
    </row>
  </sheetData>
  <phoneticPr fontId="24" type="noConversion"/>
  <dataValidations count="3">
    <dataValidation type="list" allowBlank="1" showInputMessage="1" showErrorMessage="1" errorTitle="Virheellinen syöte" error="Syötä vain ryhmiä, jotka ovat alasvetoluettelossa" promptTitle="Valitse ryhmä" prompt="Valitse ryhmä alasvetoluettelosta" sqref="C3" xr:uid="{6A2C7A1D-2C06-4347-B3E4-1A843519C1E1}">
      <formula1>",Muut,Punaiset,Päiväkoti,Mansikat,Vadelmat,Karpalot,Puolukat,Karviaiset,Mustikat,Hillat,Juolukat,Vain koko päiväkoti,Ei"</formula1>
    </dataValidation>
    <dataValidation type="list" allowBlank="1" showInputMessage="1" showErrorMessage="1" sqref="D3:D1048576 H3:H1048576" xr:uid="{4D7A6FAD-6644-4958-A1BE-B0266986A0C0}">
      <formula1>"Kyllä,Ei"</formula1>
    </dataValidation>
    <dataValidation type="whole" allowBlank="1" showInputMessage="1" showErrorMessage="1" errorTitle="Virhe" error="Työaikaprosentin on oltava välillä 0-100" prompt="Työajan prosentti" sqref="G3:G1048576" xr:uid="{86ED50C0-61E6-4F6B-BA0A-385C3EE61DA5}">
      <formula1>0</formula1>
      <formula2>100</formula2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1F579D-96FB-4348-8635-CD4BE3019FE7}">
  <sheetPr codeName="Sheet52"/>
  <dimension ref="A1:AH16"/>
  <sheetViews>
    <sheetView zoomScale="84" zoomScaleNormal="84" workbookViewId="0">
      <selection activeCell="E21" sqref="E21"/>
    </sheetView>
  </sheetViews>
  <sheetFormatPr defaultRowHeight="15"/>
  <sheetData>
    <row r="1" spans="1:34" ht="30.75" thickBot="1">
      <c r="A1" s="536" t="s">
        <v>12</v>
      </c>
      <c r="B1" s="537" t="s">
        <v>42</v>
      </c>
      <c r="C1" s="538" t="s">
        <v>44</v>
      </c>
      <c r="D1" s="539" t="s">
        <v>45</v>
      </c>
      <c r="E1" s="540" t="s">
        <v>46</v>
      </c>
      <c r="F1" s="541" t="s">
        <v>47</v>
      </c>
      <c r="G1" s="542" t="s">
        <v>36</v>
      </c>
      <c r="H1" s="543" t="s">
        <v>48</v>
      </c>
      <c r="I1" s="543" t="s">
        <v>49</v>
      </c>
      <c r="J1" s="543" t="s">
        <v>50</v>
      </c>
      <c r="K1" s="544" t="s">
        <v>51</v>
      </c>
      <c r="L1" s="543" t="s">
        <v>52</v>
      </c>
      <c r="M1" s="543" t="s">
        <v>53</v>
      </c>
      <c r="N1" s="544" t="s">
        <v>54</v>
      </c>
      <c r="O1" s="543" t="s">
        <v>55</v>
      </c>
      <c r="P1" s="543" t="s">
        <v>56</v>
      </c>
      <c r="Q1" s="543" t="s">
        <v>57</v>
      </c>
      <c r="R1" s="543" t="s">
        <v>58</v>
      </c>
      <c r="S1" s="543" t="s">
        <v>59</v>
      </c>
      <c r="T1" s="543" t="s">
        <v>60</v>
      </c>
      <c r="U1" s="543" t="s">
        <v>61</v>
      </c>
      <c r="V1" s="545" t="s">
        <v>62</v>
      </c>
      <c r="W1" s="546" t="s">
        <v>63</v>
      </c>
      <c r="X1" s="546" t="s">
        <v>64</v>
      </c>
      <c r="Y1" s="546" t="s">
        <v>65</v>
      </c>
      <c r="Z1" s="547" t="s">
        <v>66</v>
      </c>
      <c r="AA1" s="548" t="s">
        <v>67</v>
      </c>
      <c r="AB1" s="549" t="s">
        <v>120</v>
      </c>
    </row>
    <row r="2" spans="1:34" ht="30">
      <c r="A2" s="550"/>
      <c r="B2" s="551"/>
      <c r="C2" s="551"/>
      <c r="D2" s="551" t="s">
        <v>205</v>
      </c>
      <c r="E2" s="552"/>
      <c r="F2" s="551"/>
      <c r="G2" s="551"/>
      <c r="H2" s="553">
        <v>0.375</v>
      </c>
      <c r="I2" s="553">
        <v>0.67708333333333337</v>
      </c>
      <c r="J2" s="553">
        <v>0.3125</v>
      </c>
      <c r="K2" s="553">
        <v>0.64583333333333337</v>
      </c>
      <c r="L2" s="553">
        <v>0.375</v>
      </c>
      <c r="M2" s="553">
        <v>0.66666666666666663</v>
      </c>
      <c r="N2" s="553">
        <v>0.4375</v>
      </c>
      <c r="O2" s="553">
        <v>0.77083333333333337</v>
      </c>
      <c r="P2" s="553">
        <v>0.3125</v>
      </c>
      <c r="Q2" s="553">
        <v>0.64583333333333337</v>
      </c>
      <c r="R2" s="553" t="s">
        <v>68</v>
      </c>
      <c r="S2" s="553" t="s">
        <v>68</v>
      </c>
      <c r="T2" s="553" t="s">
        <v>68</v>
      </c>
      <c r="U2" s="553" t="s">
        <v>68</v>
      </c>
      <c r="V2" s="551"/>
      <c r="W2" s="551"/>
      <c r="X2" s="551" t="s">
        <v>203</v>
      </c>
      <c r="Y2" s="551"/>
      <c r="Z2" s="551">
        <v>80421</v>
      </c>
      <c r="AA2" s="551"/>
      <c r="AB2" s="554" t="s">
        <v>3</v>
      </c>
    </row>
    <row r="4" spans="1:34" ht="30.75" thickBot="1">
      <c r="A4" s="537" t="s">
        <v>42</v>
      </c>
      <c r="B4" s="538" t="s">
        <v>44</v>
      </c>
      <c r="C4" s="539" t="s">
        <v>45</v>
      </c>
      <c r="D4" s="540" t="s">
        <v>46</v>
      </c>
      <c r="E4" s="541" t="s">
        <v>47</v>
      </c>
      <c r="F4" s="548" t="s">
        <v>207</v>
      </c>
      <c r="G4" s="542" t="s">
        <v>36</v>
      </c>
      <c r="H4" s="542" t="s">
        <v>209</v>
      </c>
      <c r="I4" s="543" t="s">
        <v>48</v>
      </c>
      <c r="J4" s="543" t="s">
        <v>49</v>
      </c>
      <c r="K4" s="543" t="s">
        <v>50</v>
      </c>
      <c r="L4" s="544" t="s">
        <v>51</v>
      </c>
      <c r="M4" s="543" t="s">
        <v>52</v>
      </c>
      <c r="N4" s="543" t="s">
        <v>53</v>
      </c>
      <c r="O4" s="544" t="s">
        <v>54</v>
      </c>
      <c r="P4" s="543" t="s">
        <v>55</v>
      </c>
      <c r="Q4" s="543" t="s">
        <v>56</v>
      </c>
      <c r="R4" s="543" t="s">
        <v>57</v>
      </c>
      <c r="S4" s="543" t="s">
        <v>58</v>
      </c>
      <c r="T4" s="543" t="s">
        <v>59</v>
      </c>
      <c r="U4" s="543" t="s">
        <v>60</v>
      </c>
      <c r="V4" s="543" t="s">
        <v>61</v>
      </c>
      <c r="W4" s="545" t="s">
        <v>62</v>
      </c>
      <c r="X4" s="546" t="s">
        <v>63</v>
      </c>
      <c r="Y4" s="546" t="s">
        <v>64</v>
      </c>
      <c r="Z4" s="546" t="s">
        <v>65</v>
      </c>
      <c r="AA4" s="547" t="s">
        <v>208</v>
      </c>
      <c r="AB4" s="549" t="s">
        <v>120</v>
      </c>
    </row>
    <row r="5" spans="1:34">
      <c r="A5" s="551"/>
      <c r="B5" s="551"/>
      <c r="C5" s="551"/>
      <c r="D5" s="552"/>
      <c r="E5" s="551"/>
      <c r="F5" s="551"/>
      <c r="G5" s="551"/>
      <c r="H5" s="551"/>
      <c r="I5" s="553">
        <v>0.375</v>
      </c>
      <c r="J5" s="553">
        <v>0.67708333333333337</v>
      </c>
      <c r="K5" s="553">
        <v>0.3125</v>
      </c>
      <c r="L5" s="553">
        <v>0.64583333333333337</v>
      </c>
      <c r="M5" s="553">
        <v>0.375</v>
      </c>
      <c r="N5" s="553">
        <v>0.66666666666666663</v>
      </c>
      <c r="O5" s="553">
        <v>0.4375</v>
      </c>
      <c r="P5" s="553">
        <v>0.77083333333333337</v>
      </c>
      <c r="Q5" s="553">
        <v>0.3125</v>
      </c>
      <c r="R5" s="553">
        <v>0.64583333333333337</v>
      </c>
      <c r="S5" s="553" t="s">
        <v>68</v>
      </c>
      <c r="T5" s="553" t="s">
        <v>68</v>
      </c>
      <c r="U5" s="553" t="s">
        <v>68</v>
      </c>
      <c r="V5" s="553" t="s">
        <v>68</v>
      </c>
      <c r="W5" s="551"/>
      <c r="X5" s="551"/>
      <c r="Y5" s="551" t="s">
        <v>203</v>
      </c>
      <c r="Z5" s="551"/>
      <c r="AA5" s="551" t="s">
        <v>0</v>
      </c>
      <c r="AB5" s="554" t="s">
        <v>3</v>
      </c>
    </row>
    <row r="6" spans="1:34">
      <c r="H6" s="2"/>
    </row>
    <row r="9" spans="1:34" ht="75.75" thickBot="1">
      <c r="A9" s="555" t="s">
        <v>12</v>
      </c>
      <c r="B9" s="555" t="s">
        <v>13</v>
      </c>
      <c r="C9" s="555" t="s">
        <v>8</v>
      </c>
      <c r="D9" s="556" t="s">
        <v>14</v>
      </c>
      <c r="E9" s="556" t="s">
        <v>15</v>
      </c>
      <c r="F9" s="556" t="s">
        <v>16</v>
      </c>
      <c r="G9" s="556" t="s">
        <v>17</v>
      </c>
      <c r="H9" s="556" t="s">
        <v>18</v>
      </c>
      <c r="I9" s="557" t="s">
        <v>19</v>
      </c>
      <c r="J9" s="557" t="s">
        <v>20</v>
      </c>
      <c r="K9" s="557" t="s">
        <v>22</v>
      </c>
      <c r="L9" s="557" t="s">
        <v>23</v>
      </c>
      <c r="M9" s="557" t="s">
        <v>177</v>
      </c>
      <c r="N9" s="557" t="s">
        <v>25</v>
      </c>
      <c r="O9" s="557" t="s">
        <v>178</v>
      </c>
      <c r="P9" s="557" t="s">
        <v>27</v>
      </c>
      <c r="Q9" s="557" t="s">
        <v>28</v>
      </c>
      <c r="R9" s="557" t="s">
        <v>29</v>
      </c>
      <c r="S9" s="557" t="s">
        <v>30</v>
      </c>
      <c r="T9" s="557" t="s">
        <v>31</v>
      </c>
      <c r="U9" s="556" t="s">
        <v>32</v>
      </c>
      <c r="V9" s="558" t="s">
        <v>36</v>
      </c>
      <c r="W9" s="559" t="s">
        <v>37</v>
      </c>
      <c r="X9" s="559" t="s">
        <v>38</v>
      </c>
      <c r="Y9" s="559" t="s">
        <v>39</v>
      </c>
      <c r="Z9" s="559" t="s">
        <v>40</v>
      </c>
      <c r="AA9" s="560" t="s">
        <v>10</v>
      </c>
      <c r="AB9" s="561" t="s">
        <v>41</v>
      </c>
      <c r="AC9" s="559" t="s">
        <v>137</v>
      </c>
      <c r="AD9" s="559" t="s">
        <v>138</v>
      </c>
      <c r="AE9" s="559" t="s">
        <v>141</v>
      </c>
      <c r="AF9" s="559" t="s">
        <v>136</v>
      </c>
      <c r="AG9" s="559" t="s">
        <v>139</v>
      </c>
      <c r="AH9" s="559" t="s">
        <v>140</v>
      </c>
    </row>
    <row r="10" spans="1:34">
      <c r="A10" s="562">
        <v>9</v>
      </c>
      <c r="B10" s="563" t="s">
        <v>0</v>
      </c>
      <c r="C10" s="564" t="s">
        <v>206</v>
      </c>
      <c r="D10" s="563" t="s">
        <v>62</v>
      </c>
      <c r="E10" s="565">
        <v>0.26041666666666669</v>
      </c>
      <c r="F10" s="565">
        <v>0.7090277777777777</v>
      </c>
      <c r="G10" s="565">
        <v>0.5</v>
      </c>
      <c r="H10" s="565">
        <v>0.58333333333333337</v>
      </c>
      <c r="I10" s="563" t="s">
        <v>101</v>
      </c>
      <c r="J10" s="563" t="s">
        <v>102</v>
      </c>
      <c r="K10" s="565">
        <v>0.3263888888888889</v>
      </c>
      <c r="L10" s="565">
        <v>0.34375</v>
      </c>
      <c r="M10" s="565">
        <v>0.49305555555555558</v>
      </c>
      <c r="N10" s="565">
        <v>0.5</v>
      </c>
      <c r="O10" s="565">
        <v>0.57986111111111105</v>
      </c>
      <c r="P10" s="565">
        <v>0.59375</v>
      </c>
      <c r="Q10" s="565">
        <v>0.72986111111111107</v>
      </c>
      <c r="R10" s="565">
        <v>0.73958333333333337</v>
      </c>
      <c r="S10" s="565">
        <v>0.80208333333333337</v>
      </c>
      <c r="T10" s="565">
        <v>0.80208333333333337</v>
      </c>
      <c r="U10" s="563" t="s">
        <v>3</v>
      </c>
      <c r="V10" s="563" t="s">
        <v>3</v>
      </c>
      <c r="W10" s="563" t="s">
        <v>0</v>
      </c>
      <c r="X10" s="563" t="s">
        <v>62</v>
      </c>
      <c r="Y10" s="563" t="s">
        <v>43</v>
      </c>
      <c r="Z10" s="566">
        <v>2</v>
      </c>
      <c r="AA10" s="563" t="s">
        <v>3</v>
      </c>
      <c r="AB10" s="563" t="s">
        <v>3</v>
      </c>
      <c r="AC10" s="535" t="s">
        <v>0</v>
      </c>
      <c r="AD10" s="567">
        <v>0</v>
      </c>
      <c r="AE10" s="567">
        <v>0.33333333333333331</v>
      </c>
      <c r="AF10" s="535" t="s">
        <v>3</v>
      </c>
      <c r="AG10" s="567">
        <v>0.70833333333333337</v>
      </c>
      <c r="AH10" s="568">
        <v>0.99930555555555556</v>
      </c>
    </row>
    <row r="12" spans="1:34" ht="75.75" thickBot="1">
      <c r="A12" s="572" t="s">
        <v>8</v>
      </c>
      <c r="B12" s="572" t="s">
        <v>13</v>
      </c>
      <c r="C12" s="572" t="s">
        <v>12</v>
      </c>
      <c r="D12" s="572" t="s">
        <v>36</v>
      </c>
      <c r="E12" s="572" t="s">
        <v>10</v>
      </c>
      <c r="F12" s="572" t="s">
        <v>41</v>
      </c>
      <c r="G12" s="569" t="s">
        <v>32</v>
      </c>
      <c r="H12" s="569" t="s">
        <v>14</v>
      </c>
      <c r="I12" s="569" t="s">
        <v>15</v>
      </c>
      <c r="J12" s="569" t="s">
        <v>16</v>
      </c>
      <c r="K12" s="569" t="s">
        <v>17</v>
      </c>
      <c r="L12" s="569" t="s">
        <v>18</v>
      </c>
      <c r="M12" s="570" t="s">
        <v>19</v>
      </c>
      <c r="N12" s="570" t="s">
        <v>20</v>
      </c>
      <c r="O12" s="570" t="s">
        <v>22</v>
      </c>
      <c r="P12" s="570" t="s">
        <v>23</v>
      </c>
      <c r="Q12" s="570" t="s">
        <v>177</v>
      </c>
      <c r="R12" s="570" t="s">
        <v>25</v>
      </c>
      <c r="S12" s="570" t="s">
        <v>178</v>
      </c>
      <c r="T12" s="570" t="s">
        <v>27</v>
      </c>
      <c r="U12" s="570" t="s">
        <v>28</v>
      </c>
      <c r="V12" s="570" t="s">
        <v>29</v>
      </c>
      <c r="W12" s="570" t="s">
        <v>30</v>
      </c>
      <c r="X12" s="570" t="s">
        <v>31</v>
      </c>
      <c r="Y12" s="573" t="s">
        <v>137</v>
      </c>
      <c r="Z12" s="573" t="s">
        <v>138</v>
      </c>
      <c r="AA12" s="573" t="s">
        <v>141</v>
      </c>
      <c r="AB12" s="573" t="s">
        <v>136</v>
      </c>
      <c r="AC12" s="573" t="s">
        <v>139</v>
      </c>
      <c r="AD12" s="573" t="s">
        <v>140</v>
      </c>
      <c r="AE12" s="571" t="s">
        <v>37</v>
      </c>
      <c r="AF12" s="571" t="s">
        <v>38</v>
      </c>
      <c r="AG12" s="571" t="s">
        <v>39</v>
      </c>
      <c r="AH12" s="571" t="s">
        <v>40</v>
      </c>
    </row>
    <row r="13" spans="1:34">
      <c r="A13" s="564" t="s">
        <v>206</v>
      </c>
      <c r="B13" s="563" t="s">
        <v>0</v>
      </c>
      <c r="C13" s="562">
        <v>9</v>
      </c>
      <c r="D13" s="563" t="s">
        <v>3</v>
      </c>
      <c r="E13" s="563" t="s">
        <v>3</v>
      </c>
      <c r="F13" s="563" t="s">
        <v>3</v>
      </c>
      <c r="G13" s="563" t="s">
        <v>3</v>
      </c>
      <c r="H13" s="563" t="s">
        <v>62</v>
      </c>
      <c r="I13" s="565">
        <v>0.26041666666666669</v>
      </c>
      <c r="J13" s="565">
        <v>0.7090277777777777</v>
      </c>
      <c r="K13" s="565">
        <v>0.5</v>
      </c>
      <c r="L13" s="565">
        <v>0.58333333333333337</v>
      </c>
      <c r="M13" s="563" t="s">
        <v>101</v>
      </c>
      <c r="N13" s="563" t="s">
        <v>102</v>
      </c>
      <c r="O13" s="565">
        <v>0.3263888888888889</v>
      </c>
      <c r="P13" s="565">
        <v>0.34375</v>
      </c>
      <c r="Q13" s="565">
        <v>0.49305555555555558</v>
      </c>
      <c r="R13" s="565">
        <v>0.5</v>
      </c>
      <c r="S13" s="565">
        <v>0.57986111111111105</v>
      </c>
      <c r="T13" s="565">
        <v>0.59375</v>
      </c>
      <c r="U13" s="565">
        <v>0.72986111111111107</v>
      </c>
      <c r="V13" s="565">
        <v>0.73958333333333337</v>
      </c>
      <c r="W13" s="565">
        <v>0.80208333333333337</v>
      </c>
      <c r="X13" s="565">
        <v>0.80208333333333337</v>
      </c>
      <c r="Y13" s="535" t="s">
        <v>3</v>
      </c>
      <c r="Z13" s="567">
        <v>0</v>
      </c>
      <c r="AA13" s="567">
        <v>0.33333333333333331</v>
      </c>
      <c r="AB13" s="535" t="s">
        <v>3</v>
      </c>
      <c r="AC13" s="567">
        <v>0.70833333333333337</v>
      </c>
      <c r="AD13" s="568">
        <v>0.99930555555555556</v>
      </c>
      <c r="AE13" s="563" t="s">
        <v>3</v>
      </c>
      <c r="AF13" s="563" t="s">
        <v>62</v>
      </c>
      <c r="AG13" s="563" t="s">
        <v>43</v>
      </c>
      <c r="AH13" s="566">
        <v>2</v>
      </c>
    </row>
    <row r="16" spans="1:34">
      <c r="A16">
        <v>1</v>
      </c>
      <c r="B16">
        <v>2</v>
      </c>
      <c r="C16">
        <v>3</v>
      </c>
      <c r="D16">
        <v>4</v>
      </c>
      <c r="E16">
        <v>5</v>
      </c>
      <c r="F16">
        <v>6</v>
      </c>
      <c r="G16">
        <v>7</v>
      </c>
      <c r="H16">
        <v>8</v>
      </c>
      <c r="I16">
        <v>9</v>
      </c>
      <c r="J16">
        <v>10</v>
      </c>
      <c r="K16">
        <v>11</v>
      </c>
      <c r="L16">
        <v>12</v>
      </c>
      <c r="M16">
        <v>13</v>
      </c>
      <c r="N16">
        <v>14</v>
      </c>
      <c r="O16">
        <v>15</v>
      </c>
      <c r="P16">
        <v>16</v>
      </c>
      <c r="Q16">
        <v>17</v>
      </c>
      <c r="R16">
        <v>18</v>
      </c>
      <c r="S16">
        <v>19</v>
      </c>
      <c r="T16">
        <v>20</v>
      </c>
      <c r="U16">
        <v>21</v>
      </c>
      <c r="V16">
        <v>22</v>
      </c>
      <c r="W16">
        <v>23</v>
      </c>
      <c r="X16">
        <v>24</v>
      </c>
      <c r="Y16">
        <v>25</v>
      </c>
      <c r="Z16">
        <v>26</v>
      </c>
      <c r="AA16">
        <v>27</v>
      </c>
      <c r="AB16">
        <v>28</v>
      </c>
      <c r="AC16">
        <v>29</v>
      </c>
      <c r="AD16">
        <v>30</v>
      </c>
      <c r="AE16">
        <v>31</v>
      </c>
      <c r="AF16">
        <v>32</v>
      </c>
      <c r="AG16">
        <v>33</v>
      </c>
      <c r="AH16">
        <v>34</v>
      </c>
    </row>
  </sheetData>
  <dataValidations count="12">
    <dataValidation type="list" allowBlank="1" showInputMessage="1" showErrorMessage="1" sqref="F2 AA2:AB2 Y13 D13 B13 F13 AB13 AB10:AC10 V10 B10 AF10 E5:F5 AA5:AB5" xr:uid="{4DF0427D-CA6F-4DAF-BB38-FF490742E881}">
      <formula1>"Kyllä,Ei"</formula1>
    </dataValidation>
    <dataValidation allowBlank="1" error="Et voi lisätä lapsia ryhmään jota ei ole olemassa. Käy ensin luomassa ryhmä Ryhmät-välilehdellä." promptTitle="Ryhmän valinta" prompt="Klikkaa nuolta ja valitse vetovalikosta ryhmä, johon lapsi kuuluu._x000a__x000a_Jos valikko on tyhjä, käy Ryhmät -välilehdessä lisäämässä ryhmiä." sqref="D2 C5" xr:uid="{5F4DD946-F62F-45E7-BDBA-BA5B36795C25}"/>
    <dataValidation allowBlank="1" showErrorMessage="1" promptTitle="Lasten valinta" prompt="Valitse vetovalikosta lapsen nimi." sqref="C2 B5" xr:uid="{E47E23B2-EA81-4021-9FA6-AF3C4B618DBC}"/>
    <dataValidation type="whole" operator="greaterThanOrEqual" allowBlank="1" showInputMessage="1" showErrorMessage="1" sqref="C13 A10" xr:uid="{440F8BF0-BF03-4360-A81F-76EAE8BDB3BC}">
      <formula1>0</formula1>
    </dataValidation>
    <dataValidation type="list" allowBlank="1" showInputMessage="1" showErrorMessage="1" sqref="AE13 W10" xr:uid="{3196C220-392A-454A-BAAC-B7F6C78F5E73}">
      <formula1>"Ei,Kyllä,Kyllä - poissaolevat"</formula1>
    </dataValidation>
    <dataValidation type="list" allowBlank="1" showInputMessage="1" showErrorMessage="1" sqref="E13 AA10" xr:uid="{5BE7A6C9-E912-433A-BE5D-5CCC8D69C1F1}">
      <formula1>"Ei,Keltainen,Musta,Oranssi,Pinkki,Punainen,Sininen,Turkoosi,Vihreä,Violetti"</formula1>
    </dataValidation>
    <dataValidation type="list" allowBlank="1" showInputMessage="1" showErrorMessage="1" sqref="H13 D10 AF13" xr:uid="{567A3A2D-E1FD-4DC4-B545-D5CFF81E5B31}">
      <formula1>"Kutsumanimi,Sukunimi"</formula1>
    </dataValidation>
    <dataValidation type="list" allowBlank="1" showInputMessage="1" showErrorMessage="1" sqref="G13" xr:uid="{D7B5C007-7D95-4CFC-A0A5-BEEC49CAB21D}">
      <formula1>"Ei,Ma-pe,Ma-su"</formula1>
    </dataValidation>
    <dataValidation type="list" allowBlank="1" showInputMessage="1" showErrorMessage="1" sqref="M13" xr:uid="{3B09D632-45BC-462D-980D-742599E31F57}">
      <formula1>"Ei,Ma-pe,Ma-pe, vain ilta,Ma-pe + ilta,Ma-su + ilta"</formula1>
    </dataValidation>
    <dataValidation type="list" allowBlank="1" showInputMessage="1" showErrorMessage="1" sqref="N13" xr:uid="{DE856606-595B-44E0-92C9-EA41127ADC5C}">
      <formula1>"Pieni fontti,Pieni fontti - poissa,Pieni fontti - poissa - tyhjät,Iso fontti,Iso fontti - poissa,Iso fontti - poissa - tyhjät"</formula1>
    </dataValidation>
    <dataValidation type="list" allowBlank="1" showInputMessage="1" showErrorMessage="1" sqref="AG13" xr:uid="{CE5F2D68-78AA-438A-BF1B-5AA48740D01B}">
      <formula1>"Pysty,Pysty + wc,Vaaka,Vaaka + wc,Kustomoitu"</formula1>
    </dataValidation>
    <dataValidation type="list" allowBlank="1" showInputMessage="1" showErrorMessage="1" sqref="AH13" xr:uid="{80371941-39FF-45F2-AF70-A2081AE4EC41}">
      <formula1>"0,1,2,3,4,5,6,7,8,9,10,11,12,13,14,15,16,17,18,19,20"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D284A2FE-82FD-4FFC-AFC8-3AB6CBDDB8CD}">
          <x14:formula1>
            <xm:f>Code!$A$84:$A$86</xm:f>
          </x14:formula1>
          <xm:sqref>U10</xm:sqref>
        </x14:dataValidation>
        <x14:dataValidation type="list" allowBlank="1" showInputMessage="1" showErrorMessage="1" xr:uid="{0787CEE7-B327-4C0C-8420-E7C7135C4D33}">
          <x14:formula1>
            <xm:f>Code!$A$118:$A$123</xm:f>
          </x14:formula1>
          <xm:sqref>J10</xm:sqref>
        </x14:dataValidation>
        <x14:dataValidation type="list" allowBlank="1" showInputMessage="1" showErrorMessage="1" xr:uid="{40EA8A29-7E80-4982-9B58-D4D7251AD342}">
          <x14:formula1>
            <xm:f>Code!$A$108:$A$112</xm:f>
          </x14:formula1>
          <xm:sqref>I10</xm:sqref>
        </x14:dataValidation>
        <x14:dataValidation type="list" allowBlank="1" showInputMessage="1" showErrorMessage="1" xr:uid="{A5262B27-8687-4E62-BECD-34F08C015A99}">
          <x14:formula1>
            <xm:f>Code!$A$69:$A$73</xm:f>
          </x14:formula1>
          <xm:sqref>Y10</xm:sqref>
        </x14:dataValidation>
        <x14:dataValidation type="list" allowBlank="1" showInputMessage="1" showErrorMessage="1" xr:uid="{3FF2FC3D-C574-45FE-B073-CA6F889808E4}">
          <x14:formula1>
            <xm:f>Code!$A$133:$A$153</xm:f>
          </x14:formula1>
          <xm:sqref>Z10</xm:sqref>
        </x14:dataValidation>
        <x14:dataValidation type="list" allowBlank="1" showInputMessage="1" showErrorMessage="1" xr:uid="{E32E70DA-FC31-44E5-8FAA-D49F1F8B23A3}">
          <x14:formula1>
            <xm:f>Code!$A$7:$A$8</xm:f>
          </x14:formula1>
          <xm:sqref>X10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CC597D-B785-433D-9C29-A67F7259B3A3}">
  <sheetPr codeName="Taul2"/>
  <dimension ref="A1"/>
  <sheetViews>
    <sheetView zoomScale="145" zoomScaleNormal="145" workbookViewId="0"/>
  </sheetViews>
  <sheetFormatPr defaultColWidth="9.140625" defaultRowHeight="15"/>
  <cols>
    <col min="1" max="1" width="17" customWidth="1"/>
    <col min="2" max="2" width="13.7109375" customWidth="1"/>
    <col min="3" max="6" width="12.140625" bestFit="1" customWidth="1"/>
  </cols>
  <sheetData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04653-93B5-4A65-AECB-9651A0DDFC74}">
  <sheetPr codeName="Taul4"/>
  <dimension ref="A1"/>
  <sheetViews>
    <sheetView workbookViewId="0"/>
  </sheetViews>
  <sheetFormatPr defaultRowHeight="15"/>
  <cols>
    <col min="1" max="1" width="40.28515625" customWidth="1"/>
    <col min="2" max="2" width="17.5703125" bestFit="1" customWidth="1"/>
    <col min="3" max="3" width="22.140625" bestFit="1" customWidth="1"/>
    <col min="4" max="4" width="14" bestFit="1" customWidth="1"/>
    <col min="5" max="5" width="20.28515625" bestFit="1" customWidth="1"/>
    <col min="6" max="6" width="12" bestFit="1" customWidth="1"/>
    <col min="7" max="7" width="16.5703125" bestFit="1" customWidth="1"/>
    <col min="8" max="8" width="18.140625" bestFit="1" customWidth="1"/>
    <col min="9" max="9" width="17" bestFit="1" customWidth="1"/>
    <col min="10" max="10" width="13.5703125" bestFit="1" customWidth="1"/>
    <col min="11" max="11" width="11.28515625" bestFit="1" customWidth="1"/>
  </cols>
  <sheetData/>
  <dataConsolidate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DD43D-F8F9-41ED-96E5-144C57816482}">
  <sheetPr codeName="Taul26"/>
  <dimension ref="A1:AH2"/>
  <sheetViews>
    <sheetView workbookViewId="0"/>
  </sheetViews>
  <sheetFormatPr defaultRowHeight="15"/>
  <cols>
    <col min="1" max="1" width="10.85546875" bestFit="1" customWidth="1"/>
    <col min="2" max="2" width="11" bestFit="1" customWidth="1"/>
    <col min="3" max="3" width="14.85546875" bestFit="1" customWidth="1"/>
    <col min="4" max="4" width="28.140625" bestFit="1" customWidth="1"/>
    <col min="5" max="5" width="39" bestFit="1" customWidth="1"/>
    <col min="6" max="6" width="42.42578125" bestFit="1" customWidth="1"/>
    <col min="7" max="7" width="18.140625" bestFit="1" customWidth="1"/>
    <col min="8" max="8" width="19.7109375" bestFit="1" customWidth="1"/>
    <col min="9" max="9" width="21.5703125" bestFit="1" customWidth="1"/>
    <col min="10" max="10" width="23" bestFit="1" customWidth="1"/>
    <col min="11" max="12" width="13.5703125" bestFit="1" customWidth="1"/>
    <col min="13" max="13" width="9.42578125" bestFit="1" customWidth="1"/>
    <col min="14" max="14" width="12" bestFit="1" customWidth="1"/>
    <col min="15" max="15" width="10.42578125" bestFit="1" customWidth="1"/>
    <col min="16" max="16" width="12" bestFit="1" customWidth="1"/>
    <col min="17" max="18" width="14.5703125" bestFit="1" customWidth="1"/>
    <col min="19" max="20" width="12" bestFit="1" customWidth="1"/>
    <col min="21" max="21" width="21.5703125" bestFit="1" customWidth="1"/>
    <col min="22" max="22" width="11.42578125" bestFit="1" customWidth="1"/>
    <col min="23" max="23" width="23.85546875" bestFit="1" customWidth="1"/>
    <col min="24" max="24" width="30.28515625" bestFit="1" customWidth="1"/>
    <col min="25" max="25" width="41.42578125" bestFit="1" customWidth="1"/>
    <col min="26" max="26" width="16.85546875" bestFit="1" customWidth="1"/>
    <col min="27" max="27" width="18.28515625" bestFit="1" customWidth="1"/>
    <col min="28" max="28" width="23.85546875" bestFit="1" customWidth="1"/>
    <col min="29" max="29" width="21.28515625" bestFit="1" customWidth="1"/>
    <col min="30" max="30" width="17.7109375" bestFit="1" customWidth="1"/>
    <col min="31" max="31" width="19.140625" bestFit="1" customWidth="1"/>
    <col min="32" max="32" width="18.85546875" bestFit="1" customWidth="1"/>
  </cols>
  <sheetData>
    <row r="1" spans="1:34">
      <c r="A1" t="s">
        <v>12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36</v>
      </c>
      <c r="H1" t="s">
        <v>48</v>
      </c>
      <c r="I1" t="s">
        <v>49</v>
      </c>
      <c r="J1" t="s">
        <v>50</v>
      </c>
      <c r="K1" t="s">
        <v>51</v>
      </c>
      <c r="L1" t="s">
        <v>52</v>
      </c>
      <c r="M1" t="s">
        <v>53</v>
      </c>
      <c r="N1" t="s">
        <v>54</v>
      </c>
      <c r="O1" t="s">
        <v>55</v>
      </c>
      <c r="P1" t="s">
        <v>56</v>
      </c>
      <c r="Q1" t="s">
        <v>57</v>
      </c>
      <c r="R1" t="s">
        <v>58</v>
      </c>
      <c r="S1" t="s">
        <v>59</v>
      </c>
      <c r="T1" t="s">
        <v>60</v>
      </c>
      <c r="U1" t="s">
        <v>61</v>
      </c>
      <c r="V1" t="s">
        <v>62</v>
      </c>
      <c r="W1" t="s">
        <v>63</v>
      </c>
      <c r="X1" t="s">
        <v>64</v>
      </c>
      <c r="Y1" t="s">
        <v>65</v>
      </c>
      <c r="Z1" t="s">
        <v>66</v>
      </c>
      <c r="AA1" t="s">
        <v>67</v>
      </c>
      <c r="AB1" t="s">
        <v>120</v>
      </c>
      <c r="AC1" t="s">
        <v>137</v>
      </c>
      <c r="AD1" t="s">
        <v>138</v>
      </c>
      <c r="AE1" t="s">
        <v>141</v>
      </c>
      <c r="AF1" t="s">
        <v>136</v>
      </c>
      <c r="AG1" t="s">
        <v>139</v>
      </c>
      <c r="AH1" t="s">
        <v>140</v>
      </c>
    </row>
    <row r="2" spans="1:34">
      <c r="A2" s="521"/>
      <c r="B2" s="478"/>
      <c r="C2" s="478"/>
      <c r="D2" s="478"/>
      <c r="E2" s="521"/>
      <c r="F2" s="478"/>
      <c r="G2" s="478"/>
      <c r="H2" s="520"/>
      <c r="I2" s="520"/>
      <c r="J2" s="520"/>
      <c r="K2" s="520"/>
      <c r="L2" s="520"/>
      <c r="M2" s="520"/>
      <c r="N2" s="520"/>
      <c r="O2" s="520"/>
      <c r="P2" s="520"/>
      <c r="Q2" s="520"/>
      <c r="R2" s="520"/>
      <c r="S2" s="520"/>
      <c r="T2" s="520"/>
      <c r="U2" s="520"/>
      <c r="V2" s="478"/>
      <c r="W2" s="478"/>
      <c r="X2" s="478"/>
      <c r="Y2" s="478"/>
      <c r="Z2" s="478"/>
      <c r="AA2" s="478"/>
      <c r="AB2" s="478"/>
    </row>
  </sheetData>
  <dataValidations count="1">
    <dataValidation allowBlank="1" showInputMessage="1" showErrorMessage="1" sqref="A2:AB2" xr:uid="{EDDB9D88-52F9-44F0-BE91-2553A6C5A2BC}"/>
  </dataValidations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BFC17-A1EE-49CB-B628-ED3861E56F6E}">
  <sheetPr codeName="Taul25"/>
  <dimension ref="A1:AL179"/>
  <sheetViews>
    <sheetView zoomScale="115" zoomScaleNormal="115" workbookViewId="0">
      <pane xSplit="3" topLeftCell="D1" activePane="topRight" state="frozen"/>
      <selection pane="topRight"/>
    </sheetView>
  </sheetViews>
  <sheetFormatPr defaultColWidth="9.140625" defaultRowHeight="15"/>
  <cols>
    <col min="1" max="1" width="11.85546875" style="518" customWidth="1"/>
    <col min="2" max="2" width="10.28515625" style="1" customWidth="1"/>
    <col min="3" max="3" width="8.28515625" style="1" customWidth="1"/>
    <col min="4" max="4" width="12.7109375" style="1" bestFit="1" customWidth="1"/>
    <col min="5" max="5" width="14.140625" style="1" bestFit="1" customWidth="1"/>
    <col min="6" max="6" width="13.7109375" style="1" customWidth="1"/>
    <col min="7" max="37" width="25.7109375" style="1" customWidth="1"/>
    <col min="38" max="16384" width="9.140625" style="1"/>
  </cols>
  <sheetData>
    <row r="1" spans="1:38" ht="47.45" customHeight="1"/>
    <row r="2" spans="1:38">
      <c r="A2" s="518" t="s">
        <v>174</v>
      </c>
      <c r="B2" s="518" t="s">
        <v>176</v>
      </c>
      <c r="C2" s="1" t="s">
        <v>175</v>
      </c>
      <c r="D2" s="1" t="s">
        <v>125</v>
      </c>
      <c r="E2" s="1" t="s">
        <v>126</v>
      </c>
      <c r="F2" s="1" t="s">
        <v>127</v>
      </c>
      <c r="G2" s="1" t="s">
        <v>133</v>
      </c>
      <c r="H2" s="1" t="s">
        <v>134</v>
      </c>
      <c r="I2" s="1" t="s">
        <v>135</v>
      </c>
      <c r="J2" s="1" t="s">
        <v>146</v>
      </c>
      <c r="K2" s="1" t="s">
        <v>147</v>
      </c>
      <c r="L2" s="1" t="s">
        <v>148</v>
      </c>
      <c r="M2" s="1" t="s">
        <v>149</v>
      </c>
      <c r="N2" s="1" t="s">
        <v>150</v>
      </c>
      <c r="O2" s="1" t="s">
        <v>151</v>
      </c>
      <c r="P2" s="1" t="s">
        <v>152</v>
      </c>
      <c r="Q2" s="1" t="s">
        <v>153</v>
      </c>
      <c r="R2" s="1" t="s">
        <v>154</v>
      </c>
      <c r="S2" s="1" t="s">
        <v>155</v>
      </c>
      <c r="T2" s="1" t="s">
        <v>156</v>
      </c>
      <c r="U2" s="1" t="s">
        <v>157</v>
      </c>
      <c r="V2" s="1" t="s">
        <v>158</v>
      </c>
      <c r="W2" s="1" t="s">
        <v>159</v>
      </c>
      <c r="X2" s="1" t="s">
        <v>160</v>
      </c>
      <c r="Y2" s="1" t="s">
        <v>161</v>
      </c>
      <c r="Z2" s="1" t="s">
        <v>162</v>
      </c>
      <c r="AA2" s="1" t="s">
        <v>163</v>
      </c>
      <c r="AB2" s="1" t="s">
        <v>164</v>
      </c>
      <c r="AC2" s="1" t="s">
        <v>165</v>
      </c>
      <c r="AD2" s="1" t="s">
        <v>166</v>
      </c>
      <c r="AE2" s="1" t="s">
        <v>167</v>
      </c>
      <c r="AF2" s="1" t="s">
        <v>168</v>
      </c>
      <c r="AG2" s="1" t="s">
        <v>169</v>
      </c>
      <c r="AH2" s="1" t="s">
        <v>170</v>
      </c>
      <c r="AI2" s="1" t="s">
        <v>171</v>
      </c>
      <c r="AJ2" s="1" t="s">
        <v>172</v>
      </c>
      <c r="AK2" s="1" t="s">
        <v>173</v>
      </c>
    </row>
    <row r="3" spans="1:38" s="519" customFormat="1" ht="15" hidden="1" customHeight="1">
      <c r="A3" s="578" t="s">
        <v>130</v>
      </c>
      <c r="B3" s="578" t="s">
        <v>12</v>
      </c>
      <c r="C3" s="519">
        <v>6</v>
      </c>
      <c r="D3" s="519" t="s">
        <v>42</v>
      </c>
      <c r="E3" s="519" t="s">
        <v>44</v>
      </c>
      <c r="F3" s="519" t="s">
        <v>45</v>
      </c>
      <c r="G3" s="519" t="s">
        <v>46</v>
      </c>
      <c r="H3" s="519" t="s">
        <v>47</v>
      </c>
      <c r="I3" s="578" t="s">
        <v>67</v>
      </c>
      <c r="J3" s="578" t="s">
        <v>209</v>
      </c>
      <c r="K3" s="578" t="s">
        <v>36</v>
      </c>
      <c r="L3" s="519" t="s">
        <v>48</v>
      </c>
      <c r="M3" s="519" t="s">
        <v>49</v>
      </c>
      <c r="N3" s="519" t="s">
        <v>50</v>
      </c>
      <c r="O3" s="519" t="s">
        <v>51</v>
      </c>
      <c r="P3" s="519" t="s">
        <v>52</v>
      </c>
      <c r="Q3" s="519" t="s">
        <v>53</v>
      </c>
      <c r="R3" s="519" t="s">
        <v>54</v>
      </c>
      <c r="S3" s="519" t="s">
        <v>55</v>
      </c>
      <c r="T3" s="519" t="s">
        <v>56</v>
      </c>
      <c r="U3" s="519" t="s">
        <v>57</v>
      </c>
      <c r="V3" s="519" t="s">
        <v>58</v>
      </c>
      <c r="W3" s="519" t="s">
        <v>59</v>
      </c>
      <c r="X3" s="519" t="s">
        <v>60</v>
      </c>
      <c r="Y3" s="519" t="s">
        <v>61</v>
      </c>
      <c r="Z3" s="519" t="s">
        <v>62</v>
      </c>
      <c r="AA3" s="519" t="s">
        <v>63</v>
      </c>
      <c r="AB3" s="519" t="s">
        <v>64</v>
      </c>
      <c r="AC3" s="519" t="s">
        <v>65</v>
      </c>
      <c r="AD3" s="578" t="s">
        <v>66</v>
      </c>
      <c r="AE3" s="519" t="s">
        <v>120</v>
      </c>
    </row>
    <row r="4" spans="1:38" s="519" customFormat="1" ht="15" hidden="1" customHeight="1">
      <c r="A4" s="578" t="s">
        <v>130</v>
      </c>
      <c r="B4" s="578" t="s">
        <v>122</v>
      </c>
      <c r="C4" s="519">
        <v>6</v>
      </c>
      <c r="I4" s="578" t="s">
        <v>207</v>
      </c>
      <c r="AD4" s="519" t="s">
        <v>208</v>
      </c>
    </row>
    <row r="5" spans="1:38" s="519" customFormat="1" ht="15" hidden="1" customHeight="1">
      <c r="A5" s="578" t="s">
        <v>129</v>
      </c>
      <c r="B5" s="578" t="s">
        <v>12</v>
      </c>
      <c r="C5" s="519">
        <v>5</v>
      </c>
      <c r="D5" s="519" t="s">
        <v>42</v>
      </c>
      <c r="E5" s="519" t="s">
        <v>44</v>
      </c>
      <c r="F5" s="519" t="s">
        <v>45</v>
      </c>
      <c r="G5" s="519" t="s">
        <v>69</v>
      </c>
      <c r="H5" s="519" t="s">
        <v>119</v>
      </c>
      <c r="I5" s="519" t="s">
        <v>116</v>
      </c>
      <c r="J5" s="519" t="s">
        <v>117</v>
      </c>
      <c r="K5" s="519" t="s">
        <v>118</v>
      </c>
    </row>
    <row r="6" spans="1:38" s="519" customFormat="1" ht="15" hidden="1" customHeight="1">
      <c r="A6" s="578" t="s">
        <v>128</v>
      </c>
      <c r="B6" s="578" t="s">
        <v>12</v>
      </c>
      <c r="C6" s="519">
        <v>5</v>
      </c>
      <c r="D6" s="519" t="s">
        <v>122</v>
      </c>
      <c r="E6" s="519" t="s">
        <v>123</v>
      </c>
    </row>
    <row r="7" spans="1:38" s="519" customFormat="1" ht="15" hidden="1" customHeight="1">
      <c r="A7" s="578" t="s">
        <v>130</v>
      </c>
      <c r="B7" s="578" t="s">
        <v>179</v>
      </c>
      <c r="C7" s="519">
        <v>6</v>
      </c>
      <c r="D7" s="579"/>
      <c r="E7" s="579"/>
      <c r="F7" s="579"/>
      <c r="G7" s="580"/>
      <c r="H7" s="579"/>
      <c r="I7" s="579"/>
      <c r="J7" s="579"/>
      <c r="K7" s="579"/>
      <c r="L7" s="581"/>
      <c r="M7" s="581"/>
      <c r="N7" s="581"/>
      <c r="O7" s="581"/>
      <c r="P7" s="581"/>
      <c r="Q7" s="581"/>
      <c r="R7" s="581"/>
      <c r="S7" s="581"/>
      <c r="T7" s="581"/>
      <c r="U7" s="581"/>
      <c r="V7" s="581"/>
      <c r="W7" s="581"/>
      <c r="X7" s="581"/>
      <c r="Y7" s="581"/>
      <c r="Z7" s="579"/>
      <c r="AA7" s="579"/>
      <c r="AB7" s="579"/>
      <c r="AC7" s="579"/>
      <c r="AD7" s="579"/>
      <c r="AE7" s="582"/>
    </row>
    <row r="8" spans="1:38" s="519" customFormat="1" ht="15" customHeight="1">
      <c r="A8" s="578" t="s">
        <v>9</v>
      </c>
      <c r="B8" s="578" t="s">
        <v>12</v>
      </c>
      <c r="C8" s="519">
        <v>6</v>
      </c>
      <c r="D8" s="519" t="s">
        <v>8</v>
      </c>
      <c r="E8" s="519" t="s">
        <v>13</v>
      </c>
      <c r="F8" s="519" t="s">
        <v>12</v>
      </c>
      <c r="G8" s="519" t="s">
        <v>36</v>
      </c>
      <c r="H8" s="519" t="s">
        <v>10</v>
      </c>
      <c r="I8" s="519" t="s">
        <v>41</v>
      </c>
      <c r="J8" s="519" t="s">
        <v>32</v>
      </c>
      <c r="K8" s="519" t="s">
        <v>14</v>
      </c>
      <c r="L8" s="519" t="s">
        <v>15</v>
      </c>
      <c r="M8" s="519" t="s">
        <v>16</v>
      </c>
      <c r="N8" s="519" t="s">
        <v>17</v>
      </c>
      <c r="O8" s="519" t="s">
        <v>18</v>
      </c>
      <c r="P8" s="519" t="s">
        <v>19</v>
      </c>
      <c r="Q8" s="519" t="s">
        <v>20</v>
      </c>
      <c r="R8" s="519" t="s">
        <v>22</v>
      </c>
      <c r="S8" s="519" t="s">
        <v>23</v>
      </c>
      <c r="T8" s="519" t="s">
        <v>177</v>
      </c>
      <c r="U8" s="519" t="s">
        <v>25</v>
      </c>
      <c r="V8" s="519" t="s">
        <v>178</v>
      </c>
      <c r="W8" s="519" t="s">
        <v>27</v>
      </c>
      <c r="X8" s="519" t="s">
        <v>28</v>
      </c>
      <c r="Y8" s="519" t="s">
        <v>29</v>
      </c>
      <c r="Z8" s="519" t="s">
        <v>30</v>
      </c>
      <c r="AA8" s="519" t="s">
        <v>31</v>
      </c>
      <c r="AB8" s="519" t="s">
        <v>137</v>
      </c>
      <c r="AC8" s="519" t="s">
        <v>138</v>
      </c>
      <c r="AD8" s="519" t="s">
        <v>141</v>
      </c>
      <c r="AE8" s="519" t="s">
        <v>136</v>
      </c>
      <c r="AF8" s="519" t="s">
        <v>139</v>
      </c>
      <c r="AG8" s="519" t="s">
        <v>140</v>
      </c>
      <c r="AH8" s="519" t="s">
        <v>37</v>
      </c>
      <c r="AI8" s="519" t="s">
        <v>38</v>
      </c>
      <c r="AJ8" s="519" t="s">
        <v>39</v>
      </c>
      <c r="AK8" s="519" t="s">
        <v>40</v>
      </c>
    </row>
    <row r="9" spans="1:38" s="519" customFormat="1" ht="15" hidden="1" customHeight="1">
      <c r="A9" s="578" t="s">
        <v>129</v>
      </c>
      <c r="B9" s="578" t="s">
        <v>122</v>
      </c>
      <c r="C9" s="519">
        <v>5</v>
      </c>
    </row>
    <row r="10" spans="1:38" s="519" customFormat="1" ht="15" hidden="1" customHeight="1">
      <c r="A10" s="578" t="s">
        <v>128</v>
      </c>
      <c r="B10" s="578" t="s">
        <v>122</v>
      </c>
      <c r="C10" s="519">
        <v>5</v>
      </c>
    </row>
    <row r="11" spans="1:38" s="519" customFormat="1" ht="15" customHeight="1">
      <c r="A11" s="578" t="s">
        <v>9</v>
      </c>
      <c r="B11" s="578" t="s">
        <v>122</v>
      </c>
      <c r="C11" s="519">
        <v>6</v>
      </c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</row>
    <row r="12" spans="1:38" s="519" customFormat="1" ht="15" customHeight="1">
      <c r="A12" s="578" t="s">
        <v>9</v>
      </c>
      <c r="B12" s="578" t="s">
        <v>179</v>
      </c>
      <c r="C12" s="519">
        <v>6</v>
      </c>
      <c r="D12" s="577"/>
      <c r="E12" s="583"/>
      <c r="F12" s="584"/>
      <c r="G12" s="583"/>
      <c r="H12" s="583"/>
      <c r="I12" s="583"/>
      <c r="J12" s="583"/>
      <c r="K12" s="583"/>
      <c r="L12" s="585"/>
      <c r="M12" s="585"/>
      <c r="N12" s="585"/>
      <c r="O12" s="585"/>
      <c r="P12" s="583"/>
      <c r="Q12" s="583"/>
      <c r="R12" s="585"/>
      <c r="S12" s="585"/>
      <c r="T12" s="585"/>
      <c r="U12" s="585"/>
      <c r="V12" s="585"/>
      <c r="W12" s="585"/>
      <c r="X12" s="585"/>
      <c r="Y12" s="585"/>
      <c r="Z12" s="585"/>
      <c r="AA12" s="585"/>
      <c r="AB12" s="586"/>
      <c r="AC12" s="587"/>
      <c r="AD12" s="587"/>
      <c r="AE12" s="586"/>
      <c r="AF12" s="587"/>
      <c r="AG12" s="588"/>
      <c r="AH12" s="583"/>
      <c r="AI12" s="583"/>
      <c r="AJ12" s="583"/>
      <c r="AK12" s="589"/>
    </row>
    <row r="13" spans="1:38" ht="15" hidden="1" customHeight="1">
      <c r="A13" s="578" t="s">
        <v>129</v>
      </c>
      <c r="B13" s="578" t="s">
        <v>179</v>
      </c>
      <c r="C13" s="519">
        <v>5</v>
      </c>
      <c r="D13" s="478"/>
      <c r="E13" s="478"/>
      <c r="F13" s="478"/>
      <c r="G13" s="478"/>
      <c r="H13" s="478"/>
      <c r="I13" s="478"/>
      <c r="J13" s="521"/>
      <c r="K13" s="478"/>
      <c r="L13" s="590"/>
      <c r="M13" s="590"/>
      <c r="N13" s="590"/>
      <c r="O13" s="590"/>
      <c r="P13" s="590"/>
      <c r="Q13" s="590"/>
      <c r="R13" s="590"/>
      <c r="S13" s="590"/>
      <c r="T13" s="590"/>
      <c r="U13" s="590"/>
      <c r="V13" s="590"/>
      <c r="W13" s="590"/>
      <c r="X13" s="590"/>
      <c r="Y13" s="590"/>
      <c r="Z13" s="590"/>
      <c r="AA13" s="590"/>
      <c r="AB13" s="590"/>
      <c r="AC13" s="590"/>
      <c r="AD13" s="590"/>
      <c r="AE13" s="590"/>
      <c r="AF13" s="590"/>
      <c r="AG13" s="590"/>
      <c r="AH13" s="590"/>
      <c r="AI13" s="590"/>
      <c r="AJ13" s="590"/>
      <c r="AK13" s="590"/>
    </row>
    <row r="14" spans="1:38" ht="15" hidden="1" customHeight="1">
      <c r="A14" s="578" t="s">
        <v>128</v>
      </c>
      <c r="B14" s="578" t="s">
        <v>179</v>
      </c>
      <c r="C14" s="519">
        <v>5</v>
      </c>
      <c r="D14" s="519"/>
      <c r="E14" s="519"/>
      <c r="F14" s="519"/>
      <c r="G14" s="519"/>
      <c r="H14" s="519"/>
      <c r="I14" s="519"/>
      <c r="J14" s="519"/>
      <c r="K14" s="519"/>
      <c r="L14" s="519"/>
      <c r="M14" s="519"/>
      <c r="N14" s="519"/>
      <c r="O14" s="519"/>
      <c r="P14" s="519"/>
      <c r="Q14" s="519"/>
      <c r="R14" s="519"/>
      <c r="S14" s="519"/>
      <c r="T14" s="519"/>
      <c r="U14" s="519"/>
      <c r="V14" s="519"/>
      <c r="W14" s="519"/>
      <c r="X14" s="519"/>
      <c r="Y14" s="519"/>
      <c r="Z14" s="519"/>
      <c r="AA14" s="519"/>
      <c r="AB14" s="519"/>
      <c r="AC14" s="519"/>
      <c r="AD14" s="519"/>
      <c r="AE14" s="519"/>
      <c r="AF14" s="519"/>
      <c r="AG14" s="519"/>
      <c r="AH14" s="519"/>
      <c r="AI14" s="519"/>
      <c r="AJ14" s="519"/>
      <c r="AK14" s="519"/>
    </row>
    <row r="15" spans="1:38" ht="15" hidden="1" customHeight="1">
      <c r="A15" s="578" t="s">
        <v>128</v>
      </c>
      <c r="B15" s="578" t="s">
        <v>12</v>
      </c>
      <c r="C15" s="519">
        <v>4</v>
      </c>
      <c r="D15" s="519" t="s">
        <v>122</v>
      </c>
      <c r="E15" s="519" t="s">
        <v>123</v>
      </c>
      <c r="F15" s="519"/>
      <c r="G15" s="519"/>
      <c r="H15" s="519"/>
      <c r="I15" s="519"/>
      <c r="J15" s="519"/>
      <c r="K15" s="519"/>
      <c r="L15" s="519"/>
      <c r="M15" s="519"/>
      <c r="N15" s="519"/>
      <c r="O15" s="519"/>
      <c r="P15" s="519"/>
      <c r="Q15" s="519"/>
      <c r="R15" s="519"/>
      <c r="S15" s="519"/>
      <c r="T15" s="519"/>
      <c r="U15" s="519"/>
      <c r="V15" s="519"/>
      <c r="W15" s="519"/>
      <c r="X15" s="519"/>
      <c r="Y15" s="519"/>
      <c r="Z15" s="519"/>
      <c r="AA15" s="519"/>
      <c r="AB15" s="519"/>
      <c r="AC15" s="519"/>
      <c r="AD15" s="519"/>
      <c r="AE15" s="519"/>
      <c r="AF15" s="519"/>
      <c r="AG15" s="519"/>
      <c r="AH15" s="519"/>
      <c r="AI15" s="519"/>
      <c r="AJ15" s="519"/>
      <c r="AK15" s="519"/>
    </row>
    <row r="16" spans="1:38" ht="15" hidden="1" customHeight="1">
      <c r="A16" s="578" t="s">
        <v>130</v>
      </c>
      <c r="B16" s="578" t="s">
        <v>12</v>
      </c>
      <c r="C16" s="519">
        <v>5</v>
      </c>
      <c r="D16" s="519" t="s">
        <v>12</v>
      </c>
      <c r="E16" s="519" t="s">
        <v>42</v>
      </c>
      <c r="F16" s="519" t="s">
        <v>44</v>
      </c>
      <c r="G16" s="519" t="s">
        <v>45</v>
      </c>
      <c r="H16" s="519" t="s">
        <v>46</v>
      </c>
      <c r="I16" s="519" t="s">
        <v>47</v>
      </c>
      <c r="J16" s="519" t="s">
        <v>36</v>
      </c>
      <c r="K16" s="519" t="s">
        <v>48</v>
      </c>
      <c r="L16" s="519" t="s">
        <v>49</v>
      </c>
      <c r="M16" s="519" t="s">
        <v>50</v>
      </c>
      <c r="N16" s="519" t="s">
        <v>51</v>
      </c>
      <c r="O16" s="519" t="s">
        <v>52</v>
      </c>
      <c r="P16" s="519" t="s">
        <v>53</v>
      </c>
      <c r="Q16" s="519" t="s">
        <v>54</v>
      </c>
      <c r="R16" s="519" t="s">
        <v>55</v>
      </c>
      <c r="S16" s="519" t="s">
        <v>56</v>
      </c>
      <c r="T16" s="519" t="s">
        <v>57</v>
      </c>
      <c r="U16" s="519" t="s">
        <v>58</v>
      </c>
      <c r="V16" s="519" t="s">
        <v>59</v>
      </c>
      <c r="W16" s="519" t="s">
        <v>60</v>
      </c>
      <c r="X16" s="519" t="s">
        <v>61</v>
      </c>
      <c r="Y16" s="519" t="s">
        <v>62</v>
      </c>
      <c r="Z16" s="519" t="s">
        <v>63</v>
      </c>
      <c r="AA16" s="519" t="s">
        <v>64</v>
      </c>
      <c r="AB16" s="519" t="s">
        <v>65</v>
      </c>
      <c r="AC16" s="519" t="s">
        <v>66</v>
      </c>
      <c r="AD16" s="519" t="s">
        <v>67</v>
      </c>
      <c r="AE16" s="519" t="s">
        <v>120</v>
      </c>
      <c r="AF16" s="519"/>
      <c r="AG16" s="519"/>
      <c r="AH16" s="519"/>
      <c r="AI16" s="519"/>
      <c r="AJ16" s="519"/>
      <c r="AK16" s="519"/>
    </row>
    <row r="17" spans="1:37" ht="15" customHeight="1">
      <c r="A17" s="578" t="s">
        <v>9</v>
      </c>
      <c r="B17" s="578" t="s">
        <v>12</v>
      </c>
      <c r="C17" s="519">
        <v>5</v>
      </c>
      <c r="D17" s="591" t="s">
        <v>12</v>
      </c>
      <c r="E17" s="486" t="s">
        <v>13</v>
      </c>
      <c r="F17" s="487" t="s">
        <v>8</v>
      </c>
      <c r="G17" s="486" t="s">
        <v>14</v>
      </c>
      <c r="H17" s="592" t="s">
        <v>15</v>
      </c>
      <c r="I17" s="592" t="s">
        <v>16</v>
      </c>
      <c r="J17" s="592" t="s">
        <v>17</v>
      </c>
      <c r="K17" s="592" t="s">
        <v>18</v>
      </c>
      <c r="L17" s="486" t="s">
        <v>19</v>
      </c>
      <c r="M17" s="486" t="s">
        <v>20</v>
      </c>
      <c r="N17" s="592" t="s">
        <v>22</v>
      </c>
      <c r="O17" s="592" t="s">
        <v>23</v>
      </c>
      <c r="P17" s="592" t="s">
        <v>24</v>
      </c>
      <c r="Q17" s="592" t="s">
        <v>25</v>
      </c>
      <c r="R17" s="592" t="s">
        <v>26</v>
      </c>
      <c r="S17" s="592" t="s">
        <v>27</v>
      </c>
      <c r="T17" s="592" t="s">
        <v>28</v>
      </c>
      <c r="U17" s="592" t="s">
        <v>29</v>
      </c>
      <c r="V17" s="592" t="s">
        <v>30</v>
      </c>
      <c r="W17" s="592" t="s">
        <v>31</v>
      </c>
      <c r="X17" s="486" t="s">
        <v>32</v>
      </c>
      <c r="Y17" s="486" t="s">
        <v>36</v>
      </c>
      <c r="Z17" s="486" t="s">
        <v>37</v>
      </c>
      <c r="AA17" s="486" t="s">
        <v>38</v>
      </c>
      <c r="AB17" s="486" t="s">
        <v>39</v>
      </c>
      <c r="AC17" s="593" t="s">
        <v>40</v>
      </c>
      <c r="AD17" s="486" t="s">
        <v>10</v>
      </c>
      <c r="AE17" s="486" t="s">
        <v>41</v>
      </c>
      <c r="AF17" s="486" t="s">
        <v>137</v>
      </c>
      <c r="AG17" s="592" t="s">
        <v>138</v>
      </c>
      <c r="AH17" s="592" t="s">
        <v>141</v>
      </c>
      <c r="AI17" s="486" t="s">
        <v>136</v>
      </c>
      <c r="AJ17" s="489" t="s">
        <v>139</v>
      </c>
      <c r="AK17" s="489" t="s">
        <v>140</v>
      </c>
    </row>
    <row r="18" spans="1:37" ht="15" hidden="1" customHeight="1">
      <c r="A18" s="578" t="s">
        <v>129</v>
      </c>
      <c r="B18" s="578" t="s">
        <v>12</v>
      </c>
      <c r="C18" s="519">
        <v>4</v>
      </c>
      <c r="D18" s="519" t="s">
        <v>42</v>
      </c>
      <c r="E18" s="519" t="s">
        <v>44</v>
      </c>
      <c r="F18" s="519" t="s">
        <v>45</v>
      </c>
      <c r="G18" s="519" t="s">
        <v>69</v>
      </c>
      <c r="H18" s="519" t="s">
        <v>119</v>
      </c>
      <c r="I18" s="519" t="s">
        <v>116</v>
      </c>
      <c r="J18" s="519" t="s">
        <v>117</v>
      </c>
      <c r="K18" s="519" t="s">
        <v>118</v>
      </c>
      <c r="L18" s="519"/>
      <c r="M18" s="519"/>
      <c r="N18" s="519"/>
      <c r="O18" s="519"/>
      <c r="P18" s="519"/>
      <c r="Q18" s="519"/>
      <c r="R18" s="519"/>
      <c r="S18" s="519"/>
      <c r="T18" s="519"/>
      <c r="U18" s="519"/>
      <c r="V18" s="519"/>
      <c r="W18" s="519"/>
      <c r="X18" s="519"/>
      <c r="Y18" s="519"/>
      <c r="Z18" s="519"/>
      <c r="AA18" s="519"/>
      <c r="AB18" s="519"/>
      <c r="AC18" s="519"/>
      <c r="AD18" s="519"/>
      <c r="AE18" s="519"/>
      <c r="AF18" s="519"/>
      <c r="AG18" s="519"/>
      <c r="AH18" s="519"/>
      <c r="AI18" s="519"/>
      <c r="AJ18" s="519"/>
      <c r="AK18" s="519"/>
    </row>
    <row r="19" spans="1:37" ht="15" hidden="1" customHeight="1">
      <c r="A19" s="578" t="s">
        <v>128</v>
      </c>
      <c r="B19" s="578" t="s">
        <v>122</v>
      </c>
      <c r="C19" s="519">
        <v>4</v>
      </c>
      <c r="D19" s="519"/>
      <c r="E19" s="519"/>
      <c r="F19" s="519"/>
      <c r="G19" s="519"/>
      <c r="H19" s="519"/>
      <c r="I19" s="519"/>
      <c r="J19" s="519"/>
      <c r="K19" s="519"/>
      <c r="L19" s="519"/>
      <c r="M19" s="519"/>
      <c r="N19" s="519"/>
      <c r="O19" s="519"/>
      <c r="P19" s="519"/>
      <c r="Q19" s="519"/>
      <c r="R19" s="519"/>
      <c r="S19" s="519"/>
      <c r="T19" s="519"/>
      <c r="U19" s="519"/>
      <c r="V19" s="519"/>
      <c r="W19" s="519"/>
      <c r="X19" s="519"/>
      <c r="Y19" s="519"/>
      <c r="Z19" s="519"/>
      <c r="AA19" s="519"/>
      <c r="AB19" s="519"/>
      <c r="AC19" s="519"/>
      <c r="AD19" s="519"/>
      <c r="AE19" s="519"/>
      <c r="AF19" s="519"/>
      <c r="AG19" s="519"/>
      <c r="AH19" s="519"/>
      <c r="AI19" s="519"/>
      <c r="AJ19" s="519"/>
      <c r="AK19" s="519"/>
    </row>
    <row r="20" spans="1:37" ht="15" hidden="1" customHeight="1">
      <c r="A20" s="578" t="s">
        <v>130</v>
      </c>
      <c r="B20" s="578" t="s">
        <v>122</v>
      </c>
      <c r="C20" s="519">
        <v>5</v>
      </c>
      <c r="D20" s="519"/>
      <c r="E20" s="519"/>
      <c r="F20" s="519"/>
      <c r="G20" s="519"/>
      <c r="H20" s="519"/>
      <c r="I20" s="519"/>
      <c r="J20" s="519"/>
      <c r="K20" s="519"/>
      <c r="L20" s="519"/>
      <c r="M20" s="519"/>
      <c r="N20" s="519"/>
      <c r="O20" s="519"/>
      <c r="P20" s="519"/>
      <c r="Q20" s="519"/>
      <c r="R20" s="519"/>
      <c r="S20" s="519"/>
      <c r="T20" s="519"/>
      <c r="U20" s="519"/>
      <c r="V20" s="519"/>
      <c r="W20" s="519"/>
      <c r="X20" s="519"/>
      <c r="Y20" s="519"/>
      <c r="Z20" s="519"/>
      <c r="AA20" s="519"/>
      <c r="AB20" s="519"/>
      <c r="AC20" s="519"/>
      <c r="AD20" s="519"/>
      <c r="AE20" s="519"/>
      <c r="AF20" s="519"/>
      <c r="AG20" s="519"/>
      <c r="AH20" s="519"/>
      <c r="AI20" s="519"/>
      <c r="AJ20" s="519"/>
      <c r="AK20" s="519"/>
    </row>
    <row r="21" spans="1:37" ht="15" customHeight="1">
      <c r="A21" s="1" t="s">
        <v>9</v>
      </c>
      <c r="B21" s="1" t="s">
        <v>122</v>
      </c>
      <c r="C21" s="594">
        <v>5</v>
      </c>
      <c r="F21" s="518"/>
      <c r="P21" s="1" t="s">
        <v>177</v>
      </c>
      <c r="R21" s="1" t="s">
        <v>178</v>
      </c>
    </row>
    <row r="22" spans="1:37" ht="15" hidden="1" customHeight="1">
      <c r="A22" s="578" t="s">
        <v>129</v>
      </c>
      <c r="B22" s="578" t="s">
        <v>122</v>
      </c>
      <c r="C22" s="519">
        <v>4</v>
      </c>
      <c r="D22" s="519"/>
      <c r="E22" s="519"/>
      <c r="F22" s="519"/>
      <c r="G22" s="519"/>
      <c r="H22" s="519"/>
      <c r="I22" s="519"/>
      <c r="J22" s="519"/>
      <c r="K22" s="519"/>
      <c r="L22" s="519"/>
      <c r="M22" s="519"/>
      <c r="N22" s="519"/>
      <c r="O22" s="519"/>
      <c r="P22" s="519"/>
      <c r="Q22" s="519"/>
      <c r="R22" s="519"/>
      <c r="S22" s="519"/>
      <c r="T22" s="519"/>
      <c r="U22" s="519"/>
      <c r="V22" s="519"/>
      <c r="W22" s="519"/>
      <c r="X22" s="519"/>
      <c r="Y22" s="519"/>
      <c r="Z22" s="519"/>
      <c r="AA22" s="519"/>
      <c r="AB22" s="519"/>
      <c r="AC22" s="519"/>
      <c r="AD22" s="519"/>
      <c r="AE22" s="519"/>
      <c r="AF22" s="519"/>
      <c r="AG22" s="519"/>
      <c r="AH22" s="519"/>
      <c r="AI22" s="519"/>
      <c r="AJ22" s="519"/>
      <c r="AK22" s="519"/>
    </row>
    <row r="23" spans="1:37" ht="15" customHeight="1">
      <c r="A23" s="578" t="s">
        <v>9</v>
      </c>
      <c r="B23" s="578" t="s">
        <v>179</v>
      </c>
      <c r="C23" s="519">
        <v>5</v>
      </c>
      <c r="D23" s="519"/>
      <c r="E23" s="519"/>
      <c r="F23" s="578"/>
      <c r="G23" s="519"/>
      <c r="H23" s="519"/>
      <c r="I23" s="519"/>
      <c r="J23" s="578"/>
      <c r="K23" s="578"/>
      <c r="L23" s="519"/>
      <c r="M23" s="519"/>
      <c r="N23" s="578"/>
      <c r="O23" s="519"/>
      <c r="P23" s="578"/>
      <c r="Q23" s="519"/>
      <c r="R23" s="578"/>
      <c r="S23" s="519"/>
      <c r="T23" s="519"/>
      <c r="U23" s="519"/>
      <c r="V23" s="519"/>
      <c r="W23" s="519"/>
      <c r="X23" s="519"/>
      <c r="Y23" s="519"/>
      <c r="Z23" s="519"/>
      <c r="AA23" s="519"/>
      <c r="AB23" s="519"/>
      <c r="AC23" s="519"/>
      <c r="AD23" s="519"/>
      <c r="AE23" s="519"/>
      <c r="AF23" s="519"/>
      <c r="AG23" s="519"/>
      <c r="AH23" s="519"/>
      <c r="AI23" s="519"/>
      <c r="AJ23" s="519"/>
      <c r="AK23" s="519"/>
    </row>
    <row r="24" spans="1:37" ht="15" customHeight="1">
      <c r="A24" s="578" t="s">
        <v>9</v>
      </c>
      <c r="B24" s="578" t="s">
        <v>12</v>
      </c>
      <c r="C24" s="519">
        <v>4</v>
      </c>
      <c r="D24" s="519" t="s">
        <v>12</v>
      </c>
      <c r="E24" s="519" t="s">
        <v>13</v>
      </c>
      <c r="F24" s="578" t="s">
        <v>8</v>
      </c>
      <c r="G24" s="519" t="s">
        <v>14</v>
      </c>
      <c r="H24" s="519" t="s">
        <v>15</v>
      </c>
      <c r="I24" s="519" t="s">
        <v>16</v>
      </c>
      <c r="J24" s="519" t="s">
        <v>17</v>
      </c>
      <c r="K24" s="519" t="s">
        <v>18</v>
      </c>
      <c r="L24" s="519" t="s">
        <v>19</v>
      </c>
      <c r="M24" s="519" t="s">
        <v>20</v>
      </c>
      <c r="N24" s="519" t="s">
        <v>21</v>
      </c>
      <c r="O24" s="519" t="s">
        <v>22</v>
      </c>
      <c r="P24" s="519" t="s">
        <v>23</v>
      </c>
      <c r="Q24" s="519" t="s">
        <v>24</v>
      </c>
      <c r="R24" s="519" t="s">
        <v>25</v>
      </c>
      <c r="S24" s="519" t="s">
        <v>26</v>
      </c>
      <c r="T24" s="519" t="s">
        <v>27</v>
      </c>
      <c r="U24" s="519" t="s">
        <v>28</v>
      </c>
      <c r="V24" s="519" t="s">
        <v>29</v>
      </c>
      <c r="W24" s="519" t="s">
        <v>30</v>
      </c>
      <c r="X24" s="519" t="s">
        <v>31</v>
      </c>
      <c r="Y24" s="519" t="s">
        <v>32</v>
      </c>
      <c r="Z24" s="519" t="s">
        <v>33</v>
      </c>
      <c r="AA24" s="519" t="s">
        <v>34</v>
      </c>
      <c r="AB24" s="519" t="s">
        <v>35</v>
      </c>
      <c r="AC24" s="519" t="s">
        <v>36</v>
      </c>
      <c r="AD24" s="519" t="s">
        <v>37</v>
      </c>
      <c r="AE24" s="519" t="s">
        <v>38</v>
      </c>
      <c r="AF24" s="519" t="s">
        <v>39</v>
      </c>
      <c r="AG24" s="519" t="s">
        <v>40</v>
      </c>
      <c r="AH24" s="519" t="s">
        <v>10</v>
      </c>
      <c r="AI24" s="519" t="s">
        <v>41</v>
      </c>
      <c r="AJ24" s="519"/>
      <c r="AK24" s="519"/>
    </row>
    <row r="25" spans="1:37" ht="15" customHeight="1">
      <c r="A25" s="578" t="s">
        <v>9</v>
      </c>
      <c r="B25" s="578" t="s">
        <v>122</v>
      </c>
      <c r="C25" s="519">
        <v>4</v>
      </c>
      <c r="D25" s="519"/>
      <c r="E25" s="519"/>
      <c r="F25" s="519"/>
      <c r="G25" s="519"/>
      <c r="H25" s="519"/>
      <c r="I25" s="519"/>
      <c r="J25" s="519"/>
      <c r="K25" s="519"/>
      <c r="L25" s="519"/>
      <c r="M25" s="519"/>
      <c r="N25" s="519"/>
      <c r="O25" s="519"/>
      <c r="P25" s="519"/>
      <c r="Q25" s="519"/>
      <c r="R25" s="519"/>
      <c r="S25" s="519"/>
      <c r="T25" s="519"/>
      <c r="U25" s="519"/>
      <c r="V25" s="519"/>
      <c r="W25" s="519"/>
      <c r="X25" s="519"/>
      <c r="Y25" s="519"/>
      <c r="Z25" s="519"/>
      <c r="AA25" s="519"/>
      <c r="AB25" s="519"/>
      <c r="AC25" s="519"/>
      <c r="AD25" s="519"/>
      <c r="AE25" s="519"/>
      <c r="AF25" s="519"/>
      <c r="AG25" s="519"/>
      <c r="AH25" s="519"/>
      <c r="AI25" s="519"/>
      <c r="AJ25" s="519"/>
      <c r="AK25" s="519"/>
    </row>
    <row r="26" spans="1:37" ht="15" hidden="1" customHeight="1">
      <c r="A26" s="578" t="s">
        <v>130</v>
      </c>
      <c r="B26" s="578" t="s">
        <v>179</v>
      </c>
      <c r="C26" s="519">
        <v>5</v>
      </c>
      <c r="D26" s="521"/>
      <c r="E26" s="478"/>
      <c r="F26" s="478"/>
      <c r="G26" s="478"/>
      <c r="H26" s="521"/>
      <c r="I26" s="478"/>
      <c r="J26" s="478"/>
      <c r="K26" s="520"/>
      <c r="L26" s="520"/>
      <c r="M26" s="520"/>
      <c r="N26" s="520"/>
      <c r="O26" s="520"/>
      <c r="P26" s="520"/>
      <c r="Q26" s="520"/>
      <c r="R26" s="520"/>
      <c r="S26" s="520"/>
      <c r="T26" s="520"/>
      <c r="U26" s="520"/>
      <c r="V26" s="520"/>
      <c r="W26" s="520"/>
      <c r="X26" s="520"/>
      <c r="Y26" s="478"/>
      <c r="Z26" s="478"/>
      <c r="AA26" s="478"/>
      <c r="AB26" s="478"/>
      <c r="AC26" s="478"/>
      <c r="AD26" s="478"/>
      <c r="AE26" s="478"/>
      <c r="AF26" s="519"/>
      <c r="AG26" s="519"/>
      <c r="AH26" s="519"/>
      <c r="AI26" s="519"/>
      <c r="AJ26" s="519"/>
      <c r="AK26" s="519"/>
    </row>
    <row r="27" spans="1:37" ht="15" hidden="1" customHeight="1">
      <c r="A27" s="578" t="s">
        <v>130</v>
      </c>
      <c r="B27" s="578" t="s">
        <v>12</v>
      </c>
      <c r="C27" s="519">
        <v>4</v>
      </c>
      <c r="D27" s="578" t="s">
        <v>12</v>
      </c>
      <c r="E27" s="519" t="s">
        <v>42</v>
      </c>
      <c r="F27" s="519" t="s">
        <v>44</v>
      </c>
      <c r="G27" s="519" t="s">
        <v>45</v>
      </c>
      <c r="H27" s="519" t="s">
        <v>46</v>
      </c>
      <c r="I27" s="578" t="s">
        <v>47</v>
      </c>
      <c r="J27" s="519" t="s">
        <v>36</v>
      </c>
      <c r="K27" s="519" t="s">
        <v>48</v>
      </c>
      <c r="L27" s="519" t="s">
        <v>49</v>
      </c>
      <c r="M27" s="519" t="s">
        <v>50</v>
      </c>
      <c r="N27" s="519" t="s">
        <v>51</v>
      </c>
      <c r="O27" s="519" t="s">
        <v>52</v>
      </c>
      <c r="P27" s="519" t="s">
        <v>53</v>
      </c>
      <c r="Q27" s="519" t="s">
        <v>54</v>
      </c>
      <c r="R27" s="519" t="s">
        <v>55</v>
      </c>
      <c r="S27" s="519" t="s">
        <v>56</v>
      </c>
      <c r="T27" s="519" t="s">
        <v>57</v>
      </c>
      <c r="U27" s="519" t="s">
        <v>58</v>
      </c>
      <c r="V27" s="519" t="s">
        <v>59</v>
      </c>
      <c r="W27" s="519" t="s">
        <v>60</v>
      </c>
      <c r="X27" s="519" t="s">
        <v>61</v>
      </c>
      <c r="Y27" s="519" t="s">
        <v>62</v>
      </c>
      <c r="Z27" s="519" t="s">
        <v>63</v>
      </c>
      <c r="AA27" s="519" t="s">
        <v>64</v>
      </c>
      <c r="AB27" s="519" t="s">
        <v>65</v>
      </c>
      <c r="AC27" s="519" t="s">
        <v>66</v>
      </c>
      <c r="AD27" s="519" t="s">
        <v>67</v>
      </c>
      <c r="AE27" s="519" t="s">
        <v>120</v>
      </c>
      <c r="AF27" s="519"/>
      <c r="AG27" s="519"/>
      <c r="AH27" s="519"/>
      <c r="AI27" s="519"/>
      <c r="AJ27" s="519"/>
      <c r="AK27" s="519"/>
    </row>
    <row r="28" spans="1:37" ht="15" hidden="1" customHeight="1">
      <c r="A28" s="578" t="s">
        <v>130</v>
      </c>
      <c r="B28" s="578" t="s">
        <v>122</v>
      </c>
      <c r="C28" s="519">
        <v>4</v>
      </c>
      <c r="D28" s="519"/>
      <c r="E28" s="519"/>
      <c r="F28" s="519"/>
      <c r="G28" s="519"/>
      <c r="H28" s="519"/>
      <c r="I28" s="519"/>
      <c r="J28" s="519"/>
      <c r="K28" s="519"/>
      <c r="L28" s="519"/>
      <c r="M28" s="519"/>
      <c r="N28" s="519"/>
      <c r="O28" s="519"/>
      <c r="P28" s="519"/>
      <c r="Q28" s="519"/>
      <c r="R28" s="519"/>
      <c r="S28" s="519"/>
      <c r="T28" s="519"/>
      <c r="U28" s="519"/>
      <c r="V28" s="519"/>
      <c r="W28" s="519"/>
      <c r="X28" s="519"/>
      <c r="Y28" s="519"/>
      <c r="Z28" s="519"/>
      <c r="AA28" s="519"/>
      <c r="AB28" s="519"/>
      <c r="AC28" s="519"/>
      <c r="AD28" s="519"/>
      <c r="AE28" s="519"/>
      <c r="AF28" s="519"/>
      <c r="AG28" s="519"/>
      <c r="AH28" s="519"/>
      <c r="AI28" s="519"/>
      <c r="AJ28" s="519"/>
      <c r="AK28" s="519"/>
    </row>
    <row r="29" spans="1:37" ht="15" customHeight="1"/>
    <row r="30" spans="1:37" ht="15" customHeight="1"/>
    <row r="31" spans="1:37" ht="15" customHeight="1"/>
    <row r="32" spans="1:37" ht="15" customHeight="1"/>
    <row r="33" ht="15" customHeight="1"/>
    <row r="34" ht="15" customHeight="1"/>
    <row r="35" ht="15" customHeight="1"/>
    <row r="36" ht="15" customHeight="1"/>
    <row r="37" ht="15" customHeight="1"/>
    <row r="38" ht="15" customHeight="1"/>
    <row r="39" ht="15" customHeight="1"/>
    <row r="40" ht="15" customHeight="1"/>
    <row r="41" ht="15" customHeight="1"/>
    <row r="42" ht="15" customHeight="1"/>
    <row r="43" ht="15" customHeight="1"/>
    <row r="44" ht="15" customHeight="1"/>
    <row r="45" ht="15" customHeight="1"/>
    <row r="46" ht="15" customHeight="1"/>
    <row r="47" ht="15" customHeight="1"/>
    <row r="48" ht="15" customHeight="1"/>
    <row r="49" ht="15" customHeight="1"/>
    <row r="50" ht="15" customHeight="1"/>
    <row r="51" ht="15" customHeight="1"/>
    <row r="52" ht="15" customHeight="1"/>
    <row r="53" ht="15" customHeight="1"/>
    <row r="54" ht="15" customHeight="1"/>
    <row r="55" ht="15" customHeight="1"/>
    <row r="56" ht="15" customHeight="1"/>
    <row r="57" ht="15" customHeight="1"/>
    <row r="58" ht="15" customHeight="1"/>
    <row r="59" ht="15" customHeight="1"/>
    <row r="60" ht="15" customHeight="1"/>
    <row r="61" ht="15" customHeight="1"/>
    <row r="62" ht="15" customHeight="1"/>
    <row r="63" ht="15" customHeight="1"/>
    <row r="64" ht="15" customHeight="1"/>
    <row r="65" ht="15" customHeight="1"/>
    <row r="66" ht="15" customHeight="1"/>
    <row r="67" ht="15" customHeight="1"/>
    <row r="68" ht="15" customHeight="1"/>
    <row r="69" ht="15" customHeight="1"/>
    <row r="70" ht="15" customHeight="1"/>
    <row r="71" ht="15" customHeight="1"/>
    <row r="72" ht="15" customHeight="1"/>
    <row r="73" ht="15" customHeight="1"/>
    <row r="74" ht="15" customHeight="1"/>
    <row r="75" ht="15" customHeight="1"/>
    <row r="76" ht="15" customHeight="1"/>
    <row r="77" ht="15" customHeight="1"/>
    <row r="78" ht="15" customHeight="1"/>
    <row r="79" ht="15" customHeight="1"/>
    <row r="80" ht="15" customHeight="1"/>
    <row r="81" ht="15" customHeight="1"/>
    <row r="82" ht="15" customHeight="1"/>
    <row r="83" ht="15" customHeight="1"/>
    <row r="84" ht="15" customHeight="1"/>
    <row r="85" ht="15" customHeight="1"/>
    <row r="86" ht="15" customHeight="1"/>
    <row r="87" ht="15" customHeight="1"/>
    <row r="88" ht="15" customHeight="1"/>
    <row r="89" ht="15" customHeight="1"/>
    <row r="90" ht="15" customHeight="1"/>
    <row r="91" ht="15" customHeight="1"/>
    <row r="92" ht="15" customHeight="1"/>
    <row r="93" ht="15" customHeight="1"/>
    <row r="94" ht="15" customHeight="1"/>
    <row r="95" ht="15" customHeight="1"/>
    <row r="96" ht="15" customHeight="1"/>
    <row r="97" ht="15" customHeight="1"/>
    <row r="98" ht="15" customHeight="1"/>
    <row r="99" ht="15" customHeight="1"/>
    <row r="100" ht="15" customHeight="1"/>
    <row r="101" ht="15" customHeight="1"/>
    <row r="102" ht="15" customHeight="1"/>
    <row r="103" ht="15" customHeight="1"/>
    <row r="104" ht="15" customHeight="1"/>
    <row r="105" ht="15" customHeight="1"/>
    <row r="106" ht="15" customHeight="1"/>
    <row r="107" ht="15" customHeight="1"/>
    <row r="108" ht="15" customHeight="1"/>
    <row r="109" ht="15" customHeight="1"/>
    <row r="110" ht="15" customHeight="1"/>
    <row r="111" ht="15" customHeight="1"/>
    <row r="112" ht="15" customHeight="1"/>
    <row r="113" ht="15" customHeight="1"/>
    <row r="114" ht="15" customHeight="1"/>
    <row r="115" ht="15" customHeight="1"/>
    <row r="116" ht="15" customHeight="1"/>
    <row r="117" ht="15" customHeight="1"/>
    <row r="118" ht="15" customHeight="1"/>
    <row r="119" ht="15" customHeight="1"/>
    <row r="120" ht="15" customHeight="1"/>
    <row r="121" ht="15" customHeight="1"/>
    <row r="122" ht="15" customHeight="1"/>
    <row r="123" ht="15" customHeight="1"/>
    <row r="124" ht="15" customHeight="1"/>
    <row r="125" ht="15" customHeight="1"/>
    <row r="126" ht="15" customHeight="1"/>
    <row r="127" ht="15" customHeight="1"/>
    <row r="128" ht="15" customHeight="1"/>
    <row r="129" ht="15" customHeight="1"/>
    <row r="130" ht="15" customHeight="1"/>
    <row r="131" ht="15" customHeight="1"/>
    <row r="132" ht="15" customHeight="1"/>
    <row r="133" ht="15" customHeight="1"/>
    <row r="134" ht="15" customHeight="1"/>
    <row r="135" ht="15" customHeight="1"/>
    <row r="136" ht="15" customHeight="1"/>
    <row r="137" ht="15" customHeight="1"/>
    <row r="138" ht="15" customHeight="1"/>
    <row r="139" ht="15" customHeight="1"/>
    <row r="140" ht="15" customHeight="1"/>
    <row r="141" ht="15" customHeight="1"/>
    <row r="142" ht="15" customHeight="1"/>
    <row r="143" ht="15" customHeight="1"/>
    <row r="144" ht="15" customHeight="1"/>
    <row r="145" ht="15" customHeight="1"/>
    <row r="146" ht="15" customHeight="1"/>
    <row r="147" ht="15" customHeight="1"/>
    <row r="148" ht="15" customHeight="1"/>
    <row r="149" ht="15" customHeight="1"/>
    <row r="150" ht="15" customHeight="1"/>
    <row r="151" ht="15" customHeight="1"/>
    <row r="152" ht="15" customHeight="1"/>
    <row r="153" ht="15" customHeight="1"/>
    <row r="154" ht="15" customHeight="1"/>
    <row r="155" ht="15" customHeight="1"/>
    <row r="156" ht="15" customHeight="1"/>
    <row r="157" ht="15" customHeight="1"/>
    <row r="158" ht="15" customHeight="1"/>
    <row r="159" ht="15" customHeight="1"/>
    <row r="160" ht="15" customHeight="1"/>
    <row r="161" ht="15" customHeight="1"/>
    <row r="162" ht="15" customHeight="1"/>
    <row r="163" ht="15" customHeight="1"/>
    <row r="164" ht="15" customHeight="1"/>
    <row r="165" ht="15" customHeight="1"/>
    <row r="166" ht="15" customHeight="1"/>
    <row r="167" ht="15" customHeight="1"/>
    <row r="168" ht="15" customHeight="1"/>
    <row r="169" ht="15" customHeight="1"/>
    <row r="170" ht="15" customHeight="1"/>
    <row r="171" ht="15" customHeight="1"/>
    <row r="172" ht="15" customHeight="1"/>
    <row r="173" ht="15" customHeight="1"/>
    <row r="174" ht="15" customHeight="1"/>
    <row r="175" ht="15" customHeight="1"/>
    <row r="176" ht="15" customHeight="1"/>
    <row r="177" ht="15" customHeight="1"/>
    <row r="178" ht="15" customHeight="1"/>
    <row r="179" ht="15" customHeight="1"/>
  </sheetData>
  <dataValidations count="15">
    <dataValidation type="whole" operator="greaterThanOrEqual" allowBlank="1" showInputMessage="1" showErrorMessage="1" sqref="D15 D20 F25 F12" xr:uid="{DFC1FDAF-E87C-45D5-86FE-3D0CEEB41F46}">
      <formula1>0</formula1>
    </dataValidation>
    <dataValidation type="list" allowBlank="1" showInputMessage="1" showErrorMessage="1" sqref="Z15 Z20 AH25 AR12 AH12" xr:uid="{94D8C045-1444-49DB-A5D4-BF6CCE71FD56}">
      <formula1>"Ei,Kyllä,Kyllä - poissaolevat"</formula1>
    </dataValidation>
    <dataValidation type="list" allowBlank="1" showInputMessage="1" showErrorMessage="1" sqref="AD15 AD20 H25 H12" xr:uid="{32A7E6FB-25D4-44A2-B31B-EE08A2FF134C}">
      <formula1>"Ei,Keltainen,Musta,Oranssi,Pinkki,Punainen,Sininen,Turkoosi,Vihreä,Violetti"</formula1>
    </dataValidation>
    <dataValidation type="list" allowBlank="1" showInputMessage="1" showErrorMessage="1" sqref="G22 K22 Y20 AI20 E20 K13 I19:J19 AD19:AE19 AE15:AF15 Y15 AI15 E15 H7:I7 AE20:AF20 AD7:AE7 E25 I25 AE25 H28:I28 AD28:AE28 AB25 G25 AO12 G12:G13 AB12 E12 I12 AE12" xr:uid="{195D8DE5-3D04-4064-91C1-FF975A5DFEFC}">
      <formula1>"Kyllä,Ei"</formula1>
    </dataValidation>
    <dataValidation type="whole" allowBlank="1" showInputMessage="1" showErrorMessage="1" errorTitle="Virhe" error="Työaikaprosentin on oltava välillä 0-100" prompt="Työajan prosentti" sqref="J13 J22" xr:uid="{2C4633FA-C6C5-4FED-8C42-63F7842BEAD3}">
      <formula1>0</formula1>
      <formula2>100</formula2>
    </dataValidation>
    <dataValidation type="list" allowBlank="1" showInputMessage="1" showErrorMessage="1" errorTitle="Virheellinen syöte" error="Syötä vain ryhmiä, jotka ovat alasvetoluettelossa" promptTitle="Valitse ryhmä" prompt="Valitse ryhmä alasvetoluettelosta" sqref="F13 F22" xr:uid="{860C1D34-5068-4D04-8FB4-CDB12531E13C}">
      <formula1>"Iltatuulet,Lounatuulet,Myötätuulet,Sumuset,Suvituulet,Tuuliaiset,Usvaset,Utuset,Vain koko päiväkoti,Ei"</formula1>
    </dataValidation>
    <dataValidation allowBlank="1" error="Et voi lisätä lapsia ryhmään jota ei ole olemassa. Käy ensin luomassa ryhmä Ryhmät-välilehdellä." promptTitle="Ryhmän valinta" prompt="Klikkaa nuolta ja valitse vetovalikosta ryhmä, johon lapsi kuuluu._x000a__x000a_Jos valikko on tyhjä, käy Ryhmät -välilehdessä lisäämässä ryhmiä." sqref="F7 F28" xr:uid="{B71BC82A-E556-4A3C-BED9-EEFB41681D4D}"/>
    <dataValidation allowBlank="1" showErrorMessage="1" promptTitle="Lasten valinta" prompt="Valitse vetovalikosta lapsen nimi." sqref="E7 E28" xr:uid="{8B5783B3-1175-4841-AB16-D805822FA7AA}"/>
    <dataValidation type="list" allowBlank="1" showInputMessage="1" showErrorMessage="1" sqref="K25 K12 AI12" xr:uid="{774B2966-D4C3-47BA-ABFD-F4A550CEDC5F}">
      <formula1>"Kutsumanimi,Sukunimi"</formula1>
    </dataValidation>
    <dataValidation allowBlank="1" showInputMessage="1" showErrorMessage="1" sqref="A11:XFD11 AL12 D23:AK23" xr:uid="{C0F04434-C39F-455D-9C18-C7135D4C52CF}"/>
    <dataValidation type="list" allowBlank="1" showInputMessage="1" showErrorMessage="1" sqref="J12" xr:uid="{AD8243CC-79E5-4185-81E5-A2E0627199E6}">
      <formula1>"Ei,Ma-pe,Ma-su"</formula1>
    </dataValidation>
    <dataValidation type="list" allowBlank="1" showInputMessage="1" showErrorMessage="1" sqref="AK12" xr:uid="{01A9FFBF-2C59-451C-9DE2-E5D7A4866280}">
      <formula1>"0,1,2,3,4,5,6,7,8,9,10,11,12,13,14,15,16,17,18,19,20"</formula1>
    </dataValidation>
    <dataValidation type="list" allowBlank="1" showInputMessage="1" showErrorMessage="1" sqref="AJ12" xr:uid="{10F15225-C0AC-457C-8CA3-A50397F2223A}">
      <formula1>"Pysty,Pysty + wc,Vaaka,Vaaka + wc,Kustomoitu"</formula1>
    </dataValidation>
    <dataValidation type="list" allowBlank="1" showInputMessage="1" showErrorMessage="1" sqref="Q12" xr:uid="{89E28272-6781-4784-9C9F-D9EF1F29C57E}">
      <formula1>"Pieni fontti,Pieni fontti - poissa,Pieni fontti - poissa - tyhjät,Iso fontti,Iso fontti - poissa,Iso fontti - poissa - tyhjät"</formula1>
    </dataValidation>
    <dataValidation type="list" allowBlank="1" showInputMessage="1" showErrorMessage="1" sqref="P12" xr:uid="{5E7651C5-ECD1-4B4B-A43A-B61B3C8CB579}">
      <mc:AlternateContent xmlns:x12ac="http://schemas.microsoft.com/office/spreadsheetml/2011/1/ac" xmlns:mc="http://schemas.openxmlformats.org/markup-compatibility/2006">
        <mc:Choice Requires="x12ac">
          <x12ac:list>Ei,Ma-pe,Ma-pe,"Ma-pe, vain ilta",Ma-pe + ilta,Ma-su + ilta</x12ac:list>
        </mc:Choice>
        <mc:Fallback>
          <formula1>"Ei,Ma-pe,Ma-pe,Ma-pe, vain ilta,Ma-pe + ilta,Ma-su + ilta"</formula1>
        </mc:Fallback>
      </mc:AlternateContent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5779A128-91DE-41D4-9362-5BCCA9528DC9}">
          <x14:formula1>
            <xm:f>Code!$A$84:$A$86</xm:f>
          </x14:formula1>
          <xm:sqref>X15 X20 J25</xm:sqref>
        </x14:dataValidation>
        <x14:dataValidation type="list" allowBlank="1" showInputMessage="1" showErrorMessage="1" xr:uid="{C1B927E9-60FB-41B8-A1A7-81532584CE40}">
          <x14:formula1>
            <xm:f>Code!$A$118:$A$123</xm:f>
          </x14:formula1>
          <xm:sqref>M15 M20 Q25</xm:sqref>
        </x14:dataValidation>
        <x14:dataValidation type="list" allowBlank="1" showInputMessage="1" showErrorMessage="1" xr:uid="{C5BDBC8A-D783-4A98-9E01-933303391C54}">
          <x14:formula1>
            <xm:f>Code!$A$108:$A$112</xm:f>
          </x14:formula1>
          <xm:sqref>L15 L20 P25</xm:sqref>
        </x14:dataValidation>
        <x14:dataValidation type="list" allowBlank="1" showInputMessage="1" showErrorMessage="1" xr:uid="{04DDC81A-5A6A-46AB-AB06-5DC768034977}">
          <x14:formula1>
            <xm:f>Code!$A$7:$A$8</xm:f>
          </x14:formula1>
          <xm:sqref>AA20 AA15 G15 G20 AI25 AS12</xm:sqref>
        </x14:dataValidation>
        <x14:dataValidation type="list" allowBlank="1" showInputMessage="1" showErrorMessage="1" xr:uid="{F2E8B42B-F3D3-4B7A-82DC-D92B368F9A97}">
          <x14:formula1>
            <xm:f>Code!$A$69:$A$73</xm:f>
          </x14:formula1>
          <xm:sqref>AB15 AB20 AJ25 AT12</xm:sqref>
        </x14:dataValidation>
        <x14:dataValidation type="list" allowBlank="1" showInputMessage="1" showErrorMessage="1" xr:uid="{BF7E68E3-FE23-41F7-B60C-328A23839E4F}">
          <x14:formula1>
            <xm:f>Code!$A$133:$A$153</xm:f>
          </x14:formula1>
          <xm:sqref>AC15 AC20 AK25 AU12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0DC680-DDD4-4484-BE88-35D1E223FEFD}">
  <sheetPr codeName="Taul1"/>
  <dimension ref="A1"/>
  <sheetViews>
    <sheetView zoomScaleNormal="100" workbookViewId="0"/>
  </sheetViews>
  <sheetFormatPr defaultRowHeight="15"/>
  <sheetData/>
  <phoneticPr fontId="24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EA7CE2-7B7C-410A-BF05-7C1F3FB46C2E}">
  <sheetPr codeName="Taul7"/>
  <dimension ref="A1"/>
  <sheetViews>
    <sheetView zoomScale="145" zoomScaleNormal="145" workbookViewId="0"/>
  </sheetViews>
  <sheetFormatPr defaultRowHeight="15"/>
  <cols>
    <col min="2" max="2" width="14.140625" bestFit="1" customWidth="1"/>
    <col min="14" max="14" width="34.85546875" customWidth="1"/>
  </cols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Taul13">
    <tabColor theme="5" tint="0.39997558519241921"/>
    <pageSetUpPr fitToPage="1"/>
  </sheetPr>
  <dimension ref="A1:Y42"/>
  <sheetViews>
    <sheetView showGridLines="0" showZeros="0" zoomScale="130" zoomScaleNormal="130" workbookViewId="0">
      <selection sqref="A1:C1"/>
    </sheetView>
  </sheetViews>
  <sheetFormatPr defaultColWidth="15.140625" defaultRowHeight="20.100000000000001" customHeight="1"/>
  <cols>
    <col min="1" max="1" width="4.28515625" style="457" customWidth="1"/>
    <col min="2" max="2" width="0.42578125" style="457" customWidth="1"/>
    <col min="3" max="3" width="27.7109375" style="457" customWidth="1"/>
    <col min="4" max="4" width="6.28515625" style="362" customWidth="1"/>
    <col min="5" max="5" width="0.85546875" style="359" customWidth="1"/>
    <col min="6" max="6" width="6.28515625" style="360" customWidth="1"/>
    <col min="7" max="7" width="6.28515625" style="362" customWidth="1"/>
    <col min="8" max="8" width="0.85546875" style="359" customWidth="1"/>
    <col min="9" max="9" width="6.28515625" style="360" customWidth="1"/>
    <col min="10" max="10" width="6.28515625" style="362" customWidth="1"/>
    <col min="11" max="11" width="0.85546875" style="359" customWidth="1"/>
    <col min="12" max="12" width="6.28515625" style="360" customWidth="1"/>
    <col min="13" max="13" width="6.28515625" style="362" customWidth="1"/>
    <col min="14" max="14" width="0.85546875" style="359" customWidth="1"/>
    <col min="15" max="15" width="6.28515625" style="360" customWidth="1"/>
    <col min="16" max="16" width="6.28515625" style="362" customWidth="1"/>
    <col min="17" max="17" width="0.85546875" style="359" customWidth="1"/>
    <col min="18" max="19" width="6.28515625" style="362" customWidth="1"/>
    <col min="20" max="20" width="0.85546875" style="492" customWidth="1"/>
    <col min="21" max="22" width="6.28515625" style="362" customWidth="1"/>
    <col min="23" max="23" width="0.85546875" style="493" customWidth="1"/>
    <col min="24" max="24" width="6.28515625" style="362" customWidth="1"/>
    <col min="25" max="25" width="15.140625" style="457"/>
    <col min="26" max="16384" width="15.140625" style="3"/>
  </cols>
  <sheetData>
    <row r="1" spans="1:24" ht="20.100000000000001" customHeight="1">
      <c r="A1" s="618"/>
      <c r="B1" s="619"/>
      <c r="C1" s="619"/>
      <c r="D1" s="364"/>
      <c r="E1" s="364"/>
      <c r="F1" s="364"/>
      <c r="G1" s="358"/>
      <c r="H1" s="358"/>
      <c r="I1" s="358"/>
      <c r="J1" s="364"/>
      <c r="K1" s="364"/>
      <c r="L1" s="364"/>
      <c r="M1" s="358"/>
      <c r="N1" s="358"/>
      <c r="O1" s="358"/>
      <c r="P1" s="364"/>
      <c r="Q1" s="364"/>
      <c r="R1" s="364"/>
      <c r="S1" s="364" t="s">
        <v>70</v>
      </c>
      <c r="T1" s="496"/>
      <c r="U1" s="496"/>
      <c r="V1" s="447"/>
      <c r="W1" s="497"/>
      <c r="X1" s="496"/>
    </row>
    <row r="2" spans="1:24" ht="20.100000000000001" customHeight="1">
      <c r="A2" s="498"/>
      <c r="B2" s="491"/>
      <c r="C2" s="456"/>
      <c r="D2" s="365"/>
    </row>
    <row r="3" spans="1:24" ht="20.100000000000001" customHeight="1">
      <c r="A3" s="498"/>
      <c r="B3" s="494"/>
      <c r="C3" s="456"/>
      <c r="D3" s="365"/>
    </row>
    <row r="4" spans="1:24" ht="20.100000000000001" customHeight="1">
      <c r="A4" s="498"/>
      <c r="B4" s="494"/>
      <c r="C4" s="456"/>
      <c r="D4" s="365"/>
    </row>
    <row r="5" spans="1:24" ht="20.100000000000001" customHeight="1">
      <c r="A5" s="498"/>
      <c r="B5" s="494"/>
      <c r="C5" s="456"/>
      <c r="D5" s="365"/>
    </row>
    <row r="6" spans="1:24" ht="20.100000000000001" customHeight="1">
      <c r="A6" s="498"/>
      <c r="B6" s="494"/>
      <c r="C6" s="456"/>
      <c r="D6" s="365"/>
    </row>
    <row r="7" spans="1:24" ht="20.100000000000001" customHeight="1">
      <c r="A7" s="498"/>
      <c r="B7" s="494"/>
      <c r="C7" s="456"/>
      <c r="D7" s="365"/>
    </row>
    <row r="8" spans="1:24" ht="20.100000000000001" customHeight="1">
      <c r="A8" s="498"/>
      <c r="B8" s="494"/>
      <c r="C8" s="456"/>
      <c r="D8" s="365"/>
    </row>
    <row r="9" spans="1:24" ht="20.100000000000001" customHeight="1">
      <c r="A9" s="498"/>
      <c r="B9" s="494"/>
      <c r="C9" s="456"/>
      <c r="D9" s="365"/>
    </row>
    <row r="10" spans="1:24" ht="20.100000000000001" customHeight="1">
      <c r="A10" s="498"/>
      <c r="B10" s="494"/>
      <c r="C10" s="456"/>
      <c r="D10" s="365"/>
    </row>
    <row r="11" spans="1:24" ht="20.100000000000001" customHeight="1">
      <c r="A11" s="498"/>
      <c r="B11" s="494"/>
      <c r="C11" s="456"/>
      <c r="D11" s="365"/>
    </row>
    <row r="12" spans="1:24" ht="20.100000000000001" customHeight="1">
      <c r="A12" s="498"/>
      <c r="B12" s="494"/>
      <c r="C12" s="456"/>
      <c r="D12" s="365"/>
    </row>
    <row r="13" spans="1:24" ht="20.100000000000001" customHeight="1">
      <c r="A13" s="498"/>
      <c r="B13" s="494"/>
      <c r="C13" s="456"/>
      <c r="D13" s="365"/>
    </row>
    <row r="14" spans="1:24" ht="20.100000000000001" customHeight="1">
      <c r="A14" s="498"/>
      <c r="B14" s="494"/>
      <c r="C14" s="456"/>
      <c r="D14" s="365"/>
    </row>
    <row r="15" spans="1:24" ht="20.100000000000001" customHeight="1">
      <c r="A15" s="498"/>
      <c r="B15" s="494"/>
      <c r="C15" s="456"/>
      <c r="D15" s="365"/>
    </row>
    <row r="16" spans="1:24" ht="20.100000000000001" customHeight="1">
      <c r="A16" s="498"/>
      <c r="B16" s="494"/>
      <c r="C16" s="456"/>
      <c r="D16" s="365"/>
    </row>
    <row r="17" spans="1:4" ht="20.100000000000001" customHeight="1">
      <c r="A17" s="498"/>
      <c r="B17" s="494"/>
      <c r="C17" s="456"/>
      <c r="D17" s="365"/>
    </row>
    <row r="18" spans="1:4" ht="20.100000000000001" customHeight="1">
      <c r="A18" s="498"/>
      <c r="B18" s="494"/>
      <c r="C18" s="456"/>
      <c r="D18" s="365"/>
    </row>
    <row r="19" spans="1:4" ht="20.100000000000001" customHeight="1">
      <c r="A19" s="498"/>
      <c r="B19" s="494"/>
      <c r="C19" s="456"/>
      <c r="D19" s="365"/>
    </row>
    <row r="20" spans="1:4" ht="20.100000000000001" customHeight="1">
      <c r="A20" s="498"/>
      <c r="B20" s="494"/>
      <c r="C20" s="456"/>
      <c r="D20" s="365"/>
    </row>
    <row r="21" spans="1:4" ht="20.100000000000001" customHeight="1">
      <c r="A21" s="498"/>
      <c r="B21" s="494"/>
      <c r="C21" s="456"/>
      <c r="D21" s="365"/>
    </row>
    <row r="22" spans="1:4" ht="20.100000000000001" customHeight="1">
      <c r="A22" s="498"/>
      <c r="B22" s="494"/>
      <c r="C22" s="456"/>
      <c r="D22" s="365"/>
    </row>
    <row r="23" spans="1:4" ht="20.100000000000001" customHeight="1">
      <c r="A23" s="498"/>
      <c r="B23" s="494"/>
      <c r="C23" s="456"/>
      <c r="D23" s="365"/>
    </row>
    <row r="24" spans="1:4" ht="20.100000000000001" customHeight="1">
      <c r="A24" s="498"/>
      <c r="B24" s="494"/>
      <c r="C24" s="456"/>
      <c r="D24" s="365"/>
    </row>
    <row r="25" spans="1:4" ht="20.100000000000001" customHeight="1">
      <c r="A25" s="498"/>
      <c r="B25" s="494"/>
      <c r="C25" s="456"/>
      <c r="D25" s="365"/>
    </row>
    <row r="26" spans="1:4" ht="20.100000000000001" customHeight="1">
      <c r="A26" s="498"/>
      <c r="B26" s="494"/>
      <c r="C26" s="456"/>
      <c r="D26" s="365"/>
    </row>
    <row r="27" spans="1:4" ht="20.100000000000001" customHeight="1">
      <c r="A27" s="498"/>
      <c r="B27" s="494"/>
      <c r="C27" s="456"/>
      <c r="D27" s="365"/>
    </row>
    <row r="28" spans="1:4" ht="20.100000000000001" customHeight="1">
      <c r="A28" s="498"/>
      <c r="B28" s="494"/>
      <c r="C28" s="456"/>
      <c r="D28" s="365"/>
    </row>
    <row r="29" spans="1:4" ht="20.100000000000001" customHeight="1">
      <c r="A29" s="498"/>
      <c r="B29" s="494"/>
      <c r="C29" s="456"/>
      <c r="D29" s="365"/>
    </row>
    <row r="30" spans="1:4" ht="20.100000000000001" customHeight="1">
      <c r="A30" s="498"/>
      <c r="B30" s="494"/>
      <c r="C30" s="456"/>
      <c r="D30" s="365"/>
    </row>
    <row r="31" spans="1:4" ht="20.100000000000001" customHeight="1">
      <c r="A31" s="498"/>
      <c r="B31" s="494"/>
      <c r="C31" s="456"/>
      <c r="D31" s="365"/>
    </row>
    <row r="32" spans="1:4" ht="20.100000000000001" customHeight="1">
      <c r="A32" s="498"/>
      <c r="B32" s="494"/>
      <c r="C32" s="456"/>
      <c r="D32" s="365"/>
    </row>
    <row r="33" spans="1:8" ht="20.100000000000001" customHeight="1">
      <c r="A33" s="498"/>
      <c r="B33" s="494"/>
      <c r="C33" s="456"/>
      <c r="D33" s="365"/>
    </row>
    <row r="34" spans="1:8" ht="20.100000000000001" customHeight="1">
      <c r="A34" s="498"/>
      <c r="B34" s="494"/>
      <c r="C34" s="456"/>
      <c r="D34" s="365"/>
    </row>
    <row r="35" spans="1:8" ht="20.100000000000001" customHeight="1">
      <c r="A35" s="498"/>
      <c r="B35" s="494"/>
      <c r="C35" s="456"/>
      <c r="D35" s="365"/>
    </row>
    <row r="36" spans="1:8" ht="20.100000000000001" customHeight="1">
      <c r="A36" s="498"/>
      <c r="B36" s="494"/>
      <c r="C36" s="456"/>
      <c r="D36" s="365"/>
    </row>
    <row r="37" spans="1:8" ht="20.100000000000001" customHeight="1">
      <c r="A37" s="498"/>
      <c r="B37" s="494"/>
      <c r="C37" s="456"/>
      <c r="D37" s="365"/>
    </row>
    <row r="38" spans="1:8" ht="20.100000000000001" customHeight="1">
      <c r="A38" s="498"/>
      <c r="B38" s="494"/>
      <c r="C38" s="456"/>
      <c r="D38" s="365"/>
    </row>
    <row r="39" spans="1:8" ht="20.100000000000001" customHeight="1">
      <c r="A39" s="498"/>
      <c r="B39" s="494"/>
      <c r="C39" s="456"/>
      <c r="D39" s="365"/>
    </row>
    <row r="40" spans="1:8" ht="20.100000000000001" customHeight="1">
      <c r="A40" s="498"/>
      <c r="B40" s="494"/>
      <c r="C40" s="456"/>
      <c r="D40" s="365"/>
    </row>
    <row r="41" spans="1:8" ht="20.100000000000001" customHeight="1">
      <c r="A41" s="498"/>
      <c r="B41" s="494"/>
      <c r="C41" s="456"/>
      <c r="D41" s="365"/>
    </row>
    <row r="42" spans="1:8" ht="20.100000000000001" customHeight="1">
      <c r="A42" s="498"/>
      <c r="B42" s="495"/>
      <c r="D42" s="361"/>
      <c r="E42" s="366"/>
      <c r="F42" s="367"/>
      <c r="G42" s="361"/>
      <c r="H42" s="363"/>
    </row>
  </sheetData>
  <sheetProtection formatCells="0" formatColumns="0" formatRows="0"/>
  <mergeCells count="1">
    <mergeCell ref="A1:C1"/>
  </mergeCells>
  <printOptions horizontalCentered="1"/>
  <pageMargins left="0.23622047244094488" right="0.23622047244094488" top="0.11811023622047244" bottom="0.11811023622047244" header="0" footer="0"/>
  <pageSetup paperSize="9" fitToHeight="0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C5CF3-DE67-4ED8-9681-6CE3D9DEEC8A}">
  <sheetPr codeName="Taul3"/>
  <dimension ref="A1"/>
  <sheetViews>
    <sheetView zoomScale="145" zoomScaleNormal="145" workbookViewId="0"/>
  </sheetViews>
  <sheetFormatPr defaultRowHeight="15"/>
  <cols>
    <col min="1" max="1" width="40.28515625" customWidth="1"/>
    <col min="2" max="2" width="17.5703125" bestFit="1" customWidth="1"/>
    <col min="3" max="3" width="22.140625" bestFit="1" customWidth="1"/>
    <col min="4" max="4" width="14" bestFit="1" customWidth="1"/>
    <col min="5" max="5" width="20.28515625" bestFit="1" customWidth="1"/>
    <col min="6" max="6" width="12" bestFit="1" customWidth="1"/>
    <col min="7" max="7" width="16.5703125" bestFit="1" customWidth="1"/>
    <col min="8" max="8" width="18.140625" bestFit="1" customWidth="1"/>
    <col min="9" max="9" width="17" bestFit="1" customWidth="1"/>
    <col min="10" max="10" width="13.5703125" bestFit="1" customWidth="1"/>
    <col min="11" max="11" width="11.28515625" bestFit="1" customWidth="1"/>
  </cols>
  <sheetData/>
  <dataConsolidate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5A95E-97D4-4549-9F7E-093169DB96B1}">
  <sheetPr codeName="Sheet6"/>
  <dimension ref="A1"/>
  <sheetViews>
    <sheetView workbookViewId="0"/>
  </sheetViews>
  <sheetFormatPr defaultRowHeight="15"/>
  <cols>
    <col min="1" max="1" width="36.85546875" customWidth="1"/>
    <col min="2" max="8" width="24.7109375" bestFit="1" customWidth="1"/>
  </cols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C5C6B-890E-46E3-910E-A32482CF534A}">
  <sheetPr codeName="Taul28">
    <tabColor rgb="FF00B0F0"/>
  </sheetPr>
  <dimension ref="A1:G546"/>
  <sheetViews>
    <sheetView showGridLines="0" showZeros="0" zoomScale="115" zoomScaleNormal="115" workbookViewId="0">
      <selection sqref="A1:G1"/>
    </sheetView>
  </sheetViews>
  <sheetFormatPr defaultColWidth="15.140625" defaultRowHeight="15" customHeight="1"/>
  <cols>
    <col min="1" max="1" width="10.5703125" customWidth="1"/>
    <col min="2" max="7" width="10.5703125" style="13" customWidth="1"/>
  </cols>
  <sheetData>
    <row r="1" spans="1:7" ht="50.1" customHeight="1">
      <c r="A1" s="627" t="s">
        <v>103</v>
      </c>
      <c r="B1" s="628"/>
      <c r="C1" s="628"/>
      <c r="D1" s="628"/>
      <c r="E1" s="628"/>
      <c r="F1" s="628"/>
      <c r="G1" s="629"/>
    </row>
    <row r="2" spans="1:7" s="30" customFormat="1" ht="50.1" customHeight="1">
      <c r="A2" s="433" t="s">
        <v>72</v>
      </c>
      <c r="B2" s="434" t="s">
        <v>73</v>
      </c>
      <c r="C2" s="624" t="s">
        <v>74</v>
      </c>
      <c r="D2" s="625"/>
      <c r="E2" s="625"/>
      <c r="F2" s="625"/>
      <c r="G2" s="626"/>
    </row>
    <row r="3" spans="1:7" ht="50.1" customHeight="1">
      <c r="A3" s="184"/>
      <c r="B3" s="116"/>
      <c r="C3" s="429" t="s">
        <v>75</v>
      </c>
      <c r="D3" s="430" t="s">
        <v>76</v>
      </c>
      <c r="E3" s="431" t="s">
        <v>77</v>
      </c>
      <c r="F3" s="430" t="s">
        <v>68</v>
      </c>
      <c r="G3" s="432" t="s">
        <v>84</v>
      </c>
    </row>
    <row r="4" spans="1:7" ht="50.1" customHeight="1">
      <c r="A4" s="423" t="s">
        <v>78</v>
      </c>
      <c r="B4" s="389"/>
      <c r="C4" s="390"/>
      <c r="D4" s="391"/>
      <c r="E4" s="392"/>
      <c r="F4" s="393"/>
      <c r="G4" s="394"/>
    </row>
    <row r="5" spans="1:7" ht="50.1" customHeight="1">
      <c r="A5" s="424" t="s">
        <v>79</v>
      </c>
      <c r="B5" s="395"/>
      <c r="C5" s="396"/>
      <c r="D5" s="397"/>
      <c r="E5" s="398"/>
      <c r="F5" s="399"/>
      <c r="G5" s="400"/>
    </row>
    <row r="6" spans="1:7" ht="50.1" customHeight="1">
      <c r="A6" s="425" t="s">
        <v>80</v>
      </c>
      <c r="B6" s="401"/>
      <c r="C6" s="402"/>
      <c r="D6" s="403"/>
      <c r="E6" s="404"/>
      <c r="F6" s="405"/>
      <c r="G6" s="406"/>
    </row>
    <row r="7" spans="1:7" ht="50.1" customHeight="1">
      <c r="A7" s="424" t="s">
        <v>81</v>
      </c>
      <c r="B7" s="395"/>
      <c r="C7" s="396"/>
      <c r="D7" s="397"/>
      <c r="E7" s="398"/>
      <c r="F7" s="399"/>
      <c r="G7" s="400"/>
    </row>
    <row r="8" spans="1:7" ht="50.1" customHeight="1">
      <c r="A8" s="426" t="s">
        <v>82</v>
      </c>
      <c r="B8" s="407"/>
      <c r="C8" s="408"/>
      <c r="D8" s="409"/>
      <c r="E8" s="410"/>
      <c r="F8" s="411"/>
      <c r="G8" s="412"/>
    </row>
    <row r="9" spans="1:7" ht="50.1" customHeight="1">
      <c r="A9" s="427" t="s">
        <v>104</v>
      </c>
      <c r="B9" s="413"/>
      <c r="C9" s="414"/>
      <c r="D9" s="415"/>
      <c r="E9" s="398"/>
      <c r="F9" s="416"/>
      <c r="G9" s="417"/>
    </row>
    <row r="10" spans="1:7" ht="50.1" customHeight="1">
      <c r="A10" s="428" t="s">
        <v>105</v>
      </c>
      <c r="B10" s="418"/>
      <c r="C10" s="419"/>
      <c r="D10" s="420"/>
      <c r="E10" s="410"/>
      <c r="F10" s="421"/>
      <c r="G10" s="422"/>
    </row>
    <row r="11" spans="1:7" ht="26.25" customHeight="1"/>
    <row r="12" spans="1:7" ht="26.25" customHeight="1"/>
    <row r="13" spans="1:7" ht="26.25" customHeight="1"/>
    <row r="14" spans="1:7" ht="26.25" customHeight="1"/>
    <row r="15" spans="1:7" ht="26.25" customHeight="1"/>
    <row r="16" spans="1:7" ht="26.25" customHeight="1"/>
    <row r="17" ht="26.25" customHeight="1"/>
    <row r="18" ht="26.25" customHeight="1"/>
    <row r="19" ht="26.25" customHeight="1"/>
    <row r="20" ht="26.25" customHeight="1"/>
    <row r="21" ht="26.25" customHeight="1"/>
    <row r="22" ht="26.25" customHeight="1"/>
    <row r="23" ht="26.25" customHeight="1"/>
    <row r="24" ht="26.25" customHeight="1"/>
    <row r="25" ht="26.25" customHeight="1"/>
    <row r="26" ht="26.25" customHeight="1"/>
    <row r="27" ht="26.25" customHeight="1"/>
    <row r="28" ht="26.25" customHeight="1"/>
    <row r="29" ht="26.25" customHeight="1"/>
    <row r="30" ht="26.25" customHeight="1"/>
    <row r="31" ht="26.25" customHeight="1"/>
    <row r="32" ht="26.25" customHeight="1"/>
    <row r="33" ht="26.25" customHeight="1"/>
    <row r="34" ht="26.25" customHeight="1"/>
    <row r="35" ht="26.25" customHeight="1"/>
    <row r="36" ht="26.25" customHeight="1"/>
    <row r="37" ht="26.25" customHeight="1"/>
    <row r="38" ht="26.25" customHeight="1"/>
    <row r="39" ht="26.25" customHeight="1"/>
    <row r="40" ht="26.25" customHeight="1"/>
    <row r="41" ht="26.25" customHeight="1"/>
    <row r="42" ht="26.25" customHeight="1"/>
    <row r="43" ht="26.25" customHeight="1"/>
    <row r="44" ht="26.25" customHeight="1"/>
    <row r="45" ht="26.25" customHeight="1"/>
    <row r="46" ht="26.25" customHeight="1"/>
    <row r="47" ht="26.25" customHeight="1"/>
    <row r="48" ht="26.25" customHeight="1"/>
    <row r="49" ht="26.25" customHeight="1"/>
    <row r="50" ht="26.25" customHeight="1"/>
    <row r="51" ht="26.25" customHeight="1"/>
    <row r="52" ht="26.25" customHeight="1"/>
    <row r="53" ht="26.25" customHeight="1"/>
    <row r="54" ht="26.25" customHeight="1"/>
    <row r="55" ht="26.25" customHeight="1"/>
    <row r="56" ht="26.25" customHeight="1"/>
    <row r="57" ht="26.25" customHeight="1"/>
    <row r="58" ht="26.25" customHeight="1"/>
    <row r="59" ht="26.25" customHeight="1"/>
    <row r="60" ht="26.25" customHeight="1"/>
    <row r="61" ht="26.25" customHeight="1"/>
    <row r="62" ht="26.25" customHeight="1"/>
    <row r="63" ht="26.25" customHeight="1"/>
    <row r="64" ht="26.25" customHeight="1"/>
    <row r="65" ht="26.25" customHeight="1"/>
    <row r="66" ht="26.25" customHeight="1"/>
    <row r="67" ht="26.25" customHeight="1"/>
    <row r="68" ht="26.25" customHeight="1"/>
    <row r="69" ht="26.25" customHeight="1"/>
    <row r="70" ht="26.25" customHeight="1"/>
    <row r="71" ht="26.25" customHeight="1"/>
    <row r="72" ht="26.25" customHeight="1"/>
    <row r="73" ht="26.25" customHeight="1"/>
    <row r="74" ht="26.25" customHeight="1"/>
    <row r="75" ht="26.25" customHeight="1"/>
    <row r="76" ht="26.25" customHeight="1"/>
    <row r="77" ht="26.25" customHeight="1"/>
    <row r="78" ht="26.25" customHeight="1"/>
    <row r="79" ht="26.25" customHeight="1"/>
    <row r="80" ht="26.25" customHeight="1"/>
    <row r="81" ht="26.25" customHeight="1"/>
    <row r="82" ht="26.25" customHeight="1"/>
    <row r="83" ht="26.25" customHeight="1"/>
    <row r="84" ht="26.25" customHeight="1"/>
    <row r="85" ht="26.25" customHeight="1"/>
    <row r="86" ht="26.25" customHeight="1"/>
    <row r="87" ht="26.25" customHeight="1"/>
    <row r="88" ht="26.25" customHeight="1"/>
    <row r="89" ht="26.25" customHeight="1"/>
    <row r="90" ht="26.25" customHeight="1"/>
    <row r="91" ht="26.25" customHeight="1"/>
    <row r="92" ht="26.25" customHeight="1"/>
    <row r="93" ht="26.25" customHeight="1"/>
    <row r="94" ht="26.25" customHeight="1"/>
    <row r="95" ht="26.25" customHeight="1"/>
    <row r="96" ht="26.25" customHeight="1"/>
    <row r="97" ht="26.25" customHeight="1"/>
    <row r="98" ht="26.25" customHeight="1"/>
    <row r="99" ht="26.25" customHeight="1"/>
    <row r="100" ht="26.25" customHeight="1"/>
    <row r="101" ht="26.25" customHeight="1"/>
    <row r="102" ht="26.25" customHeight="1"/>
    <row r="103" ht="26.25" customHeight="1"/>
    <row r="104" ht="26.25" customHeight="1"/>
    <row r="105" ht="26.25" customHeight="1"/>
    <row r="106" ht="26.25" customHeight="1"/>
    <row r="107" ht="26.25" customHeight="1"/>
    <row r="108" ht="26.25" customHeight="1"/>
    <row r="109" ht="26.25" customHeight="1"/>
    <row r="110" ht="26.25" customHeight="1"/>
    <row r="111" ht="26.25" customHeight="1"/>
    <row r="112" ht="26.25" customHeight="1"/>
    <row r="113" ht="26.25" customHeight="1"/>
    <row r="114" ht="26.25" customHeight="1"/>
    <row r="115" ht="26.25" customHeight="1"/>
    <row r="116" ht="26.25" customHeight="1"/>
    <row r="117" ht="26.25" customHeight="1"/>
    <row r="118" ht="26.25" customHeight="1"/>
    <row r="119" ht="26.25" customHeight="1"/>
    <row r="120" ht="26.25" customHeight="1"/>
    <row r="121" ht="26.25" customHeight="1"/>
    <row r="122" ht="26.25" customHeight="1"/>
    <row r="123" ht="26.25" customHeight="1"/>
    <row r="124" ht="26.25" customHeight="1"/>
    <row r="125" ht="26.25" customHeight="1"/>
    <row r="126" ht="26.25" customHeight="1"/>
    <row r="127" ht="26.25" customHeight="1"/>
    <row r="128" ht="26.25" customHeight="1"/>
    <row r="129" ht="26.25" customHeight="1"/>
    <row r="130" ht="26.25" customHeight="1"/>
    <row r="131" ht="26.25" customHeight="1"/>
    <row r="132" ht="26.25" customHeight="1"/>
    <row r="133" ht="26.25" customHeight="1"/>
    <row r="134" ht="26.25" customHeight="1"/>
    <row r="135" ht="26.25" customHeight="1"/>
    <row r="136" ht="26.25" customHeight="1"/>
    <row r="137" ht="26.25" customHeight="1"/>
    <row r="138" ht="26.25" customHeight="1"/>
    <row r="139" ht="26.25" customHeight="1"/>
    <row r="140" ht="26.25" customHeight="1"/>
    <row r="141" ht="26.25" customHeight="1"/>
    <row r="142" ht="26.25" customHeight="1"/>
    <row r="143" ht="26.25" customHeight="1"/>
    <row r="144" ht="26.25" customHeight="1"/>
    <row r="145" ht="26.25" customHeight="1"/>
    <row r="146" ht="26.25" customHeight="1"/>
    <row r="147" ht="26.25" customHeight="1"/>
    <row r="148" ht="26.25" customHeight="1"/>
    <row r="149" ht="26.25" customHeight="1"/>
    <row r="150" ht="26.25" customHeight="1"/>
    <row r="151" ht="26.25" customHeight="1"/>
    <row r="152" ht="26.25" customHeight="1"/>
    <row r="153" ht="26.25" customHeight="1"/>
    <row r="154" ht="26.25" customHeight="1"/>
    <row r="155" ht="26.25" customHeight="1"/>
    <row r="156" ht="26.25" customHeight="1"/>
    <row r="157" ht="26.25" customHeight="1"/>
    <row r="158" ht="26.25" customHeight="1"/>
    <row r="159" ht="26.25" customHeight="1"/>
    <row r="160" ht="26.25" customHeight="1"/>
    <row r="161" ht="26.25" customHeight="1"/>
    <row r="162" ht="26.25" customHeight="1"/>
    <row r="163" ht="26.25" customHeight="1"/>
    <row r="164" ht="26.25" customHeight="1"/>
    <row r="165" ht="26.25" customHeight="1"/>
    <row r="166" ht="26.25" customHeight="1"/>
    <row r="167" ht="26.25" customHeight="1"/>
    <row r="168" ht="26.25" customHeight="1"/>
    <row r="169" ht="26.25" customHeight="1"/>
    <row r="170" ht="26.25" customHeight="1"/>
    <row r="171" ht="26.25" customHeight="1"/>
    <row r="172" ht="26.25" customHeight="1"/>
    <row r="173" ht="26.25" customHeight="1"/>
    <row r="174" ht="26.25" customHeight="1"/>
    <row r="175" ht="26.25" customHeight="1"/>
    <row r="176" ht="26.25" customHeight="1"/>
    <row r="177" ht="26.25" customHeight="1"/>
    <row r="178" ht="26.25" customHeight="1"/>
    <row r="179" ht="26.25" customHeight="1"/>
    <row r="180" ht="26.25" customHeight="1"/>
    <row r="181" ht="26.25" customHeight="1"/>
    <row r="182" ht="26.25" customHeight="1"/>
    <row r="183" ht="26.25" customHeight="1"/>
    <row r="184" ht="26.25" customHeight="1"/>
    <row r="185" ht="26.25" customHeight="1"/>
    <row r="186" ht="26.25" customHeight="1"/>
    <row r="187" ht="26.25" customHeight="1"/>
    <row r="188" ht="26.25" customHeight="1"/>
    <row r="189" ht="26.25" customHeight="1"/>
    <row r="190" ht="26.25" customHeight="1"/>
    <row r="191" ht="26.25" customHeight="1"/>
    <row r="192" ht="26.25" customHeight="1"/>
    <row r="193" ht="26.25" customHeight="1"/>
    <row r="194" ht="26.25" customHeight="1"/>
    <row r="195" ht="26.25" customHeight="1"/>
    <row r="196" ht="26.25" customHeight="1"/>
    <row r="197" ht="26.25" customHeight="1"/>
    <row r="198" ht="26.25" customHeight="1"/>
    <row r="199" ht="26.25" customHeight="1"/>
    <row r="200" ht="26.25" customHeight="1"/>
    <row r="201" ht="26.25" customHeight="1"/>
    <row r="202" ht="26.25" customHeight="1"/>
    <row r="203" ht="26.25" customHeight="1"/>
    <row r="204" ht="26.25" customHeight="1"/>
    <row r="205" ht="26.25" customHeight="1"/>
    <row r="206" ht="26.25" customHeight="1"/>
    <row r="207" ht="26.25" customHeight="1"/>
    <row r="208" ht="26.25" customHeight="1"/>
    <row r="209" ht="26.25" customHeight="1"/>
    <row r="210" ht="26.25" customHeight="1"/>
    <row r="211" ht="26.25" customHeight="1"/>
    <row r="212" ht="26.25" customHeight="1"/>
    <row r="213" ht="26.25" customHeight="1"/>
    <row r="214" ht="26.25" customHeight="1"/>
    <row r="215" ht="26.25" customHeight="1"/>
    <row r="216" ht="26.25" customHeight="1"/>
    <row r="217" ht="26.25" customHeight="1"/>
    <row r="218" ht="26.25" customHeight="1"/>
    <row r="219" ht="26.25" customHeight="1"/>
    <row r="220" ht="26.25" customHeight="1"/>
    <row r="221" ht="26.25" customHeight="1"/>
    <row r="222" ht="26.25" customHeight="1"/>
    <row r="223" ht="26.25" customHeight="1"/>
    <row r="224" ht="26.25" customHeight="1"/>
    <row r="225" ht="26.25" customHeight="1"/>
    <row r="226" ht="26.25" customHeight="1"/>
    <row r="227" ht="26.25" customHeight="1"/>
    <row r="228" ht="26.25" customHeight="1"/>
    <row r="229" ht="26.25" customHeight="1"/>
    <row r="230" ht="26.25" customHeight="1"/>
    <row r="231" ht="26.25" customHeight="1"/>
    <row r="232" ht="26.25" customHeight="1"/>
    <row r="233" ht="26.25" customHeight="1"/>
    <row r="234" ht="26.25" customHeight="1"/>
    <row r="235" ht="26.25" customHeight="1"/>
    <row r="236" ht="26.25" customHeight="1"/>
    <row r="237" ht="26.25" customHeight="1"/>
    <row r="238" ht="26.25" customHeight="1"/>
    <row r="239" ht="26.25" customHeight="1"/>
    <row r="240" ht="26.25" customHeight="1"/>
    <row r="241" ht="26.25" customHeight="1"/>
    <row r="242" ht="26.25" customHeight="1"/>
    <row r="243" ht="26.25" customHeight="1"/>
    <row r="244" ht="26.25" customHeight="1"/>
    <row r="245" ht="26.25" customHeight="1"/>
    <row r="246" ht="26.25" customHeight="1"/>
    <row r="247" ht="26.25" customHeight="1"/>
    <row r="248" ht="26.25" customHeight="1"/>
    <row r="249" ht="26.25" customHeight="1"/>
    <row r="250" ht="26.25" customHeight="1"/>
    <row r="251" ht="26.25" customHeight="1"/>
    <row r="252" ht="26.25" customHeight="1"/>
    <row r="253" ht="26.25" customHeight="1"/>
    <row r="254" ht="26.25" customHeight="1"/>
    <row r="255" ht="26.25" customHeight="1"/>
    <row r="256" ht="26.25" customHeight="1"/>
    <row r="257" ht="26.25" customHeight="1"/>
    <row r="258" ht="26.25" customHeight="1"/>
    <row r="259" ht="26.25" customHeight="1"/>
    <row r="260" ht="26.25" customHeight="1"/>
    <row r="261" ht="26.25" customHeight="1"/>
    <row r="262" ht="26.25" customHeight="1"/>
    <row r="263" ht="26.25" customHeight="1"/>
    <row r="264" ht="26.25" customHeight="1"/>
    <row r="265" ht="26.25" customHeight="1"/>
    <row r="266" ht="26.25" customHeight="1"/>
    <row r="267" ht="26.25" customHeight="1"/>
    <row r="268" ht="26.25" customHeight="1"/>
    <row r="269" ht="26.25" customHeight="1"/>
    <row r="270" ht="26.25" customHeight="1"/>
    <row r="271" ht="26.25" customHeight="1"/>
    <row r="272" ht="26.25" customHeight="1"/>
    <row r="273" ht="26.25" customHeight="1"/>
    <row r="274" ht="26.25" customHeight="1"/>
    <row r="275" ht="26.25" customHeight="1"/>
    <row r="276" ht="26.25" customHeight="1"/>
    <row r="277" ht="26.25" customHeight="1"/>
    <row r="278" ht="26.25" customHeight="1"/>
    <row r="279" ht="26.25" customHeight="1"/>
    <row r="280" ht="26.25" customHeight="1"/>
    <row r="281" ht="26.25" customHeight="1"/>
    <row r="282" ht="26.25" customHeight="1"/>
    <row r="283" ht="26.25" customHeight="1"/>
    <row r="284" ht="26.25" customHeight="1"/>
    <row r="285" ht="26.25" customHeight="1"/>
    <row r="286" ht="26.25" customHeight="1"/>
    <row r="287" ht="26.25" customHeight="1"/>
    <row r="288" ht="26.25" customHeight="1"/>
    <row r="289" ht="26.25" customHeight="1"/>
    <row r="290" ht="26.25" customHeight="1"/>
    <row r="291" ht="26.25" customHeight="1"/>
    <row r="292" ht="26.25" customHeight="1"/>
    <row r="293" ht="26.25" customHeight="1"/>
    <row r="294" ht="26.25" customHeight="1"/>
    <row r="295" ht="26.25" customHeight="1"/>
    <row r="296" ht="26.25" customHeight="1"/>
    <row r="297" ht="26.25" customHeight="1"/>
    <row r="298" ht="26.25" customHeight="1"/>
    <row r="299" ht="26.25" customHeight="1"/>
    <row r="300" ht="26.25" customHeight="1"/>
    <row r="301" ht="26.25" customHeight="1"/>
    <row r="302" ht="26.25" customHeight="1"/>
    <row r="303" ht="26.25" customHeight="1"/>
    <row r="304" ht="26.25" customHeight="1"/>
    <row r="305" ht="26.25" customHeight="1"/>
    <row r="306" ht="26.25" customHeight="1"/>
    <row r="307" ht="26.25" customHeight="1"/>
    <row r="308" ht="26.25" customHeight="1"/>
    <row r="309" ht="26.25" customHeight="1"/>
    <row r="310" ht="26.25" customHeight="1"/>
    <row r="311" ht="26.25" customHeight="1"/>
    <row r="312" ht="26.25" customHeight="1"/>
    <row r="313" ht="26.25" customHeight="1"/>
    <row r="314" ht="26.25" customHeight="1"/>
    <row r="315" ht="26.25" customHeight="1"/>
    <row r="316" ht="26.25" customHeight="1"/>
    <row r="317" ht="26.25" customHeight="1"/>
    <row r="318" ht="26.25" customHeight="1"/>
    <row r="319" ht="26.25" customHeight="1"/>
    <row r="320" ht="26.25" customHeight="1"/>
    <row r="321" ht="26.25" customHeight="1"/>
    <row r="322" ht="26.25" customHeight="1"/>
    <row r="323" ht="26.25" customHeight="1"/>
    <row r="324" ht="26.25" customHeight="1"/>
    <row r="325" ht="26.25" customHeight="1"/>
    <row r="326" ht="26.25" customHeight="1"/>
    <row r="327" ht="26.25" customHeight="1"/>
    <row r="328" ht="26.25" customHeight="1"/>
    <row r="329" ht="26.25" customHeight="1"/>
    <row r="330" ht="26.25" customHeight="1"/>
    <row r="331" ht="26.25" customHeight="1"/>
    <row r="332" ht="26.25" customHeight="1"/>
    <row r="333" ht="26.25" customHeight="1"/>
    <row r="334" ht="26.25" customHeight="1"/>
    <row r="335" ht="26.25" customHeight="1"/>
    <row r="336" ht="26.25" customHeight="1"/>
    <row r="337" ht="26.25" customHeight="1"/>
    <row r="338" ht="26.25" customHeight="1"/>
    <row r="339" ht="26.25" customHeight="1"/>
    <row r="340" ht="26.25" customHeight="1"/>
    <row r="341" ht="26.25" customHeight="1"/>
    <row r="342" ht="26.25" customHeight="1"/>
    <row r="343" ht="26.25" customHeight="1"/>
    <row r="344" ht="26.25" customHeight="1"/>
    <row r="345" ht="26.25" customHeight="1"/>
    <row r="346" ht="26.25" customHeight="1"/>
    <row r="347" ht="26.25" customHeight="1"/>
    <row r="348" ht="26.25" customHeight="1"/>
    <row r="349" ht="26.25" customHeight="1"/>
    <row r="350" ht="26.25" customHeight="1"/>
    <row r="351" ht="26.25" customHeight="1"/>
    <row r="352" ht="26.25" customHeight="1"/>
    <row r="353" ht="26.25" customHeight="1"/>
    <row r="354" ht="26.25" customHeight="1"/>
    <row r="355" ht="26.25" customHeight="1"/>
    <row r="356" ht="26.25" customHeight="1"/>
    <row r="357" ht="26.25" customHeight="1"/>
    <row r="358" ht="26.25" customHeight="1"/>
    <row r="359" ht="26.25" customHeight="1"/>
    <row r="360" ht="26.25" customHeight="1"/>
    <row r="361" ht="26.25" customHeight="1"/>
    <row r="362" ht="26.25" customHeight="1"/>
    <row r="363" ht="26.25" customHeight="1"/>
    <row r="364" ht="26.25" customHeight="1"/>
    <row r="365" ht="26.25" customHeight="1"/>
    <row r="366" ht="26.25" customHeight="1"/>
    <row r="367" ht="26.25" customHeight="1"/>
    <row r="368" ht="26.25" customHeight="1"/>
    <row r="369" ht="26.25" customHeight="1"/>
    <row r="370" ht="26.25" customHeight="1"/>
    <row r="371" ht="26.25" customHeight="1"/>
    <row r="372" ht="26.25" customHeight="1"/>
    <row r="373" ht="26.25" customHeight="1"/>
    <row r="374" ht="26.25" customHeight="1"/>
    <row r="375" ht="26.25" customHeight="1"/>
    <row r="376" ht="26.25" customHeight="1"/>
    <row r="377" ht="26.25" customHeight="1"/>
    <row r="378" ht="26.25" customHeight="1"/>
    <row r="379" ht="26.25" customHeight="1"/>
    <row r="380" ht="26.25" customHeight="1"/>
    <row r="381" ht="26.25" customHeight="1"/>
    <row r="382" ht="26.25" customHeight="1"/>
    <row r="383" ht="26.25" customHeight="1"/>
    <row r="384" ht="26.25" customHeight="1"/>
    <row r="385" ht="26.25" customHeight="1"/>
    <row r="386" ht="26.25" customHeight="1"/>
    <row r="387" ht="26.25" customHeight="1"/>
    <row r="388" ht="26.25" customHeight="1"/>
    <row r="389" ht="26.25" customHeight="1"/>
    <row r="390" ht="26.25" customHeight="1"/>
    <row r="391" ht="26.25" customHeight="1"/>
    <row r="392" ht="26.25" customHeight="1"/>
    <row r="393" ht="26.25" customHeight="1"/>
    <row r="394" ht="26.25" customHeight="1"/>
    <row r="395" ht="26.25" customHeight="1"/>
    <row r="396" ht="26.25" customHeight="1"/>
    <row r="397" ht="26.25" customHeight="1"/>
    <row r="398" ht="26.25" customHeight="1"/>
    <row r="399" ht="26.25" customHeight="1"/>
    <row r="400" ht="26.25" customHeight="1"/>
    <row r="401" ht="26.25" customHeight="1"/>
    <row r="402" ht="26.25" customHeight="1"/>
    <row r="403" ht="26.25" customHeight="1"/>
    <row r="404" ht="26.25" customHeight="1"/>
    <row r="405" ht="26.25" customHeight="1"/>
    <row r="406" ht="26.25" customHeight="1"/>
    <row r="407" ht="26.25" customHeight="1"/>
    <row r="408" ht="26.25" customHeight="1"/>
    <row r="409" ht="26.25" customHeight="1"/>
    <row r="410" ht="26.25" customHeight="1"/>
    <row r="411" ht="26.25" customHeight="1"/>
    <row r="412" ht="26.25" customHeight="1"/>
    <row r="413" ht="26.25" customHeight="1"/>
    <row r="414" ht="26.25" customHeight="1"/>
    <row r="415" ht="26.25" customHeight="1"/>
    <row r="416" ht="26.25" customHeight="1"/>
    <row r="417" ht="26.25" customHeight="1"/>
    <row r="418" ht="26.25" customHeight="1"/>
    <row r="419" ht="26.25" customHeight="1"/>
    <row r="420" ht="26.25" customHeight="1"/>
    <row r="421" ht="26.25" customHeight="1"/>
    <row r="422" ht="26.25" customHeight="1"/>
    <row r="423" ht="26.25" customHeight="1"/>
    <row r="424" ht="26.25" customHeight="1"/>
    <row r="425" ht="26.25" customHeight="1"/>
    <row r="426" ht="26.25" customHeight="1"/>
    <row r="427" ht="26.25" customHeight="1"/>
    <row r="428" ht="26.25" customHeight="1"/>
    <row r="429" ht="26.25" customHeight="1"/>
    <row r="430" ht="26.25" customHeight="1"/>
    <row r="431" ht="26.25" customHeight="1"/>
    <row r="432" ht="26.25" customHeight="1"/>
    <row r="433" ht="26.25" customHeight="1"/>
    <row r="434" ht="26.25" customHeight="1"/>
    <row r="435" ht="26.25" customHeight="1"/>
    <row r="436" ht="26.25" customHeight="1"/>
    <row r="437" ht="26.25" customHeight="1"/>
    <row r="438" ht="26.25" customHeight="1"/>
    <row r="439" ht="26.25" customHeight="1"/>
    <row r="440" ht="26.25" customHeight="1"/>
    <row r="441" ht="26.25" customHeight="1"/>
    <row r="442" ht="26.25" customHeight="1"/>
    <row r="443" ht="26.25" customHeight="1"/>
    <row r="444" ht="26.25" customHeight="1"/>
    <row r="445" ht="26.25" customHeight="1"/>
    <row r="446" ht="26.25" customHeight="1"/>
    <row r="447" ht="26.25" customHeight="1"/>
    <row r="448" ht="26.25" customHeight="1"/>
    <row r="449" ht="26.25" customHeight="1"/>
    <row r="450" ht="26.25" customHeight="1"/>
    <row r="451" ht="26.25" customHeight="1"/>
    <row r="452" ht="26.25" customHeight="1"/>
    <row r="453" ht="26.25" customHeight="1"/>
    <row r="454" ht="26.25" customHeight="1"/>
    <row r="455" ht="26.25" customHeight="1"/>
    <row r="456" ht="26.25" customHeight="1"/>
    <row r="457" ht="26.25" customHeight="1"/>
    <row r="458" ht="26.25" customHeight="1"/>
    <row r="459" ht="26.25" customHeight="1"/>
    <row r="460" ht="26.25" customHeight="1"/>
    <row r="461" ht="26.25" customHeight="1"/>
    <row r="462" ht="26.25" customHeight="1"/>
    <row r="463" ht="26.25" customHeight="1"/>
    <row r="464" ht="26.25" customHeight="1"/>
    <row r="465" ht="26.25" customHeight="1"/>
    <row r="466" ht="26.25" customHeight="1"/>
    <row r="467" ht="26.25" customHeight="1"/>
    <row r="468" ht="26.25" customHeight="1"/>
    <row r="469" ht="26.25" customHeight="1"/>
    <row r="470" ht="26.25" customHeight="1"/>
    <row r="471" ht="26.25" customHeight="1"/>
    <row r="472" ht="26.25" customHeight="1"/>
    <row r="473" ht="26.25" customHeight="1"/>
    <row r="474" ht="26.25" customHeight="1"/>
    <row r="475" ht="26.25" customHeight="1"/>
    <row r="476" ht="26.25" customHeight="1"/>
    <row r="477" ht="26.25" customHeight="1"/>
    <row r="478" ht="26.25" customHeight="1"/>
    <row r="479" ht="26.25" customHeight="1"/>
    <row r="480" ht="26.25" customHeight="1"/>
    <row r="481" ht="26.25" customHeight="1"/>
    <row r="482" ht="26.25" customHeight="1"/>
    <row r="483" ht="26.25" customHeight="1"/>
    <row r="484" ht="26.25" customHeight="1"/>
    <row r="485" ht="26.25" customHeight="1"/>
    <row r="486" ht="26.25" customHeight="1"/>
    <row r="487" ht="26.25" customHeight="1"/>
    <row r="488" ht="26.25" customHeight="1"/>
    <row r="489" ht="26.25" customHeight="1"/>
    <row r="490" ht="26.25" customHeight="1"/>
    <row r="491" ht="26.25" customHeight="1"/>
    <row r="492" ht="26.25" customHeight="1"/>
    <row r="493" ht="26.25" customHeight="1"/>
    <row r="494" ht="26.25" customHeight="1"/>
    <row r="495" ht="26.25" customHeight="1"/>
    <row r="496" ht="26.25" customHeight="1"/>
    <row r="497" ht="26.25" customHeight="1"/>
    <row r="498" ht="26.25" customHeight="1"/>
    <row r="499" ht="26.25" customHeight="1"/>
    <row r="500" ht="26.25" customHeight="1"/>
    <row r="501" ht="26.25" customHeight="1"/>
    <row r="502" ht="26.25" customHeight="1"/>
    <row r="503" ht="26.25" customHeight="1"/>
    <row r="504" ht="26.25" customHeight="1"/>
    <row r="505" ht="26.25" customHeight="1"/>
    <row r="506" ht="26.25" customHeight="1"/>
    <row r="507" ht="26.25" customHeight="1"/>
    <row r="508" ht="26.25" customHeight="1"/>
    <row r="509" ht="26.25" customHeight="1"/>
    <row r="510" ht="26.25" customHeight="1"/>
    <row r="511" ht="26.25" customHeight="1"/>
    <row r="512" ht="26.25" customHeight="1"/>
    <row r="513" ht="26.25" customHeight="1"/>
    <row r="514" ht="26.25" customHeight="1"/>
    <row r="515" ht="26.25" customHeight="1"/>
    <row r="516" ht="26.25" customHeight="1"/>
    <row r="517" ht="26.25" customHeight="1"/>
    <row r="518" ht="26.25" customHeight="1"/>
    <row r="519" ht="26.25" customHeight="1"/>
    <row r="520" ht="26.25" customHeight="1"/>
    <row r="521" ht="26.25" customHeight="1"/>
    <row r="522" ht="26.25" customHeight="1"/>
    <row r="523" ht="26.25" customHeight="1"/>
    <row r="524" ht="26.25" customHeight="1"/>
    <row r="525" ht="26.25" customHeight="1"/>
    <row r="526" ht="26.25" customHeight="1"/>
    <row r="527" ht="26.25" customHeight="1"/>
    <row r="528" ht="26.25" customHeight="1"/>
    <row r="529" ht="26.25" customHeight="1"/>
    <row r="530" ht="26.25" customHeight="1"/>
    <row r="531" ht="26.25" customHeight="1"/>
    <row r="532" ht="26.25" customHeight="1"/>
    <row r="533" ht="26.25" customHeight="1"/>
    <row r="534" ht="26.25" customHeight="1"/>
    <row r="535" ht="26.25" customHeight="1"/>
    <row r="536" ht="26.25" customHeight="1"/>
    <row r="537" ht="26.25" customHeight="1"/>
    <row r="538" ht="26.25" customHeight="1"/>
    <row r="539" ht="26.25" customHeight="1"/>
    <row r="540" ht="26.25" customHeight="1"/>
    <row r="541" ht="26.25" customHeight="1"/>
    <row r="542" ht="26.25" customHeight="1"/>
    <row r="543" ht="26.25" customHeight="1"/>
    <row r="544" ht="26.25" customHeight="1"/>
    <row r="545" ht="26.25" customHeight="1"/>
    <row r="546" ht="26.25" customHeight="1"/>
  </sheetData>
  <sheetProtection formatCells="0" formatColumns="0" formatRows="0"/>
  <mergeCells count="2">
    <mergeCell ref="C2:G2"/>
    <mergeCell ref="A1:G1"/>
  </mergeCells>
  <printOptions horizontalCentered="1"/>
  <pageMargins left="0" right="0" top="0.23622047244094491" bottom="0" header="0.31496062992125984" footer="0.31496062992125984"/>
  <pageSetup paperSize="9" fitToHeight="0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A44414-3690-4351-B5DD-3EBE7308E504}">
  <sheetPr codeName="Taul37">
    <tabColor theme="7" tint="0.39997558519241921"/>
  </sheetPr>
  <dimension ref="A1:F144"/>
  <sheetViews>
    <sheetView showGridLines="0" showZeros="0" view="pageBreakPreview" zoomScale="130" zoomScaleNormal="145" zoomScaleSheetLayoutView="130" workbookViewId="0"/>
  </sheetViews>
  <sheetFormatPr defaultColWidth="15.140625" defaultRowHeight="20.100000000000001" customHeight="1"/>
  <cols>
    <col min="1" max="1" width="14.85546875" style="463" customWidth="1"/>
    <col min="2" max="2" width="13.140625" style="77" customWidth="1"/>
    <col min="3" max="3" width="7.5703125" style="3" customWidth="1"/>
    <col min="4" max="4" width="8" style="3" customWidth="1"/>
    <col min="5" max="5" width="90.85546875" style="3" customWidth="1"/>
    <col min="6" max="6" width="8.85546875" style="3" customWidth="1"/>
    <col min="7" max="16384" width="15.140625" style="3"/>
  </cols>
  <sheetData>
    <row r="1" spans="1:6" s="85" customFormat="1" ht="30" customHeight="1">
      <c r="A1" s="83" t="s">
        <v>85</v>
      </c>
      <c r="B1" s="84"/>
      <c r="C1" s="83" t="s">
        <v>86</v>
      </c>
    </row>
    <row r="2" spans="1:6" s="88" customFormat="1" ht="16.5" customHeight="1">
      <c r="A2" s="461" t="s">
        <v>87</v>
      </c>
      <c r="B2" s="385" t="s">
        <v>88</v>
      </c>
      <c r="C2" s="385" t="s">
        <v>89</v>
      </c>
      <c r="D2" s="385" t="s">
        <v>90</v>
      </c>
      <c r="E2" s="384" t="s">
        <v>91</v>
      </c>
      <c r="F2" s="80" t="s">
        <v>106</v>
      </c>
    </row>
    <row r="3" spans="1:6" s="88" customFormat="1" ht="24.95" customHeight="1">
      <c r="A3" s="462" t="s">
        <v>92</v>
      </c>
      <c r="B3" s="381" t="s">
        <v>93</v>
      </c>
      <c r="C3" s="382"/>
      <c r="D3" s="382"/>
      <c r="E3" s="382"/>
      <c r="F3" s="382"/>
    </row>
    <row r="4" spans="1:6" s="88" customFormat="1" ht="24.95" customHeight="1">
      <c r="A4" s="460"/>
      <c r="B4" s="386"/>
      <c r="C4" s="387"/>
      <c r="D4" s="387"/>
      <c r="E4" s="387"/>
      <c r="F4" s="387" t="s">
        <v>94</v>
      </c>
    </row>
    <row r="5" spans="1:6" s="88" customFormat="1" ht="24.95" customHeight="1">
      <c r="A5" s="444"/>
      <c r="B5" s="380"/>
    </row>
    <row r="6" spans="1:6" s="88" customFormat="1" ht="24.95" customHeight="1">
      <c r="A6" s="444"/>
      <c r="B6" s="380"/>
    </row>
    <row r="7" spans="1:6" s="88" customFormat="1" ht="24.95" customHeight="1">
      <c r="A7" s="444"/>
      <c r="B7" s="380"/>
    </row>
    <row r="8" spans="1:6" s="88" customFormat="1" ht="24.95" customHeight="1">
      <c r="A8" s="444"/>
      <c r="B8" s="380"/>
    </row>
    <row r="9" spans="1:6" s="88" customFormat="1" ht="24.95" customHeight="1">
      <c r="B9" s="380"/>
      <c r="C9" s="86"/>
    </row>
    <row r="10" spans="1:6" s="88" customFormat="1" ht="24.95" customHeight="1">
      <c r="A10" s="444"/>
      <c r="B10" s="380"/>
    </row>
    <row r="11" spans="1:6" s="88" customFormat="1" ht="24.95" customHeight="1">
      <c r="A11" s="444"/>
      <c r="B11" s="380"/>
    </row>
    <row r="12" spans="1:6" s="88" customFormat="1" ht="24.95" customHeight="1">
      <c r="A12" s="444"/>
      <c r="B12" s="380"/>
    </row>
    <row r="13" spans="1:6" s="88" customFormat="1" ht="24.95" customHeight="1">
      <c r="A13" s="444"/>
      <c r="B13" s="380"/>
    </row>
    <row r="14" spans="1:6" s="88" customFormat="1" ht="24.95" customHeight="1">
      <c r="A14" s="444"/>
      <c r="B14" s="380"/>
    </row>
    <row r="15" spans="1:6" ht="24.95" customHeight="1">
      <c r="A15" s="444"/>
      <c r="B15" s="380"/>
      <c r="C15" s="88"/>
      <c r="D15" s="88"/>
      <c r="E15" s="88"/>
      <c r="F15" s="88"/>
    </row>
    <row r="16" spans="1:6" ht="24.95" customHeight="1">
      <c r="A16" s="444"/>
      <c r="B16" s="380"/>
      <c r="C16" s="88"/>
      <c r="D16" s="88"/>
      <c r="E16" s="88"/>
      <c r="F16" s="88"/>
    </row>
    <row r="17" spans="1:6" ht="24.95" customHeight="1">
      <c r="A17" s="444"/>
      <c r="B17" s="380"/>
      <c r="C17" s="88"/>
      <c r="D17" s="88"/>
      <c r="E17" s="88"/>
      <c r="F17" s="88"/>
    </row>
    <row r="18" spans="1:6" ht="24.95" customHeight="1">
      <c r="A18" s="444"/>
      <c r="B18" s="380"/>
      <c r="C18" s="88"/>
      <c r="D18" s="88"/>
      <c r="E18" s="88"/>
      <c r="F18" s="88"/>
    </row>
    <row r="19" spans="1:6" ht="24.95" customHeight="1">
      <c r="A19" s="444"/>
      <c r="B19" s="380"/>
      <c r="C19" s="88"/>
      <c r="D19" s="88"/>
      <c r="E19" s="88"/>
      <c r="F19" s="88"/>
    </row>
    <row r="20" spans="1:6" ht="24.95" customHeight="1">
      <c r="A20" s="444"/>
      <c r="B20" s="380"/>
      <c r="C20" s="88"/>
      <c r="D20" s="88"/>
      <c r="E20" s="88"/>
      <c r="F20" s="88"/>
    </row>
    <row r="21" spans="1:6" ht="24.95" customHeight="1">
      <c r="A21" s="444" t="s">
        <v>95</v>
      </c>
      <c r="B21" s="380"/>
      <c r="C21" s="88"/>
      <c r="D21" s="88"/>
      <c r="E21" s="88"/>
      <c r="F21" s="88"/>
    </row>
    <row r="22" spans="1:6" ht="24.95" customHeight="1">
      <c r="A22" s="444"/>
      <c r="B22" s="380"/>
      <c r="C22" s="88"/>
      <c r="D22" s="88"/>
      <c r="E22" s="88"/>
      <c r="F22" s="88"/>
    </row>
    <row r="23" spans="1:6" ht="24.95" customHeight="1">
      <c r="A23" s="3"/>
      <c r="B23" s="380"/>
      <c r="C23" s="86" t="s">
        <v>96</v>
      </c>
      <c r="D23" s="88"/>
      <c r="E23" s="88"/>
      <c r="F23" s="88"/>
    </row>
    <row r="24" spans="1:6" ht="26.1" customHeight="1">
      <c r="A24" s="444"/>
      <c r="B24" s="380"/>
      <c r="C24" s="88"/>
      <c r="D24" s="88"/>
      <c r="E24" s="88"/>
      <c r="F24" s="88"/>
    </row>
    <row r="25" spans="1:6" ht="26.1" customHeight="1">
      <c r="A25" s="444"/>
      <c r="B25" s="380"/>
      <c r="C25" s="88"/>
      <c r="D25" s="88"/>
      <c r="E25" s="88"/>
      <c r="F25" s="88"/>
    </row>
    <row r="26" spans="1:6" ht="26.1" customHeight="1">
      <c r="A26" s="444"/>
      <c r="B26" s="380"/>
      <c r="C26" s="88"/>
      <c r="D26" s="88"/>
      <c r="E26" s="88"/>
      <c r="F26" s="88"/>
    </row>
    <row r="27" spans="1:6" ht="26.1" customHeight="1">
      <c r="A27" s="444"/>
      <c r="B27" s="380"/>
      <c r="C27" s="88"/>
      <c r="D27" s="88"/>
      <c r="E27" s="88"/>
      <c r="F27" s="88"/>
    </row>
    <row r="28" spans="1:6" ht="26.1" customHeight="1">
      <c r="A28" s="444"/>
      <c r="B28" s="3"/>
      <c r="C28" s="88"/>
      <c r="D28" s="88"/>
      <c r="E28" s="88"/>
      <c r="F28" s="88"/>
    </row>
    <row r="29" spans="1:6" ht="26.1" customHeight="1">
      <c r="A29" s="444"/>
      <c r="B29" s="380"/>
      <c r="C29" s="88"/>
      <c r="D29" s="88"/>
      <c r="E29" s="88"/>
      <c r="F29" s="88"/>
    </row>
    <row r="30" spans="1:6" ht="26.1" customHeight="1">
      <c r="A30" s="444"/>
      <c r="B30" s="380"/>
      <c r="C30" s="88"/>
      <c r="D30" s="88"/>
      <c r="E30" s="88"/>
      <c r="F30" s="88"/>
    </row>
    <row r="31" spans="1:6" ht="26.1" customHeight="1">
      <c r="A31" s="444"/>
      <c r="B31" s="3"/>
      <c r="C31" s="88"/>
      <c r="D31" s="88"/>
      <c r="E31" s="88"/>
      <c r="F31" s="88"/>
    </row>
    <row r="32" spans="1:6" ht="26.1" customHeight="1">
      <c r="A32" s="444"/>
      <c r="B32" s="380"/>
      <c r="C32" s="86"/>
      <c r="D32" s="88"/>
      <c r="E32" s="88"/>
      <c r="F32" s="88"/>
    </row>
    <row r="33" spans="1:6" ht="26.1" customHeight="1">
      <c r="A33" s="444"/>
      <c r="B33" s="3"/>
      <c r="C33" s="88"/>
      <c r="D33" s="88"/>
      <c r="E33" s="88"/>
      <c r="F33" s="88"/>
    </row>
    <row r="34" spans="1:6" ht="20.100000000000001" customHeight="1">
      <c r="A34" s="444"/>
      <c r="B34" s="380"/>
      <c r="C34" s="88"/>
      <c r="D34" s="88"/>
      <c r="E34" s="88"/>
      <c r="F34" s="88"/>
    </row>
    <row r="35" spans="1:6" ht="20.100000000000001" customHeight="1">
      <c r="A35" s="444"/>
      <c r="B35" s="380"/>
      <c r="C35" s="88"/>
      <c r="D35" s="88"/>
      <c r="E35" s="88"/>
      <c r="F35" s="88"/>
    </row>
    <row r="36" spans="1:6" ht="20.100000000000001" customHeight="1">
      <c r="A36" s="444"/>
      <c r="B36" s="380"/>
      <c r="C36" s="88"/>
      <c r="D36" s="88"/>
      <c r="E36" s="88"/>
      <c r="F36" s="88"/>
    </row>
    <row r="37" spans="1:6" ht="20.100000000000001" customHeight="1">
      <c r="A37" s="444"/>
      <c r="B37" s="380"/>
      <c r="C37" s="88"/>
      <c r="D37" s="88"/>
      <c r="E37" s="88"/>
      <c r="F37" s="88"/>
    </row>
    <row r="38" spans="1:6" ht="20.100000000000001" customHeight="1">
      <c r="A38" s="444"/>
      <c r="B38" s="380"/>
      <c r="C38" s="88"/>
      <c r="D38" s="88"/>
      <c r="E38" s="88"/>
      <c r="F38" s="88"/>
    </row>
    <row r="39" spans="1:6" ht="20.100000000000001" customHeight="1">
      <c r="B39" s="91"/>
    </row>
    <row r="40" spans="1:6" ht="20.100000000000001" customHeight="1">
      <c r="B40" s="91"/>
    </row>
    <row r="41" spans="1:6" ht="20.100000000000001" customHeight="1">
      <c r="B41" s="91"/>
    </row>
    <row r="42" spans="1:6" ht="20.100000000000001" customHeight="1">
      <c r="B42" s="91"/>
    </row>
    <row r="43" spans="1:6" ht="20.100000000000001" customHeight="1">
      <c r="B43" s="91"/>
    </row>
    <row r="44" spans="1:6" ht="20.100000000000001" customHeight="1">
      <c r="B44" s="91"/>
    </row>
    <row r="45" spans="1:6" ht="20.100000000000001" customHeight="1">
      <c r="B45" s="91"/>
    </row>
    <row r="46" spans="1:6" ht="20.100000000000001" customHeight="1">
      <c r="B46" s="91"/>
    </row>
    <row r="47" spans="1:6" ht="20.100000000000001" customHeight="1">
      <c r="B47" s="91"/>
    </row>
    <row r="48" spans="1:6" ht="20.100000000000001" customHeight="1">
      <c r="B48" s="91"/>
    </row>
    <row r="49" spans="2:2" ht="20.100000000000001" customHeight="1">
      <c r="B49" s="91"/>
    </row>
    <row r="50" spans="2:2" ht="20.100000000000001" customHeight="1">
      <c r="B50" s="91"/>
    </row>
    <row r="51" spans="2:2" ht="20.100000000000001" customHeight="1">
      <c r="B51" s="91"/>
    </row>
    <row r="52" spans="2:2" ht="20.100000000000001" customHeight="1">
      <c r="B52" s="91"/>
    </row>
    <row r="53" spans="2:2" ht="20.100000000000001" customHeight="1">
      <c r="B53" s="91"/>
    </row>
    <row r="54" spans="2:2" ht="20.100000000000001" customHeight="1">
      <c r="B54" s="91"/>
    </row>
    <row r="55" spans="2:2" ht="20.100000000000001" customHeight="1">
      <c r="B55" s="91"/>
    </row>
    <row r="56" spans="2:2" ht="20.100000000000001" customHeight="1">
      <c r="B56" s="91"/>
    </row>
    <row r="57" spans="2:2" ht="20.100000000000001" customHeight="1">
      <c r="B57" s="91"/>
    </row>
    <row r="58" spans="2:2" ht="20.100000000000001" customHeight="1">
      <c r="B58" s="91"/>
    </row>
    <row r="59" spans="2:2" ht="20.100000000000001" customHeight="1">
      <c r="B59" s="91"/>
    </row>
    <row r="60" spans="2:2" ht="20.100000000000001" customHeight="1">
      <c r="B60" s="91"/>
    </row>
    <row r="61" spans="2:2" ht="20.100000000000001" customHeight="1">
      <c r="B61" s="91"/>
    </row>
    <row r="62" spans="2:2" ht="20.100000000000001" customHeight="1">
      <c r="B62" s="91"/>
    </row>
    <row r="63" spans="2:2" ht="20.100000000000001" customHeight="1">
      <c r="B63" s="91"/>
    </row>
    <row r="64" spans="2:2" ht="20.100000000000001" customHeight="1">
      <c r="B64" s="91"/>
    </row>
    <row r="65" spans="2:2" ht="20.100000000000001" customHeight="1">
      <c r="B65" s="91"/>
    </row>
    <row r="66" spans="2:2" ht="20.100000000000001" customHeight="1">
      <c r="B66" s="91"/>
    </row>
    <row r="67" spans="2:2" ht="20.100000000000001" customHeight="1">
      <c r="B67" s="91"/>
    </row>
    <row r="68" spans="2:2" ht="20.100000000000001" customHeight="1">
      <c r="B68" s="91"/>
    </row>
    <row r="69" spans="2:2" ht="20.100000000000001" customHeight="1">
      <c r="B69" s="91"/>
    </row>
    <row r="70" spans="2:2" ht="20.100000000000001" customHeight="1">
      <c r="B70" s="91"/>
    </row>
    <row r="71" spans="2:2" ht="20.100000000000001" customHeight="1">
      <c r="B71" s="91"/>
    </row>
    <row r="72" spans="2:2" ht="20.100000000000001" customHeight="1">
      <c r="B72" s="91"/>
    </row>
    <row r="73" spans="2:2" ht="20.100000000000001" customHeight="1">
      <c r="B73" s="91"/>
    </row>
    <row r="74" spans="2:2" ht="20.100000000000001" customHeight="1">
      <c r="B74" s="91"/>
    </row>
    <row r="75" spans="2:2" ht="20.100000000000001" customHeight="1">
      <c r="B75" s="91"/>
    </row>
    <row r="76" spans="2:2" ht="20.100000000000001" customHeight="1">
      <c r="B76" s="91"/>
    </row>
    <row r="77" spans="2:2" ht="20.100000000000001" customHeight="1">
      <c r="B77" s="91"/>
    </row>
    <row r="78" spans="2:2" ht="20.100000000000001" customHeight="1">
      <c r="B78" s="91"/>
    </row>
    <row r="79" spans="2:2" ht="20.100000000000001" customHeight="1">
      <c r="B79" s="91"/>
    </row>
    <row r="80" spans="2:2" ht="20.100000000000001" customHeight="1">
      <c r="B80" s="91"/>
    </row>
    <row r="81" spans="2:2" ht="20.100000000000001" customHeight="1">
      <c r="B81" s="91"/>
    </row>
    <row r="82" spans="2:2" ht="20.100000000000001" customHeight="1">
      <c r="B82" s="91"/>
    </row>
    <row r="83" spans="2:2" ht="20.100000000000001" customHeight="1">
      <c r="B83" s="91"/>
    </row>
    <row r="84" spans="2:2" ht="20.100000000000001" customHeight="1">
      <c r="B84" s="91"/>
    </row>
    <row r="85" spans="2:2" ht="20.100000000000001" customHeight="1">
      <c r="B85" s="91"/>
    </row>
    <row r="86" spans="2:2" ht="20.100000000000001" customHeight="1">
      <c r="B86" s="91"/>
    </row>
    <row r="87" spans="2:2" ht="20.100000000000001" customHeight="1">
      <c r="B87" s="91"/>
    </row>
    <row r="88" spans="2:2" ht="20.100000000000001" customHeight="1">
      <c r="B88" s="91"/>
    </row>
    <row r="89" spans="2:2" ht="20.100000000000001" customHeight="1">
      <c r="B89" s="91"/>
    </row>
    <row r="90" spans="2:2" ht="20.100000000000001" customHeight="1">
      <c r="B90" s="91"/>
    </row>
    <row r="91" spans="2:2" ht="20.100000000000001" customHeight="1">
      <c r="B91" s="91"/>
    </row>
    <row r="92" spans="2:2" ht="20.100000000000001" customHeight="1">
      <c r="B92" s="91"/>
    </row>
    <row r="93" spans="2:2" ht="20.100000000000001" customHeight="1">
      <c r="B93" s="91"/>
    </row>
    <row r="94" spans="2:2" ht="20.100000000000001" customHeight="1">
      <c r="B94" s="91"/>
    </row>
    <row r="95" spans="2:2" ht="20.100000000000001" customHeight="1">
      <c r="B95" s="91"/>
    </row>
    <row r="96" spans="2:2" ht="20.100000000000001" customHeight="1">
      <c r="B96" s="91"/>
    </row>
    <row r="97" spans="2:2" ht="20.100000000000001" customHeight="1">
      <c r="B97" s="91"/>
    </row>
    <row r="98" spans="2:2" ht="20.100000000000001" customHeight="1">
      <c r="B98" s="91"/>
    </row>
    <row r="99" spans="2:2" ht="5.0999999999999996" customHeight="1">
      <c r="B99" s="91"/>
    </row>
    <row r="100" spans="2:2" ht="5.0999999999999996" customHeight="1">
      <c r="B100" s="91"/>
    </row>
    <row r="101" spans="2:2" ht="5.0999999999999996" customHeight="1">
      <c r="B101" s="91"/>
    </row>
    <row r="102" spans="2:2" ht="5.0999999999999996" customHeight="1">
      <c r="B102" s="91"/>
    </row>
    <row r="103" spans="2:2" ht="5.0999999999999996" customHeight="1">
      <c r="B103" s="91"/>
    </row>
    <row r="104" spans="2:2" ht="5.0999999999999996" customHeight="1">
      <c r="B104" s="91"/>
    </row>
    <row r="105" spans="2:2" ht="5.0999999999999996" customHeight="1">
      <c r="B105" s="91"/>
    </row>
    <row r="106" spans="2:2" ht="5.0999999999999996" customHeight="1">
      <c r="B106" s="91"/>
    </row>
    <row r="107" spans="2:2" ht="5.0999999999999996" customHeight="1">
      <c r="B107" s="91"/>
    </row>
    <row r="108" spans="2:2" ht="5.0999999999999996" customHeight="1">
      <c r="B108" s="91"/>
    </row>
    <row r="109" spans="2:2" ht="5.0999999999999996" customHeight="1">
      <c r="B109" s="91"/>
    </row>
    <row r="110" spans="2:2" ht="5.0999999999999996" customHeight="1">
      <c r="B110" s="91"/>
    </row>
    <row r="111" spans="2:2" ht="5.0999999999999996" customHeight="1">
      <c r="B111" s="91"/>
    </row>
    <row r="112" spans="2:2" ht="5.0999999999999996" customHeight="1">
      <c r="B112" s="91"/>
    </row>
    <row r="113" spans="2:2" ht="5.0999999999999996" customHeight="1">
      <c r="B113" s="91"/>
    </row>
    <row r="114" spans="2:2" ht="5.0999999999999996" customHeight="1">
      <c r="B114" s="91"/>
    </row>
    <row r="115" spans="2:2" ht="5.0999999999999996" customHeight="1">
      <c r="B115" s="91"/>
    </row>
    <row r="116" spans="2:2" ht="5.0999999999999996" customHeight="1">
      <c r="B116" s="91"/>
    </row>
    <row r="117" spans="2:2" ht="5.0999999999999996" customHeight="1">
      <c r="B117" s="91"/>
    </row>
    <row r="118" spans="2:2" ht="5.0999999999999996" customHeight="1">
      <c r="B118" s="91"/>
    </row>
    <row r="119" spans="2:2" ht="5.0999999999999996" customHeight="1">
      <c r="B119" s="91"/>
    </row>
    <row r="120" spans="2:2" ht="5.0999999999999996" customHeight="1">
      <c r="B120" s="91"/>
    </row>
    <row r="121" spans="2:2" ht="5.0999999999999996" customHeight="1">
      <c r="B121" s="91"/>
    </row>
    <row r="122" spans="2:2" ht="5.0999999999999996" customHeight="1">
      <c r="B122" s="91"/>
    </row>
    <row r="123" spans="2:2" ht="5.0999999999999996" customHeight="1">
      <c r="B123" s="91"/>
    </row>
    <row r="124" spans="2:2" ht="5.0999999999999996" customHeight="1">
      <c r="B124" s="91"/>
    </row>
    <row r="125" spans="2:2" ht="5.0999999999999996" customHeight="1">
      <c r="B125" s="91"/>
    </row>
    <row r="126" spans="2:2" ht="5.0999999999999996" customHeight="1">
      <c r="B126" s="91"/>
    </row>
    <row r="127" spans="2:2" ht="5.0999999999999996" customHeight="1">
      <c r="B127" s="91"/>
    </row>
    <row r="128" spans="2:2" ht="5.0999999999999996" customHeight="1">
      <c r="B128" s="91"/>
    </row>
    <row r="129" spans="2:2" ht="5.0999999999999996" customHeight="1">
      <c r="B129" s="91"/>
    </row>
    <row r="130" spans="2:2" ht="5.0999999999999996" customHeight="1">
      <c r="B130" s="91"/>
    </row>
    <row r="131" spans="2:2" ht="5.0999999999999996" customHeight="1">
      <c r="B131" s="91"/>
    </row>
    <row r="132" spans="2:2" ht="5.0999999999999996" customHeight="1">
      <c r="B132" s="91"/>
    </row>
    <row r="133" spans="2:2" ht="5.0999999999999996" customHeight="1">
      <c r="B133" s="91"/>
    </row>
    <row r="134" spans="2:2" ht="5.0999999999999996" customHeight="1">
      <c r="B134" s="91"/>
    </row>
    <row r="135" spans="2:2" ht="5.0999999999999996" customHeight="1">
      <c r="B135" s="91"/>
    </row>
    <row r="136" spans="2:2" ht="5.0999999999999996" customHeight="1">
      <c r="B136" s="91"/>
    </row>
    <row r="137" spans="2:2" ht="5.0999999999999996" customHeight="1">
      <c r="B137" s="91"/>
    </row>
    <row r="138" spans="2:2" ht="5.0999999999999996" customHeight="1">
      <c r="B138" s="91"/>
    </row>
    <row r="139" spans="2:2" ht="5.0999999999999996" customHeight="1">
      <c r="B139" s="91"/>
    </row>
    <row r="140" spans="2:2" ht="5.0999999999999996" customHeight="1">
      <c r="B140" s="91"/>
    </row>
    <row r="141" spans="2:2" ht="5.0999999999999996" customHeight="1">
      <c r="B141" s="91"/>
    </row>
    <row r="142" spans="2:2" ht="5.0999999999999996" customHeight="1">
      <c r="B142" s="91"/>
    </row>
    <row r="143" spans="2:2" ht="20.100000000000001" customHeight="1">
      <c r="B143" s="91"/>
    </row>
    <row r="144" spans="2:2" ht="20.100000000000001" customHeight="1">
      <c r="B144" s="91"/>
    </row>
  </sheetData>
  <sheetProtection formatCells="0" formatColumns="0" formatRows="0"/>
  <printOptions horizontalCentered="1"/>
  <pageMargins left="0" right="0" top="0" bottom="0" header="0" footer="0"/>
  <pageSetup paperSize="9" fitToHeight="0" orientation="landscape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E377E1-CAA9-4D77-AFE4-9C703D64BB19}">
  <sheetPr codeName="Taul36">
    <tabColor theme="7" tint="0.39997558519241921"/>
  </sheetPr>
  <dimension ref="A1:E144"/>
  <sheetViews>
    <sheetView showGridLines="0" showZeros="0" view="pageBreakPreview" zoomScaleNormal="145" zoomScaleSheetLayoutView="100" workbookViewId="0"/>
  </sheetViews>
  <sheetFormatPr defaultColWidth="15.140625" defaultRowHeight="20.100000000000001" customHeight="1"/>
  <cols>
    <col min="1" max="1" width="14.85546875" style="463" customWidth="1"/>
    <col min="2" max="2" width="13.140625" style="77" customWidth="1"/>
    <col min="3" max="3" width="7.5703125" style="3" customWidth="1"/>
    <col min="4" max="4" width="8" style="3" customWidth="1"/>
    <col min="5" max="5" width="100.5703125" style="3" customWidth="1"/>
    <col min="6" max="16384" width="15.140625" style="3"/>
  </cols>
  <sheetData>
    <row r="1" spans="1:5" s="85" customFormat="1" ht="30" customHeight="1">
      <c r="A1" s="83" t="s">
        <v>85</v>
      </c>
      <c r="B1" s="84"/>
      <c r="C1" s="83" t="s">
        <v>86</v>
      </c>
    </row>
    <row r="2" spans="1:5" s="88" customFormat="1" ht="16.5" customHeight="1">
      <c r="A2" s="383" t="s">
        <v>87</v>
      </c>
      <c r="B2" s="385" t="s">
        <v>88</v>
      </c>
      <c r="C2" s="385" t="s">
        <v>89</v>
      </c>
      <c r="D2" s="385" t="s">
        <v>90</v>
      </c>
      <c r="E2" s="384" t="s">
        <v>91</v>
      </c>
    </row>
    <row r="3" spans="1:5" s="88" customFormat="1" ht="24.95" customHeight="1">
      <c r="A3" s="462" t="s">
        <v>92</v>
      </c>
      <c r="B3" s="381" t="s">
        <v>93</v>
      </c>
      <c r="C3" s="382"/>
      <c r="D3" s="382"/>
      <c r="E3" s="382"/>
    </row>
    <row r="4" spans="1:5" s="88" customFormat="1" ht="24.95" customHeight="1">
      <c r="A4" s="460"/>
      <c r="B4" s="386"/>
      <c r="C4" s="387"/>
      <c r="D4" s="387"/>
      <c r="E4" s="387" t="s">
        <v>94</v>
      </c>
    </row>
    <row r="5" spans="1:5" s="88" customFormat="1" ht="24.95" customHeight="1">
      <c r="A5" s="444"/>
      <c r="B5" s="380"/>
    </row>
    <row r="6" spans="1:5" s="88" customFormat="1" ht="24.95" customHeight="1">
      <c r="A6" s="444"/>
      <c r="B6" s="380"/>
    </row>
    <row r="7" spans="1:5" s="88" customFormat="1" ht="24.95" customHeight="1">
      <c r="A7" s="444"/>
      <c r="B7" s="380"/>
    </row>
    <row r="8" spans="1:5" s="88" customFormat="1" ht="24.95" customHeight="1">
      <c r="A8" s="444"/>
      <c r="B8" s="380"/>
    </row>
    <row r="9" spans="1:5" s="88" customFormat="1" ht="24.95" customHeight="1">
      <c r="B9" s="380"/>
      <c r="C9" s="86"/>
    </row>
    <row r="10" spans="1:5" s="88" customFormat="1" ht="24.95" customHeight="1">
      <c r="A10" s="444"/>
      <c r="B10" s="380"/>
    </row>
    <row r="11" spans="1:5" s="88" customFormat="1" ht="24.95" customHeight="1">
      <c r="A11" s="444"/>
      <c r="B11" s="380"/>
    </row>
    <row r="12" spans="1:5" s="88" customFormat="1" ht="24.95" customHeight="1">
      <c r="A12" s="444"/>
      <c r="B12" s="380"/>
    </row>
    <row r="13" spans="1:5" s="88" customFormat="1" ht="24.95" customHeight="1">
      <c r="A13" s="444"/>
      <c r="B13" s="380"/>
    </row>
    <row r="14" spans="1:5" s="88" customFormat="1" ht="24.95" customHeight="1">
      <c r="A14" s="444"/>
      <c r="B14" s="380"/>
    </row>
    <row r="15" spans="1:5" ht="24.95" customHeight="1">
      <c r="A15" s="444"/>
      <c r="B15" s="380"/>
      <c r="C15" s="88"/>
      <c r="D15" s="88"/>
      <c r="E15" s="88"/>
    </row>
    <row r="16" spans="1:5" ht="24.95" customHeight="1">
      <c r="A16" s="444"/>
      <c r="B16" s="380"/>
      <c r="C16" s="88"/>
      <c r="D16" s="88"/>
      <c r="E16" s="88"/>
    </row>
    <row r="17" spans="1:5" ht="24.95" customHeight="1">
      <c r="A17" s="444"/>
      <c r="B17" s="380"/>
      <c r="C17" s="88"/>
      <c r="D17" s="88"/>
      <c r="E17" s="88"/>
    </row>
    <row r="18" spans="1:5" ht="24.95" customHeight="1">
      <c r="A18" s="444"/>
      <c r="B18" s="380"/>
      <c r="C18" s="88"/>
      <c r="D18" s="88"/>
      <c r="E18" s="88"/>
    </row>
    <row r="19" spans="1:5" ht="24.95" customHeight="1">
      <c r="A19" s="444"/>
      <c r="B19" s="380"/>
      <c r="C19" s="88"/>
      <c r="D19" s="88"/>
      <c r="E19" s="88"/>
    </row>
    <row r="20" spans="1:5" ht="24.95" customHeight="1">
      <c r="A20" s="444"/>
      <c r="B20" s="380"/>
      <c r="C20" s="88"/>
      <c r="D20" s="88"/>
      <c r="E20" s="88"/>
    </row>
    <row r="21" spans="1:5" ht="24.95" customHeight="1">
      <c r="A21" s="3"/>
      <c r="B21" s="380"/>
      <c r="C21" s="88"/>
      <c r="D21" s="88"/>
      <c r="E21" s="88"/>
    </row>
    <row r="22" spans="1:5" ht="24.95" customHeight="1">
      <c r="A22" s="444"/>
      <c r="B22" s="380"/>
      <c r="C22" s="88"/>
      <c r="D22" s="88"/>
      <c r="E22" s="88"/>
    </row>
    <row r="23" spans="1:5" ht="24.95" customHeight="1">
      <c r="A23" s="444" t="s">
        <v>95</v>
      </c>
      <c r="B23" s="380"/>
      <c r="C23" s="86" t="s">
        <v>96</v>
      </c>
      <c r="D23" s="88"/>
      <c r="E23" s="88"/>
    </row>
    <row r="24" spans="1:5" ht="26.1" customHeight="1">
      <c r="A24" s="444"/>
      <c r="B24" s="380"/>
      <c r="C24" s="88"/>
      <c r="D24" s="88"/>
      <c r="E24" s="88"/>
    </row>
    <row r="25" spans="1:5" ht="26.1" customHeight="1">
      <c r="A25" s="444"/>
      <c r="B25" s="380"/>
      <c r="C25" s="88"/>
      <c r="D25" s="88"/>
      <c r="E25" s="88"/>
    </row>
    <row r="26" spans="1:5" ht="26.1" customHeight="1">
      <c r="A26" s="444"/>
      <c r="B26" s="380"/>
      <c r="C26" s="88"/>
      <c r="D26" s="88"/>
      <c r="E26" s="88"/>
    </row>
    <row r="27" spans="1:5" ht="26.1" customHeight="1">
      <c r="A27" s="444"/>
      <c r="B27" s="380"/>
      <c r="C27" s="88"/>
      <c r="D27" s="88"/>
      <c r="E27" s="88"/>
    </row>
    <row r="28" spans="1:5" ht="26.1" customHeight="1">
      <c r="A28" s="444"/>
      <c r="B28" s="3"/>
      <c r="C28" s="88"/>
      <c r="D28" s="88"/>
      <c r="E28" s="88"/>
    </row>
    <row r="29" spans="1:5" ht="26.1" customHeight="1">
      <c r="A29" s="444"/>
      <c r="B29" s="380"/>
      <c r="C29" s="88"/>
      <c r="D29" s="88"/>
      <c r="E29" s="88"/>
    </row>
    <row r="30" spans="1:5" ht="26.1" customHeight="1">
      <c r="A30" s="444"/>
      <c r="B30" s="380"/>
      <c r="C30" s="88"/>
      <c r="D30" s="88"/>
      <c r="E30" s="88"/>
    </row>
    <row r="31" spans="1:5" ht="26.1" customHeight="1">
      <c r="A31" s="444"/>
      <c r="B31" s="3"/>
      <c r="C31" s="88"/>
      <c r="D31" s="88"/>
      <c r="E31" s="88"/>
    </row>
    <row r="32" spans="1:5" ht="26.1" customHeight="1">
      <c r="A32" s="444"/>
      <c r="B32" s="380"/>
      <c r="C32" s="86"/>
      <c r="D32" s="88"/>
      <c r="E32" s="88"/>
    </row>
    <row r="33" spans="1:5" ht="26.1" customHeight="1">
      <c r="A33" s="444"/>
      <c r="B33" s="3"/>
      <c r="C33" s="88"/>
      <c r="D33" s="88"/>
      <c r="E33" s="88"/>
    </row>
    <row r="34" spans="1:5" ht="20.100000000000001" customHeight="1">
      <c r="A34" s="444"/>
      <c r="B34" s="380"/>
      <c r="C34" s="88"/>
      <c r="D34" s="88"/>
      <c r="E34" s="88"/>
    </row>
    <row r="35" spans="1:5" ht="20.100000000000001" customHeight="1">
      <c r="A35" s="444"/>
      <c r="B35" s="380"/>
      <c r="C35" s="88"/>
      <c r="D35" s="88"/>
      <c r="E35" s="88"/>
    </row>
    <row r="36" spans="1:5" ht="20.100000000000001" customHeight="1">
      <c r="A36" s="444"/>
      <c r="B36" s="380"/>
      <c r="C36" s="88"/>
      <c r="D36" s="88"/>
      <c r="E36" s="88"/>
    </row>
    <row r="37" spans="1:5" ht="20.100000000000001" customHeight="1">
      <c r="A37" s="444"/>
      <c r="B37" s="380"/>
      <c r="C37" s="88"/>
      <c r="D37" s="88"/>
      <c r="E37" s="88"/>
    </row>
    <row r="38" spans="1:5" ht="20.100000000000001" customHeight="1">
      <c r="A38" s="444"/>
      <c r="B38" s="380"/>
      <c r="C38" s="88"/>
      <c r="D38" s="88"/>
      <c r="E38" s="88"/>
    </row>
    <row r="39" spans="1:5" ht="20.100000000000001" customHeight="1">
      <c r="B39" s="91"/>
    </row>
    <row r="40" spans="1:5" ht="20.100000000000001" customHeight="1">
      <c r="B40" s="91"/>
    </row>
    <row r="41" spans="1:5" ht="20.100000000000001" customHeight="1">
      <c r="B41" s="91"/>
    </row>
    <row r="42" spans="1:5" ht="20.100000000000001" customHeight="1">
      <c r="B42" s="91"/>
    </row>
    <row r="43" spans="1:5" ht="20.100000000000001" customHeight="1">
      <c r="B43" s="91"/>
    </row>
    <row r="44" spans="1:5" ht="20.100000000000001" customHeight="1">
      <c r="B44" s="91"/>
    </row>
    <row r="45" spans="1:5" ht="20.100000000000001" customHeight="1">
      <c r="B45" s="91"/>
    </row>
    <row r="46" spans="1:5" ht="20.100000000000001" customHeight="1">
      <c r="B46" s="91"/>
    </row>
    <row r="47" spans="1:5" ht="20.100000000000001" customHeight="1">
      <c r="B47" s="91"/>
    </row>
    <row r="48" spans="1:5" ht="20.100000000000001" customHeight="1">
      <c r="B48" s="91"/>
    </row>
    <row r="49" spans="2:2" ht="20.100000000000001" customHeight="1">
      <c r="B49" s="91"/>
    </row>
    <row r="50" spans="2:2" ht="20.100000000000001" customHeight="1">
      <c r="B50" s="91"/>
    </row>
    <row r="51" spans="2:2" ht="20.100000000000001" customHeight="1">
      <c r="B51" s="91"/>
    </row>
    <row r="52" spans="2:2" ht="20.100000000000001" customHeight="1">
      <c r="B52" s="91"/>
    </row>
    <row r="53" spans="2:2" ht="20.100000000000001" customHeight="1">
      <c r="B53" s="91"/>
    </row>
    <row r="54" spans="2:2" ht="20.100000000000001" customHeight="1">
      <c r="B54" s="91"/>
    </row>
    <row r="55" spans="2:2" ht="20.100000000000001" customHeight="1">
      <c r="B55" s="91"/>
    </row>
    <row r="56" spans="2:2" ht="20.100000000000001" customHeight="1">
      <c r="B56" s="91"/>
    </row>
    <row r="57" spans="2:2" ht="20.100000000000001" customHeight="1">
      <c r="B57" s="91"/>
    </row>
    <row r="58" spans="2:2" ht="20.100000000000001" customHeight="1">
      <c r="B58" s="91"/>
    </row>
    <row r="59" spans="2:2" ht="20.100000000000001" customHeight="1">
      <c r="B59" s="91"/>
    </row>
    <row r="60" spans="2:2" ht="20.100000000000001" customHeight="1">
      <c r="B60" s="91"/>
    </row>
    <row r="61" spans="2:2" ht="20.100000000000001" customHeight="1">
      <c r="B61" s="91"/>
    </row>
    <row r="62" spans="2:2" ht="20.100000000000001" customHeight="1">
      <c r="B62" s="91"/>
    </row>
    <row r="63" spans="2:2" ht="20.100000000000001" customHeight="1">
      <c r="B63" s="91"/>
    </row>
    <row r="64" spans="2:2" ht="20.100000000000001" customHeight="1">
      <c r="B64" s="91"/>
    </row>
    <row r="65" spans="2:2" ht="20.100000000000001" customHeight="1">
      <c r="B65" s="91"/>
    </row>
    <row r="66" spans="2:2" ht="20.100000000000001" customHeight="1">
      <c r="B66" s="91"/>
    </row>
    <row r="67" spans="2:2" ht="20.100000000000001" customHeight="1">
      <c r="B67" s="91"/>
    </row>
    <row r="68" spans="2:2" ht="20.100000000000001" customHeight="1">
      <c r="B68" s="91"/>
    </row>
    <row r="69" spans="2:2" ht="20.100000000000001" customHeight="1">
      <c r="B69" s="91"/>
    </row>
    <row r="70" spans="2:2" ht="20.100000000000001" customHeight="1">
      <c r="B70" s="91"/>
    </row>
    <row r="71" spans="2:2" ht="20.100000000000001" customHeight="1">
      <c r="B71" s="91"/>
    </row>
    <row r="72" spans="2:2" ht="20.100000000000001" customHeight="1">
      <c r="B72" s="91"/>
    </row>
    <row r="73" spans="2:2" ht="20.100000000000001" customHeight="1">
      <c r="B73" s="91"/>
    </row>
    <row r="74" spans="2:2" ht="20.100000000000001" customHeight="1">
      <c r="B74" s="91"/>
    </row>
    <row r="75" spans="2:2" ht="20.100000000000001" customHeight="1">
      <c r="B75" s="91"/>
    </row>
    <row r="76" spans="2:2" ht="20.100000000000001" customHeight="1">
      <c r="B76" s="91"/>
    </row>
    <row r="77" spans="2:2" ht="20.100000000000001" customHeight="1">
      <c r="B77" s="91"/>
    </row>
    <row r="78" spans="2:2" ht="20.100000000000001" customHeight="1">
      <c r="B78" s="91"/>
    </row>
    <row r="79" spans="2:2" ht="20.100000000000001" customHeight="1">
      <c r="B79" s="91"/>
    </row>
    <row r="80" spans="2:2" ht="20.100000000000001" customHeight="1">
      <c r="B80" s="91"/>
    </row>
    <row r="81" spans="2:2" ht="20.100000000000001" customHeight="1">
      <c r="B81" s="91"/>
    </row>
    <row r="82" spans="2:2" ht="20.100000000000001" customHeight="1">
      <c r="B82" s="91"/>
    </row>
    <row r="83" spans="2:2" ht="20.100000000000001" customHeight="1">
      <c r="B83" s="91"/>
    </row>
    <row r="84" spans="2:2" ht="20.100000000000001" customHeight="1">
      <c r="B84" s="91"/>
    </row>
    <row r="85" spans="2:2" ht="20.100000000000001" customHeight="1">
      <c r="B85" s="91"/>
    </row>
    <row r="86" spans="2:2" ht="20.100000000000001" customHeight="1">
      <c r="B86" s="91"/>
    </row>
    <row r="87" spans="2:2" ht="20.100000000000001" customHeight="1">
      <c r="B87" s="91"/>
    </row>
    <row r="88" spans="2:2" ht="20.100000000000001" customHeight="1">
      <c r="B88" s="91"/>
    </row>
    <row r="89" spans="2:2" ht="20.100000000000001" customHeight="1">
      <c r="B89" s="91"/>
    </row>
    <row r="90" spans="2:2" ht="20.100000000000001" customHeight="1">
      <c r="B90" s="91"/>
    </row>
    <row r="91" spans="2:2" ht="20.100000000000001" customHeight="1">
      <c r="B91" s="91"/>
    </row>
    <row r="92" spans="2:2" ht="20.100000000000001" customHeight="1">
      <c r="B92" s="91"/>
    </row>
    <row r="93" spans="2:2" ht="20.100000000000001" customHeight="1">
      <c r="B93" s="91"/>
    </row>
    <row r="94" spans="2:2" ht="20.100000000000001" customHeight="1">
      <c r="B94" s="91"/>
    </row>
    <row r="95" spans="2:2" ht="20.100000000000001" customHeight="1">
      <c r="B95" s="91"/>
    </row>
    <row r="96" spans="2:2" ht="20.100000000000001" customHeight="1">
      <c r="B96" s="91"/>
    </row>
    <row r="97" spans="2:2" ht="20.100000000000001" customHeight="1">
      <c r="B97" s="91"/>
    </row>
    <row r="98" spans="2:2" ht="20.100000000000001" customHeight="1">
      <c r="B98" s="91"/>
    </row>
    <row r="99" spans="2:2" ht="5.0999999999999996" customHeight="1">
      <c r="B99" s="91"/>
    </row>
    <row r="100" spans="2:2" ht="5.0999999999999996" customHeight="1">
      <c r="B100" s="91"/>
    </row>
    <row r="101" spans="2:2" ht="5.0999999999999996" customHeight="1">
      <c r="B101" s="91"/>
    </row>
    <row r="102" spans="2:2" ht="5.0999999999999996" customHeight="1">
      <c r="B102" s="91"/>
    </row>
    <row r="103" spans="2:2" ht="5.0999999999999996" customHeight="1">
      <c r="B103" s="91"/>
    </row>
    <row r="104" spans="2:2" ht="5.0999999999999996" customHeight="1">
      <c r="B104" s="91"/>
    </row>
    <row r="105" spans="2:2" ht="5.0999999999999996" customHeight="1">
      <c r="B105" s="91"/>
    </row>
    <row r="106" spans="2:2" ht="5.0999999999999996" customHeight="1">
      <c r="B106" s="91"/>
    </row>
    <row r="107" spans="2:2" ht="5.0999999999999996" customHeight="1">
      <c r="B107" s="91"/>
    </row>
    <row r="108" spans="2:2" ht="5.0999999999999996" customHeight="1">
      <c r="B108" s="91"/>
    </row>
    <row r="109" spans="2:2" ht="5.0999999999999996" customHeight="1">
      <c r="B109" s="91"/>
    </row>
    <row r="110" spans="2:2" ht="5.0999999999999996" customHeight="1">
      <c r="B110" s="91"/>
    </row>
    <row r="111" spans="2:2" ht="5.0999999999999996" customHeight="1">
      <c r="B111" s="91"/>
    </row>
    <row r="112" spans="2:2" ht="5.0999999999999996" customHeight="1">
      <c r="B112" s="91"/>
    </row>
    <row r="113" spans="2:2" ht="5.0999999999999996" customHeight="1">
      <c r="B113" s="91"/>
    </row>
    <row r="114" spans="2:2" ht="5.0999999999999996" customHeight="1">
      <c r="B114" s="91"/>
    </row>
    <row r="115" spans="2:2" ht="5.0999999999999996" customHeight="1">
      <c r="B115" s="91"/>
    </row>
    <row r="116" spans="2:2" ht="5.0999999999999996" customHeight="1">
      <c r="B116" s="91"/>
    </row>
    <row r="117" spans="2:2" ht="5.0999999999999996" customHeight="1">
      <c r="B117" s="91"/>
    </row>
    <row r="118" spans="2:2" ht="5.0999999999999996" customHeight="1">
      <c r="B118" s="91"/>
    </row>
    <row r="119" spans="2:2" ht="5.0999999999999996" customHeight="1">
      <c r="B119" s="91"/>
    </row>
    <row r="120" spans="2:2" ht="5.0999999999999996" customHeight="1">
      <c r="B120" s="91"/>
    </row>
    <row r="121" spans="2:2" ht="5.0999999999999996" customHeight="1">
      <c r="B121" s="91"/>
    </row>
    <row r="122" spans="2:2" ht="5.0999999999999996" customHeight="1">
      <c r="B122" s="91"/>
    </row>
    <row r="123" spans="2:2" ht="5.0999999999999996" customHeight="1">
      <c r="B123" s="91"/>
    </row>
    <row r="124" spans="2:2" ht="5.0999999999999996" customHeight="1">
      <c r="B124" s="91"/>
    </row>
    <row r="125" spans="2:2" ht="5.0999999999999996" customHeight="1">
      <c r="B125" s="91"/>
    </row>
    <row r="126" spans="2:2" ht="5.0999999999999996" customHeight="1">
      <c r="B126" s="91"/>
    </row>
    <row r="127" spans="2:2" ht="5.0999999999999996" customHeight="1">
      <c r="B127" s="91"/>
    </row>
    <row r="128" spans="2:2" ht="5.0999999999999996" customHeight="1">
      <c r="B128" s="91"/>
    </row>
    <row r="129" spans="2:2" ht="5.0999999999999996" customHeight="1">
      <c r="B129" s="91"/>
    </row>
    <row r="130" spans="2:2" ht="5.0999999999999996" customHeight="1">
      <c r="B130" s="91"/>
    </row>
    <row r="131" spans="2:2" ht="5.0999999999999996" customHeight="1">
      <c r="B131" s="91"/>
    </row>
    <row r="132" spans="2:2" ht="5.0999999999999996" customHeight="1">
      <c r="B132" s="91"/>
    </row>
    <row r="133" spans="2:2" ht="5.0999999999999996" customHeight="1">
      <c r="B133" s="91"/>
    </row>
    <row r="134" spans="2:2" ht="5.0999999999999996" customHeight="1">
      <c r="B134" s="91"/>
    </row>
    <row r="135" spans="2:2" ht="5.0999999999999996" customHeight="1">
      <c r="B135" s="91"/>
    </row>
    <row r="136" spans="2:2" ht="5.0999999999999996" customHeight="1">
      <c r="B136" s="91"/>
    </row>
    <row r="137" spans="2:2" ht="5.0999999999999996" customHeight="1">
      <c r="B137" s="91"/>
    </row>
    <row r="138" spans="2:2" ht="5.0999999999999996" customHeight="1">
      <c r="B138" s="91"/>
    </row>
    <row r="139" spans="2:2" ht="5.0999999999999996" customHeight="1">
      <c r="B139" s="91"/>
    </row>
    <row r="140" spans="2:2" ht="5.0999999999999996" customHeight="1">
      <c r="B140" s="91"/>
    </row>
    <row r="141" spans="2:2" ht="5.0999999999999996" customHeight="1">
      <c r="B141" s="91"/>
    </row>
    <row r="142" spans="2:2" ht="5.0999999999999996" customHeight="1">
      <c r="B142" s="91"/>
    </row>
    <row r="143" spans="2:2" ht="20.100000000000001" customHeight="1">
      <c r="B143" s="91"/>
    </row>
    <row r="144" spans="2:2" ht="20.100000000000001" customHeight="1">
      <c r="B144" s="91"/>
    </row>
  </sheetData>
  <sheetProtection formatCells="0" formatColumns="0" formatRows="0"/>
  <printOptions horizontalCentered="1"/>
  <pageMargins left="0" right="0" top="0" bottom="0" header="0" footer="0"/>
  <pageSetup paperSize="9" fitToHeight="0" orientation="landscape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BAA09-1CDE-4155-B014-30D0BCA6FBB9}">
  <sheetPr codeName="Taul35">
    <tabColor theme="7" tint="0.39997558519241921"/>
  </sheetPr>
  <dimension ref="A1:E144"/>
  <sheetViews>
    <sheetView showGridLines="0" showZeros="0" view="pageBreakPreview" zoomScale="130" zoomScaleNormal="85" zoomScaleSheetLayoutView="130" workbookViewId="0"/>
  </sheetViews>
  <sheetFormatPr defaultColWidth="15.140625" defaultRowHeight="20.100000000000001" customHeight="1"/>
  <cols>
    <col min="1" max="1" width="14.85546875" style="463" customWidth="1"/>
    <col min="2" max="2" width="13.140625" style="77" customWidth="1"/>
    <col min="3" max="3" width="7.5703125" style="3" customWidth="1"/>
    <col min="4" max="4" width="8" style="3" customWidth="1"/>
    <col min="5" max="5" width="56.85546875" style="3" customWidth="1"/>
    <col min="6" max="16384" width="15.140625" style="3"/>
  </cols>
  <sheetData>
    <row r="1" spans="1:5" s="85" customFormat="1" ht="30" customHeight="1">
      <c r="A1" s="83" t="s">
        <v>85</v>
      </c>
      <c r="B1" s="84"/>
      <c r="C1" s="83" t="s">
        <v>86</v>
      </c>
    </row>
    <row r="2" spans="1:5" s="88" customFormat="1" ht="16.5" customHeight="1">
      <c r="A2" s="383" t="s">
        <v>87</v>
      </c>
      <c r="B2" s="385" t="s">
        <v>88</v>
      </c>
      <c r="C2" s="385" t="s">
        <v>89</v>
      </c>
      <c r="D2" s="385" t="s">
        <v>90</v>
      </c>
      <c r="E2" s="384" t="s">
        <v>91</v>
      </c>
    </row>
    <row r="3" spans="1:5" s="88" customFormat="1" ht="24.95" customHeight="1">
      <c r="A3" s="462" t="s">
        <v>92</v>
      </c>
      <c r="B3" s="381" t="s">
        <v>93</v>
      </c>
      <c r="C3" s="382"/>
      <c r="D3" s="382"/>
      <c r="E3" s="382"/>
    </row>
    <row r="4" spans="1:5" s="88" customFormat="1" ht="24.95" customHeight="1">
      <c r="A4" s="460"/>
      <c r="B4" s="386"/>
      <c r="C4" s="387"/>
      <c r="D4" s="387"/>
      <c r="E4" s="387" t="s">
        <v>94</v>
      </c>
    </row>
    <row r="5" spans="1:5" s="88" customFormat="1" ht="24.95" customHeight="1">
      <c r="A5" s="444"/>
      <c r="B5" s="380"/>
    </row>
    <row r="6" spans="1:5" s="88" customFormat="1" ht="24.95" customHeight="1">
      <c r="A6" s="444"/>
      <c r="B6" s="380"/>
    </row>
    <row r="7" spans="1:5" s="88" customFormat="1" ht="24.95" customHeight="1">
      <c r="A7" s="444"/>
      <c r="B7" s="380"/>
    </row>
    <row r="8" spans="1:5" s="88" customFormat="1" ht="24.95" customHeight="1">
      <c r="A8" s="444"/>
      <c r="B8" s="380"/>
    </row>
    <row r="9" spans="1:5" s="88" customFormat="1" ht="24.95" customHeight="1">
      <c r="B9" s="380"/>
      <c r="C9" s="86"/>
    </row>
    <row r="10" spans="1:5" s="88" customFormat="1" ht="24.95" customHeight="1">
      <c r="A10" s="444"/>
      <c r="B10" s="380"/>
    </row>
    <row r="11" spans="1:5" s="88" customFormat="1" ht="24.95" customHeight="1">
      <c r="A11" s="444"/>
      <c r="B11" s="380"/>
    </row>
    <row r="12" spans="1:5" s="88" customFormat="1" ht="24.95" customHeight="1">
      <c r="A12" s="444"/>
      <c r="B12" s="380"/>
    </row>
    <row r="13" spans="1:5" s="88" customFormat="1" ht="24.95" customHeight="1">
      <c r="A13" s="444"/>
      <c r="B13" s="380"/>
    </row>
    <row r="14" spans="1:5" s="88" customFormat="1" ht="24.95" customHeight="1">
      <c r="A14" s="444"/>
      <c r="B14" s="380"/>
    </row>
    <row r="15" spans="1:5" ht="24.95" customHeight="1">
      <c r="A15" s="444"/>
      <c r="B15" s="380"/>
      <c r="C15" s="88"/>
      <c r="D15" s="88"/>
      <c r="E15" s="88"/>
    </row>
    <row r="16" spans="1:5" ht="24.95" customHeight="1">
      <c r="A16" s="444"/>
      <c r="B16" s="380"/>
      <c r="C16" s="88"/>
      <c r="D16" s="88"/>
      <c r="E16" s="88"/>
    </row>
    <row r="17" spans="1:5" ht="24.95" customHeight="1">
      <c r="A17" s="444"/>
      <c r="B17" s="380"/>
      <c r="C17" s="88"/>
      <c r="D17" s="88"/>
      <c r="E17" s="88"/>
    </row>
    <row r="18" spans="1:5" ht="24.95" customHeight="1">
      <c r="A18" s="444"/>
      <c r="B18" s="380"/>
      <c r="C18" s="88"/>
      <c r="D18" s="88"/>
      <c r="E18" s="88"/>
    </row>
    <row r="19" spans="1:5" ht="24.95" customHeight="1">
      <c r="A19" s="444"/>
      <c r="B19" s="380"/>
      <c r="C19" s="88"/>
      <c r="D19" s="88"/>
      <c r="E19" s="88"/>
    </row>
    <row r="20" spans="1:5" ht="24.95" customHeight="1">
      <c r="A20" s="444"/>
      <c r="B20" s="380"/>
      <c r="C20" s="88"/>
      <c r="D20" s="88"/>
      <c r="E20" s="88"/>
    </row>
    <row r="21" spans="1:5" ht="24.95" customHeight="1">
      <c r="A21" s="444"/>
      <c r="B21" s="380"/>
      <c r="C21" s="88"/>
      <c r="D21" s="88"/>
      <c r="E21" s="88"/>
    </row>
    <row r="22" spans="1:5" ht="24.95" customHeight="1">
      <c r="A22" s="444"/>
      <c r="B22" s="380"/>
      <c r="C22" s="88"/>
      <c r="D22" s="88"/>
      <c r="E22" s="88"/>
    </row>
    <row r="23" spans="1:5" ht="24.95" customHeight="1">
      <c r="A23" s="3"/>
      <c r="B23" s="380"/>
      <c r="C23" s="88"/>
      <c r="D23" s="88"/>
      <c r="E23" s="88"/>
    </row>
    <row r="24" spans="1:5" ht="24.95" customHeight="1">
      <c r="A24" s="444"/>
      <c r="B24" s="380"/>
      <c r="C24" s="88"/>
      <c r="D24" s="88"/>
      <c r="E24" s="88"/>
    </row>
    <row r="25" spans="1:5" ht="24.95" customHeight="1">
      <c r="A25" s="444"/>
      <c r="B25" s="380"/>
      <c r="C25" s="88"/>
      <c r="D25" s="88"/>
      <c r="E25" s="88"/>
    </row>
    <row r="26" spans="1:5" ht="24.95" customHeight="1">
      <c r="A26" s="444"/>
      <c r="B26" s="380"/>
      <c r="C26" s="88"/>
      <c r="D26" s="88"/>
      <c r="E26" s="88"/>
    </row>
    <row r="27" spans="1:5" ht="24.95" customHeight="1">
      <c r="A27" s="444"/>
      <c r="B27" s="380"/>
      <c r="C27" s="88"/>
      <c r="D27" s="88"/>
      <c r="E27" s="88"/>
    </row>
    <row r="28" spans="1:5" ht="24.95" customHeight="1">
      <c r="A28" s="444"/>
      <c r="B28" s="3"/>
      <c r="C28" s="88"/>
      <c r="D28" s="88"/>
      <c r="E28" s="88"/>
    </row>
    <row r="29" spans="1:5" ht="24.95" customHeight="1">
      <c r="A29" s="444"/>
      <c r="B29" s="380"/>
      <c r="C29" s="88"/>
      <c r="D29" s="88"/>
      <c r="E29" s="88"/>
    </row>
    <row r="30" spans="1:5" ht="24.95" customHeight="1">
      <c r="A30" s="444" t="s">
        <v>95</v>
      </c>
      <c r="B30" s="380"/>
      <c r="C30" s="88"/>
      <c r="D30" s="88"/>
      <c r="E30" s="88"/>
    </row>
    <row r="31" spans="1:5" ht="24.95" customHeight="1">
      <c r="A31" s="444"/>
      <c r="B31" s="3"/>
      <c r="C31" s="88"/>
      <c r="D31" s="88"/>
      <c r="E31" s="88"/>
    </row>
    <row r="32" spans="1:5" ht="24.95" customHeight="1">
      <c r="A32" s="444"/>
      <c r="B32" s="380"/>
      <c r="C32" s="86" t="s">
        <v>96</v>
      </c>
      <c r="D32" s="88"/>
      <c r="E32" s="88"/>
    </row>
    <row r="33" spans="1:5" ht="26.1" customHeight="1">
      <c r="A33" s="444"/>
      <c r="B33" s="3"/>
      <c r="C33" s="88"/>
      <c r="D33" s="88"/>
      <c r="E33" s="88"/>
    </row>
    <row r="34" spans="1:5" ht="20.100000000000001" customHeight="1">
      <c r="A34" s="444"/>
      <c r="B34" s="380"/>
      <c r="C34" s="88"/>
      <c r="D34" s="88"/>
      <c r="E34" s="88"/>
    </row>
    <row r="35" spans="1:5" ht="20.100000000000001" customHeight="1">
      <c r="A35" s="444"/>
      <c r="B35" s="380"/>
      <c r="C35" s="88"/>
      <c r="D35" s="88"/>
      <c r="E35" s="88"/>
    </row>
    <row r="36" spans="1:5" ht="20.100000000000001" customHeight="1">
      <c r="A36" s="444"/>
      <c r="B36" s="380"/>
      <c r="C36" s="88"/>
      <c r="D36" s="88"/>
      <c r="E36" s="88"/>
    </row>
    <row r="37" spans="1:5" ht="20.100000000000001" customHeight="1">
      <c r="A37" s="444"/>
      <c r="B37" s="380"/>
      <c r="C37" s="88"/>
      <c r="D37" s="88"/>
      <c r="E37" s="88"/>
    </row>
    <row r="38" spans="1:5" ht="20.100000000000001" customHeight="1">
      <c r="A38" s="444"/>
      <c r="B38" s="380"/>
      <c r="C38" s="88"/>
      <c r="D38" s="88"/>
      <c r="E38" s="88"/>
    </row>
    <row r="39" spans="1:5" ht="20.100000000000001" customHeight="1">
      <c r="B39" s="91"/>
    </row>
    <row r="40" spans="1:5" ht="20.100000000000001" customHeight="1">
      <c r="B40" s="91"/>
    </row>
    <row r="41" spans="1:5" ht="20.100000000000001" customHeight="1">
      <c r="B41" s="91"/>
    </row>
    <row r="42" spans="1:5" ht="20.100000000000001" customHeight="1">
      <c r="B42" s="91"/>
    </row>
    <row r="43" spans="1:5" ht="20.100000000000001" customHeight="1">
      <c r="B43" s="91"/>
    </row>
    <row r="44" spans="1:5" ht="20.100000000000001" customHeight="1">
      <c r="B44" s="91"/>
    </row>
    <row r="45" spans="1:5" ht="20.100000000000001" customHeight="1">
      <c r="B45" s="91"/>
    </row>
    <row r="46" spans="1:5" ht="20.100000000000001" customHeight="1">
      <c r="B46" s="91"/>
    </row>
    <row r="47" spans="1:5" ht="20.100000000000001" customHeight="1">
      <c r="B47" s="91"/>
    </row>
    <row r="48" spans="1:5" ht="20.100000000000001" customHeight="1">
      <c r="B48" s="91"/>
    </row>
    <row r="49" spans="2:2" ht="20.100000000000001" customHeight="1">
      <c r="B49" s="91"/>
    </row>
    <row r="50" spans="2:2" ht="20.100000000000001" customHeight="1">
      <c r="B50" s="91"/>
    </row>
    <row r="51" spans="2:2" ht="20.100000000000001" customHeight="1">
      <c r="B51" s="91"/>
    </row>
    <row r="52" spans="2:2" ht="20.100000000000001" customHeight="1">
      <c r="B52" s="91"/>
    </row>
    <row r="53" spans="2:2" ht="20.100000000000001" customHeight="1">
      <c r="B53" s="91"/>
    </row>
    <row r="54" spans="2:2" ht="20.100000000000001" customHeight="1">
      <c r="B54" s="91"/>
    </row>
    <row r="55" spans="2:2" ht="20.100000000000001" customHeight="1">
      <c r="B55" s="91"/>
    </row>
    <row r="56" spans="2:2" ht="20.100000000000001" customHeight="1">
      <c r="B56" s="91"/>
    </row>
    <row r="57" spans="2:2" ht="20.100000000000001" customHeight="1">
      <c r="B57" s="91"/>
    </row>
    <row r="58" spans="2:2" ht="20.100000000000001" customHeight="1">
      <c r="B58" s="91"/>
    </row>
    <row r="59" spans="2:2" ht="20.100000000000001" customHeight="1">
      <c r="B59" s="91"/>
    </row>
    <row r="60" spans="2:2" ht="20.100000000000001" customHeight="1">
      <c r="B60" s="91"/>
    </row>
    <row r="61" spans="2:2" ht="20.100000000000001" customHeight="1">
      <c r="B61" s="91"/>
    </row>
    <row r="62" spans="2:2" ht="20.100000000000001" customHeight="1">
      <c r="B62" s="91"/>
    </row>
    <row r="63" spans="2:2" ht="20.100000000000001" customHeight="1">
      <c r="B63" s="91"/>
    </row>
    <row r="64" spans="2:2" ht="20.100000000000001" customHeight="1">
      <c r="B64" s="91"/>
    </row>
    <row r="65" spans="2:2" ht="20.100000000000001" customHeight="1">
      <c r="B65" s="91"/>
    </row>
    <row r="66" spans="2:2" ht="20.100000000000001" customHeight="1">
      <c r="B66" s="91"/>
    </row>
    <row r="67" spans="2:2" ht="20.100000000000001" customHeight="1">
      <c r="B67" s="91"/>
    </row>
    <row r="68" spans="2:2" ht="20.100000000000001" customHeight="1">
      <c r="B68" s="91"/>
    </row>
    <row r="69" spans="2:2" ht="20.100000000000001" customHeight="1">
      <c r="B69" s="91"/>
    </row>
    <row r="70" spans="2:2" ht="20.100000000000001" customHeight="1">
      <c r="B70" s="91"/>
    </row>
    <row r="71" spans="2:2" ht="20.100000000000001" customHeight="1">
      <c r="B71" s="91"/>
    </row>
    <row r="72" spans="2:2" ht="20.100000000000001" customHeight="1">
      <c r="B72" s="91"/>
    </row>
    <row r="73" spans="2:2" ht="20.100000000000001" customHeight="1">
      <c r="B73" s="91"/>
    </row>
    <row r="74" spans="2:2" ht="20.100000000000001" customHeight="1">
      <c r="B74" s="91"/>
    </row>
    <row r="75" spans="2:2" ht="20.100000000000001" customHeight="1">
      <c r="B75" s="91"/>
    </row>
    <row r="76" spans="2:2" ht="20.100000000000001" customHeight="1">
      <c r="B76" s="91"/>
    </row>
    <row r="77" spans="2:2" ht="20.100000000000001" customHeight="1">
      <c r="B77" s="91"/>
    </row>
    <row r="78" spans="2:2" ht="20.100000000000001" customHeight="1">
      <c r="B78" s="91"/>
    </row>
    <row r="79" spans="2:2" ht="20.100000000000001" customHeight="1">
      <c r="B79" s="91"/>
    </row>
    <row r="80" spans="2:2" ht="20.100000000000001" customHeight="1">
      <c r="B80" s="91"/>
    </row>
    <row r="81" spans="2:2" ht="20.100000000000001" customHeight="1">
      <c r="B81" s="91"/>
    </row>
    <row r="82" spans="2:2" ht="20.100000000000001" customHeight="1">
      <c r="B82" s="91"/>
    </row>
    <row r="83" spans="2:2" ht="20.100000000000001" customHeight="1">
      <c r="B83" s="91"/>
    </row>
    <row r="84" spans="2:2" ht="20.100000000000001" customHeight="1">
      <c r="B84" s="91"/>
    </row>
    <row r="85" spans="2:2" ht="20.100000000000001" customHeight="1">
      <c r="B85" s="91"/>
    </row>
    <row r="86" spans="2:2" ht="20.100000000000001" customHeight="1">
      <c r="B86" s="91"/>
    </row>
    <row r="87" spans="2:2" ht="20.100000000000001" customHeight="1">
      <c r="B87" s="91"/>
    </row>
    <row r="88" spans="2:2" ht="20.100000000000001" customHeight="1">
      <c r="B88" s="91"/>
    </row>
    <row r="89" spans="2:2" ht="20.100000000000001" customHeight="1">
      <c r="B89" s="91"/>
    </row>
    <row r="90" spans="2:2" ht="20.100000000000001" customHeight="1">
      <c r="B90" s="91"/>
    </row>
    <row r="91" spans="2:2" ht="20.100000000000001" customHeight="1">
      <c r="B91" s="91"/>
    </row>
    <row r="92" spans="2:2" ht="20.100000000000001" customHeight="1">
      <c r="B92" s="91"/>
    </row>
    <row r="93" spans="2:2" ht="20.100000000000001" customHeight="1">
      <c r="B93" s="91"/>
    </row>
    <row r="94" spans="2:2" ht="20.100000000000001" customHeight="1">
      <c r="B94" s="91"/>
    </row>
    <row r="95" spans="2:2" ht="20.100000000000001" customHeight="1">
      <c r="B95" s="91"/>
    </row>
    <row r="96" spans="2:2" ht="20.100000000000001" customHeight="1">
      <c r="B96" s="91"/>
    </row>
    <row r="97" spans="2:2" ht="20.100000000000001" customHeight="1">
      <c r="B97" s="91"/>
    </row>
    <row r="98" spans="2:2" ht="20.100000000000001" customHeight="1">
      <c r="B98" s="91"/>
    </row>
    <row r="99" spans="2:2" ht="5.0999999999999996" customHeight="1">
      <c r="B99" s="91"/>
    </row>
    <row r="100" spans="2:2" ht="5.0999999999999996" customHeight="1">
      <c r="B100" s="91"/>
    </row>
    <row r="101" spans="2:2" ht="5.0999999999999996" customHeight="1">
      <c r="B101" s="91"/>
    </row>
    <row r="102" spans="2:2" ht="5.0999999999999996" customHeight="1">
      <c r="B102" s="91"/>
    </row>
    <row r="103" spans="2:2" ht="5.0999999999999996" customHeight="1">
      <c r="B103" s="91"/>
    </row>
    <row r="104" spans="2:2" ht="5.0999999999999996" customHeight="1">
      <c r="B104" s="91"/>
    </row>
    <row r="105" spans="2:2" ht="5.0999999999999996" customHeight="1">
      <c r="B105" s="91"/>
    </row>
    <row r="106" spans="2:2" ht="5.0999999999999996" customHeight="1">
      <c r="B106" s="91"/>
    </row>
    <row r="107" spans="2:2" ht="5.0999999999999996" customHeight="1">
      <c r="B107" s="91"/>
    </row>
    <row r="108" spans="2:2" ht="5.0999999999999996" customHeight="1">
      <c r="B108" s="91"/>
    </row>
    <row r="109" spans="2:2" ht="5.0999999999999996" customHeight="1">
      <c r="B109" s="91"/>
    </row>
    <row r="110" spans="2:2" ht="5.0999999999999996" customHeight="1">
      <c r="B110" s="91"/>
    </row>
    <row r="111" spans="2:2" ht="5.0999999999999996" customHeight="1">
      <c r="B111" s="91"/>
    </row>
    <row r="112" spans="2:2" ht="5.0999999999999996" customHeight="1">
      <c r="B112" s="91"/>
    </row>
    <row r="113" spans="2:2" ht="5.0999999999999996" customHeight="1">
      <c r="B113" s="91"/>
    </row>
    <row r="114" spans="2:2" ht="5.0999999999999996" customHeight="1">
      <c r="B114" s="91"/>
    </row>
    <row r="115" spans="2:2" ht="5.0999999999999996" customHeight="1">
      <c r="B115" s="91"/>
    </row>
    <row r="116" spans="2:2" ht="5.0999999999999996" customHeight="1">
      <c r="B116" s="91"/>
    </row>
    <row r="117" spans="2:2" ht="5.0999999999999996" customHeight="1">
      <c r="B117" s="91"/>
    </row>
    <row r="118" spans="2:2" ht="5.0999999999999996" customHeight="1">
      <c r="B118" s="91"/>
    </row>
    <row r="119" spans="2:2" ht="5.0999999999999996" customHeight="1">
      <c r="B119" s="91"/>
    </row>
    <row r="120" spans="2:2" ht="5.0999999999999996" customHeight="1">
      <c r="B120" s="91"/>
    </row>
    <row r="121" spans="2:2" ht="5.0999999999999996" customHeight="1">
      <c r="B121" s="91"/>
    </row>
    <row r="122" spans="2:2" ht="5.0999999999999996" customHeight="1">
      <c r="B122" s="91"/>
    </row>
    <row r="123" spans="2:2" ht="5.0999999999999996" customHeight="1">
      <c r="B123" s="91"/>
    </row>
    <row r="124" spans="2:2" ht="5.0999999999999996" customHeight="1">
      <c r="B124" s="91"/>
    </row>
    <row r="125" spans="2:2" ht="5.0999999999999996" customHeight="1">
      <c r="B125" s="91"/>
    </row>
    <row r="126" spans="2:2" ht="5.0999999999999996" customHeight="1">
      <c r="B126" s="91"/>
    </row>
    <row r="127" spans="2:2" ht="5.0999999999999996" customHeight="1">
      <c r="B127" s="91"/>
    </row>
    <row r="128" spans="2:2" ht="5.0999999999999996" customHeight="1">
      <c r="B128" s="91"/>
    </row>
    <row r="129" spans="2:2" ht="5.0999999999999996" customHeight="1">
      <c r="B129" s="91"/>
    </row>
    <row r="130" spans="2:2" ht="5.0999999999999996" customHeight="1">
      <c r="B130" s="91"/>
    </row>
    <row r="131" spans="2:2" ht="5.0999999999999996" customHeight="1">
      <c r="B131" s="91"/>
    </row>
    <row r="132" spans="2:2" ht="5.0999999999999996" customHeight="1">
      <c r="B132" s="91"/>
    </row>
    <row r="133" spans="2:2" ht="5.0999999999999996" customHeight="1">
      <c r="B133" s="91"/>
    </row>
    <row r="134" spans="2:2" ht="5.0999999999999996" customHeight="1">
      <c r="B134" s="91"/>
    </row>
    <row r="135" spans="2:2" ht="5.0999999999999996" customHeight="1">
      <c r="B135" s="91"/>
    </row>
    <row r="136" spans="2:2" ht="5.0999999999999996" customHeight="1">
      <c r="B136" s="91"/>
    </row>
    <row r="137" spans="2:2" ht="5.0999999999999996" customHeight="1">
      <c r="B137" s="91"/>
    </row>
    <row r="138" spans="2:2" ht="5.0999999999999996" customHeight="1">
      <c r="B138" s="91"/>
    </row>
    <row r="139" spans="2:2" ht="5.0999999999999996" customHeight="1">
      <c r="B139" s="91"/>
    </row>
    <row r="140" spans="2:2" ht="5.0999999999999996" customHeight="1">
      <c r="B140" s="91"/>
    </row>
    <row r="141" spans="2:2" ht="5.0999999999999996" customHeight="1">
      <c r="B141" s="91"/>
    </row>
    <row r="142" spans="2:2" ht="5.0999999999999996" customHeight="1">
      <c r="B142" s="91"/>
    </row>
    <row r="143" spans="2:2" ht="20.100000000000001" customHeight="1">
      <c r="B143" s="91"/>
    </row>
    <row r="144" spans="2:2" ht="20.100000000000001" customHeight="1">
      <c r="B144" s="91"/>
    </row>
  </sheetData>
  <sheetProtection formatCells="0" formatColumns="0" formatRows="0"/>
  <printOptions horizontalCentered="1"/>
  <pageMargins left="0" right="0" top="0" bottom="0" header="0" footer="0"/>
  <pageSetup paperSize="9" fitToHeight="0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7656A-8C07-4519-93F4-73FC1BF75A0D}">
  <sheetPr codeName="Taul33">
    <tabColor theme="7" tint="0.39997558519241921"/>
  </sheetPr>
  <dimension ref="A1:F144"/>
  <sheetViews>
    <sheetView showGridLines="0" showZeros="0" view="pageBreakPreview" zoomScale="130" zoomScaleNormal="85" zoomScaleSheetLayoutView="130" workbookViewId="0"/>
  </sheetViews>
  <sheetFormatPr defaultColWidth="15.140625" defaultRowHeight="20.100000000000001" customHeight="1"/>
  <cols>
    <col min="1" max="1" width="14.85546875" style="463" customWidth="1"/>
    <col min="2" max="2" width="13.140625" style="77" customWidth="1"/>
    <col min="3" max="3" width="7.5703125" style="3" customWidth="1"/>
    <col min="4" max="4" width="8" style="3" customWidth="1"/>
    <col min="5" max="5" width="45.140625" style="3" customWidth="1"/>
    <col min="6" max="6" width="12" style="3" customWidth="1"/>
    <col min="7" max="16384" width="15.140625" style="3"/>
  </cols>
  <sheetData>
    <row r="1" spans="1:6" s="85" customFormat="1" ht="30" customHeight="1">
      <c r="A1" s="83" t="s">
        <v>85</v>
      </c>
      <c r="B1" s="84"/>
      <c r="C1" s="83" t="s">
        <v>86</v>
      </c>
    </row>
    <row r="2" spans="1:6" s="88" customFormat="1" ht="16.5" customHeight="1">
      <c r="A2" s="461" t="s">
        <v>87</v>
      </c>
      <c r="B2" s="385" t="s">
        <v>88</v>
      </c>
      <c r="C2" s="385" t="s">
        <v>89</v>
      </c>
      <c r="D2" s="385" t="s">
        <v>90</v>
      </c>
      <c r="E2" s="384" t="s">
        <v>91</v>
      </c>
      <c r="F2" s="384" t="s">
        <v>107</v>
      </c>
    </row>
    <row r="3" spans="1:6" s="88" customFormat="1" ht="24.95" customHeight="1">
      <c r="A3" s="462" t="s">
        <v>92</v>
      </c>
      <c r="B3" s="381" t="s">
        <v>93</v>
      </c>
      <c r="C3" s="382"/>
      <c r="D3" s="382"/>
      <c r="E3" s="382"/>
      <c r="F3" s="382"/>
    </row>
    <row r="4" spans="1:6" s="88" customFormat="1" ht="24.95" customHeight="1">
      <c r="A4" s="460"/>
      <c r="B4" s="386"/>
      <c r="C4" s="387"/>
      <c r="D4" s="387"/>
      <c r="E4" s="387"/>
      <c r="F4" s="387" t="s">
        <v>94</v>
      </c>
    </row>
    <row r="5" spans="1:6" s="88" customFormat="1" ht="24.95" customHeight="1">
      <c r="A5" s="444"/>
      <c r="B5" s="380"/>
    </row>
    <row r="6" spans="1:6" s="88" customFormat="1" ht="24.95" customHeight="1">
      <c r="A6" s="444"/>
      <c r="B6" s="380"/>
    </row>
    <row r="7" spans="1:6" s="88" customFormat="1" ht="24.95" customHeight="1">
      <c r="A7" s="444"/>
      <c r="B7" s="380"/>
    </row>
    <row r="8" spans="1:6" s="88" customFormat="1" ht="24.95" customHeight="1">
      <c r="A8" s="444"/>
      <c r="B8" s="380"/>
    </row>
    <row r="9" spans="1:6" s="88" customFormat="1" ht="24.95" customHeight="1">
      <c r="B9" s="380"/>
      <c r="C9" s="86"/>
    </row>
    <row r="10" spans="1:6" s="88" customFormat="1" ht="24.95" customHeight="1">
      <c r="A10" s="444"/>
      <c r="B10" s="380"/>
    </row>
    <row r="11" spans="1:6" s="88" customFormat="1" ht="24.95" customHeight="1">
      <c r="A11" s="444"/>
      <c r="B11" s="380"/>
    </row>
    <row r="12" spans="1:6" s="88" customFormat="1" ht="24.95" customHeight="1">
      <c r="A12" s="444"/>
      <c r="B12" s="380"/>
    </row>
    <row r="13" spans="1:6" s="88" customFormat="1" ht="24.95" customHeight="1">
      <c r="A13" s="444"/>
      <c r="B13" s="380"/>
    </row>
    <row r="14" spans="1:6" s="88" customFormat="1" ht="24.95" customHeight="1">
      <c r="A14" s="444"/>
      <c r="B14" s="380"/>
    </row>
    <row r="15" spans="1:6" ht="24.95" customHeight="1">
      <c r="A15" s="444"/>
      <c r="B15" s="380"/>
      <c r="C15" s="88"/>
      <c r="D15" s="88"/>
      <c r="E15" s="88"/>
      <c r="F15" s="88"/>
    </row>
    <row r="16" spans="1:6" ht="24.95" customHeight="1">
      <c r="A16" s="444"/>
      <c r="B16" s="380"/>
      <c r="C16" s="88"/>
      <c r="D16" s="88"/>
      <c r="E16" s="88"/>
      <c r="F16" s="88"/>
    </row>
    <row r="17" spans="1:6" ht="24.95" customHeight="1">
      <c r="A17" s="444"/>
      <c r="B17" s="380"/>
      <c r="C17" s="88"/>
      <c r="D17" s="88"/>
      <c r="E17" s="88"/>
      <c r="F17" s="88"/>
    </row>
    <row r="18" spans="1:6" ht="24.95" customHeight="1">
      <c r="A18" s="444"/>
      <c r="B18" s="380"/>
      <c r="C18" s="88"/>
      <c r="D18" s="88"/>
      <c r="E18" s="88"/>
      <c r="F18" s="88"/>
    </row>
    <row r="19" spans="1:6" ht="24.95" customHeight="1">
      <c r="A19" s="444"/>
      <c r="B19" s="380"/>
      <c r="C19" s="88"/>
      <c r="D19" s="88"/>
      <c r="E19" s="88"/>
      <c r="F19" s="88"/>
    </row>
    <row r="20" spans="1:6" ht="24.95" customHeight="1">
      <c r="A20" s="444"/>
      <c r="B20" s="380"/>
      <c r="C20" s="88"/>
      <c r="D20" s="88"/>
      <c r="E20" s="88"/>
      <c r="F20" s="88"/>
    </row>
    <row r="21" spans="1:6" ht="24.95" customHeight="1">
      <c r="A21" s="444"/>
      <c r="B21" s="380"/>
      <c r="C21" s="88"/>
      <c r="D21" s="88"/>
      <c r="E21" s="88"/>
      <c r="F21" s="88"/>
    </row>
    <row r="22" spans="1:6" ht="24.95" customHeight="1">
      <c r="A22" s="444"/>
      <c r="B22" s="380"/>
      <c r="C22" s="88"/>
      <c r="D22" s="88"/>
      <c r="E22" s="88"/>
      <c r="F22" s="88"/>
    </row>
    <row r="23" spans="1:6" ht="24.95" customHeight="1">
      <c r="A23" s="3"/>
      <c r="B23" s="380"/>
      <c r="C23" s="88"/>
      <c r="D23" s="88"/>
      <c r="E23" s="88"/>
      <c r="F23" s="88"/>
    </row>
    <row r="24" spans="1:6" ht="24.95" customHeight="1">
      <c r="A24" s="444"/>
      <c r="B24" s="380"/>
      <c r="C24" s="88"/>
      <c r="D24" s="88"/>
      <c r="E24" s="88"/>
      <c r="F24" s="88"/>
    </row>
    <row r="25" spans="1:6" ht="24.95" customHeight="1">
      <c r="A25" s="444"/>
      <c r="B25" s="380"/>
      <c r="C25" s="88"/>
      <c r="D25" s="88"/>
      <c r="E25" s="88"/>
      <c r="F25" s="88"/>
    </row>
    <row r="26" spans="1:6" ht="24.95" customHeight="1">
      <c r="A26" s="444"/>
      <c r="B26" s="380"/>
      <c r="C26" s="88"/>
      <c r="D26" s="88"/>
      <c r="E26" s="88"/>
      <c r="F26" s="88"/>
    </row>
    <row r="27" spans="1:6" ht="24.95" customHeight="1">
      <c r="A27" s="444"/>
      <c r="B27" s="380"/>
      <c r="C27" s="88"/>
      <c r="D27" s="88"/>
      <c r="E27" s="88"/>
      <c r="F27" s="88"/>
    </row>
    <row r="28" spans="1:6" ht="24.95" customHeight="1">
      <c r="A28" s="444"/>
      <c r="B28" s="3"/>
      <c r="C28" s="88"/>
      <c r="D28" s="88"/>
      <c r="E28" s="88"/>
      <c r="F28" s="88"/>
    </row>
    <row r="29" spans="1:6" ht="24.95" customHeight="1">
      <c r="A29" s="444"/>
      <c r="B29" s="380"/>
      <c r="C29" s="88"/>
      <c r="D29" s="88"/>
      <c r="E29" s="88"/>
      <c r="F29" s="88"/>
    </row>
    <row r="30" spans="1:6" ht="24.95" customHeight="1">
      <c r="A30" s="444" t="s">
        <v>95</v>
      </c>
      <c r="B30" s="380"/>
      <c r="C30" s="88"/>
      <c r="D30" s="88"/>
      <c r="E30" s="88"/>
      <c r="F30" s="88"/>
    </row>
    <row r="31" spans="1:6" ht="24.95" customHeight="1">
      <c r="A31" s="444"/>
      <c r="B31" s="3"/>
      <c r="C31" s="88"/>
      <c r="D31" s="88"/>
      <c r="E31" s="88"/>
      <c r="F31" s="88"/>
    </row>
    <row r="32" spans="1:6" ht="24.95" customHeight="1">
      <c r="A32" s="444"/>
      <c r="B32" s="380"/>
      <c r="C32" s="86" t="s">
        <v>96</v>
      </c>
      <c r="D32" s="88"/>
      <c r="E32" s="88"/>
      <c r="F32" s="88"/>
    </row>
    <row r="33" spans="1:6" ht="26.1" customHeight="1">
      <c r="A33" s="444"/>
      <c r="B33" s="3"/>
      <c r="C33" s="88"/>
      <c r="D33" s="88"/>
      <c r="E33" s="88"/>
      <c r="F33" s="88"/>
    </row>
    <row r="34" spans="1:6" ht="20.100000000000001" customHeight="1">
      <c r="A34" s="444"/>
      <c r="B34" s="380"/>
      <c r="C34" s="88"/>
      <c r="D34" s="88"/>
      <c r="E34" s="88"/>
      <c r="F34" s="88"/>
    </row>
    <row r="35" spans="1:6" ht="20.100000000000001" customHeight="1">
      <c r="A35" s="444"/>
      <c r="B35" s="380"/>
      <c r="C35" s="88"/>
      <c r="D35" s="88"/>
      <c r="E35" s="88"/>
      <c r="F35" s="88"/>
    </row>
    <row r="36" spans="1:6" ht="20.100000000000001" customHeight="1">
      <c r="A36" s="444"/>
      <c r="B36" s="380"/>
      <c r="C36" s="88"/>
      <c r="D36" s="88"/>
      <c r="E36" s="88"/>
      <c r="F36" s="88"/>
    </row>
    <row r="37" spans="1:6" ht="20.100000000000001" customHeight="1">
      <c r="A37" s="444"/>
      <c r="B37" s="380"/>
      <c r="C37" s="88"/>
      <c r="D37" s="88"/>
      <c r="E37" s="88"/>
      <c r="F37" s="88"/>
    </row>
    <row r="38" spans="1:6" ht="20.100000000000001" customHeight="1">
      <c r="A38" s="444"/>
      <c r="B38" s="380"/>
      <c r="C38" s="88"/>
      <c r="D38" s="88"/>
      <c r="E38" s="88"/>
      <c r="F38" s="88"/>
    </row>
    <row r="39" spans="1:6" ht="20.100000000000001" customHeight="1">
      <c r="B39" s="91"/>
    </row>
    <row r="40" spans="1:6" ht="20.100000000000001" customHeight="1">
      <c r="B40" s="91"/>
    </row>
    <row r="41" spans="1:6" ht="20.100000000000001" customHeight="1">
      <c r="B41" s="91"/>
    </row>
    <row r="42" spans="1:6" ht="20.100000000000001" customHeight="1">
      <c r="B42" s="91"/>
    </row>
    <row r="43" spans="1:6" ht="20.100000000000001" customHeight="1">
      <c r="B43" s="91"/>
    </row>
    <row r="44" spans="1:6" ht="20.100000000000001" customHeight="1">
      <c r="B44" s="91"/>
    </row>
    <row r="45" spans="1:6" ht="20.100000000000001" customHeight="1">
      <c r="B45" s="91"/>
    </row>
    <row r="46" spans="1:6" ht="20.100000000000001" customHeight="1">
      <c r="B46" s="91"/>
    </row>
    <row r="47" spans="1:6" ht="20.100000000000001" customHeight="1">
      <c r="B47" s="91"/>
    </row>
    <row r="48" spans="1:6" ht="20.100000000000001" customHeight="1">
      <c r="B48" s="91"/>
    </row>
    <row r="49" spans="2:2" ht="20.100000000000001" customHeight="1">
      <c r="B49" s="91"/>
    </row>
    <row r="50" spans="2:2" ht="20.100000000000001" customHeight="1">
      <c r="B50" s="91"/>
    </row>
    <row r="51" spans="2:2" ht="20.100000000000001" customHeight="1">
      <c r="B51" s="91"/>
    </row>
    <row r="52" spans="2:2" ht="20.100000000000001" customHeight="1">
      <c r="B52" s="91"/>
    </row>
    <row r="53" spans="2:2" ht="20.100000000000001" customHeight="1">
      <c r="B53" s="91"/>
    </row>
    <row r="54" spans="2:2" ht="20.100000000000001" customHeight="1">
      <c r="B54" s="91"/>
    </row>
    <row r="55" spans="2:2" ht="20.100000000000001" customHeight="1">
      <c r="B55" s="91"/>
    </row>
    <row r="56" spans="2:2" ht="20.100000000000001" customHeight="1">
      <c r="B56" s="91"/>
    </row>
    <row r="57" spans="2:2" ht="20.100000000000001" customHeight="1">
      <c r="B57" s="91"/>
    </row>
    <row r="58" spans="2:2" ht="20.100000000000001" customHeight="1">
      <c r="B58" s="91"/>
    </row>
    <row r="59" spans="2:2" ht="20.100000000000001" customHeight="1">
      <c r="B59" s="91"/>
    </row>
    <row r="60" spans="2:2" ht="20.100000000000001" customHeight="1">
      <c r="B60" s="91"/>
    </row>
    <row r="61" spans="2:2" ht="20.100000000000001" customHeight="1">
      <c r="B61" s="91"/>
    </row>
    <row r="62" spans="2:2" ht="20.100000000000001" customHeight="1">
      <c r="B62" s="91"/>
    </row>
    <row r="63" spans="2:2" ht="20.100000000000001" customHeight="1">
      <c r="B63" s="91"/>
    </row>
    <row r="64" spans="2:2" ht="20.100000000000001" customHeight="1">
      <c r="B64" s="91"/>
    </row>
    <row r="65" spans="2:2" ht="20.100000000000001" customHeight="1">
      <c r="B65" s="91"/>
    </row>
    <row r="66" spans="2:2" ht="20.100000000000001" customHeight="1">
      <c r="B66" s="91"/>
    </row>
    <row r="67" spans="2:2" ht="20.100000000000001" customHeight="1">
      <c r="B67" s="91"/>
    </row>
    <row r="68" spans="2:2" ht="20.100000000000001" customHeight="1">
      <c r="B68" s="91"/>
    </row>
    <row r="69" spans="2:2" ht="20.100000000000001" customHeight="1">
      <c r="B69" s="91"/>
    </row>
    <row r="70" spans="2:2" ht="20.100000000000001" customHeight="1">
      <c r="B70" s="91"/>
    </row>
    <row r="71" spans="2:2" ht="20.100000000000001" customHeight="1">
      <c r="B71" s="91"/>
    </row>
    <row r="72" spans="2:2" ht="20.100000000000001" customHeight="1">
      <c r="B72" s="91"/>
    </row>
    <row r="73" spans="2:2" ht="20.100000000000001" customHeight="1">
      <c r="B73" s="91"/>
    </row>
    <row r="74" spans="2:2" ht="20.100000000000001" customHeight="1">
      <c r="B74" s="91"/>
    </row>
    <row r="75" spans="2:2" ht="20.100000000000001" customHeight="1">
      <c r="B75" s="91"/>
    </row>
    <row r="76" spans="2:2" ht="20.100000000000001" customHeight="1">
      <c r="B76" s="91"/>
    </row>
    <row r="77" spans="2:2" ht="20.100000000000001" customHeight="1">
      <c r="B77" s="91"/>
    </row>
    <row r="78" spans="2:2" ht="20.100000000000001" customHeight="1">
      <c r="B78" s="91"/>
    </row>
    <row r="79" spans="2:2" ht="20.100000000000001" customHeight="1">
      <c r="B79" s="91"/>
    </row>
    <row r="80" spans="2:2" ht="20.100000000000001" customHeight="1">
      <c r="B80" s="91"/>
    </row>
    <row r="81" spans="2:2" ht="20.100000000000001" customHeight="1">
      <c r="B81" s="91"/>
    </row>
    <row r="82" spans="2:2" ht="20.100000000000001" customHeight="1">
      <c r="B82" s="91"/>
    </row>
    <row r="83" spans="2:2" ht="20.100000000000001" customHeight="1">
      <c r="B83" s="91"/>
    </row>
    <row r="84" spans="2:2" ht="20.100000000000001" customHeight="1">
      <c r="B84" s="91"/>
    </row>
    <row r="85" spans="2:2" ht="20.100000000000001" customHeight="1">
      <c r="B85" s="91"/>
    </row>
    <row r="86" spans="2:2" ht="20.100000000000001" customHeight="1">
      <c r="B86" s="91"/>
    </row>
    <row r="87" spans="2:2" ht="20.100000000000001" customHeight="1">
      <c r="B87" s="91"/>
    </row>
    <row r="88" spans="2:2" ht="20.100000000000001" customHeight="1">
      <c r="B88" s="91"/>
    </row>
    <row r="89" spans="2:2" ht="20.100000000000001" customHeight="1">
      <c r="B89" s="91"/>
    </row>
    <row r="90" spans="2:2" ht="20.100000000000001" customHeight="1">
      <c r="B90" s="91"/>
    </row>
    <row r="91" spans="2:2" ht="20.100000000000001" customHeight="1">
      <c r="B91" s="91"/>
    </row>
    <row r="92" spans="2:2" ht="20.100000000000001" customHeight="1">
      <c r="B92" s="91"/>
    </row>
    <row r="93" spans="2:2" ht="20.100000000000001" customHeight="1">
      <c r="B93" s="91"/>
    </row>
    <row r="94" spans="2:2" ht="20.100000000000001" customHeight="1">
      <c r="B94" s="91"/>
    </row>
    <row r="95" spans="2:2" ht="20.100000000000001" customHeight="1">
      <c r="B95" s="91"/>
    </row>
    <row r="96" spans="2:2" ht="20.100000000000001" customHeight="1">
      <c r="B96" s="91"/>
    </row>
    <row r="97" spans="2:2" ht="20.100000000000001" customHeight="1">
      <c r="B97" s="91"/>
    </row>
    <row r="98" spans="2:2" ht="20.100000000000001" customHeight="1">
      <c r="B98" s="91"/>
    </row>
    <row r="99" spans="2:2" ht="5.0999999999999996" customHeight="1">
      <c r="B99" s="91"/>
    </row>
    <row r="100" spans="2:2" ht="5.0999999999999996" customHeight="1">
      <c r="B100" s="91"/>
    </row>
    <row r="101" spans="2:2" ht="5.0999999999999996" customHeight="1">
      <c r="B101" s="91"/>
    </row>
    <row r="102" spans="2:2" ht="5.0999999999999996" customHeight="1">
      <c r="B102" s="91"/>
    </row>
    <row r="103" spans="2:2" ht="5.0999999999999996" customHeight="1">
      <c r="B103" s="91"/>
    </row>
    <row r="104" spans="2:2" ht="5.0999999999999996" customHeight="1">
      <c r="B104" s="91"/>
    </row>
    <row r="105" spans="2:2" ht="5.0999999999999996" customHeight="1">
      <c r="B105" s="91"/>
    </row>
    <row r="106" spans="2:2" ht="5.0999999999999996" customHeight="1">
      <c r="B106" s="91"/>
    </row>
    <row r="107" spans="2:2" ht="5.0999999999999996" customHeight="1">
      <c r="B107" s="91"/>
    </row>
    <row r="108" spans="2:2" ht="5.0999999999999996" customHeight="1">
      <c r="B108" s="91"/>
    </row>
    <row r="109" spans="2:2" ht="5.0999999999999996" customHeight="1">
      <c r="B109" s="91"/>
    </row>
    <row r="110" spans="2:2" ht="5.0999999999999996" customHeight="1">
      <c r="B110" s="91"/>
    </row>
    <row r="111" spans="2:2" ht="5.0999999999999996" customHeight="1">
      <c r="B111" s="91"/>
    </row>
    <row r="112" spans="2:2" ht="5.0999999999999996" customHeight="1">
      <c r="B112" s="91"/>
    </row>
    <row r="113" spans="2:2" ht="5.0999999999999996" customHeight="1">
      <c r="B113" s="91"/>
    </row>
    <row r="114" spans="2:2" ht="5.0999999999999996" customHeight="1">
      <c r="B114" s="91"/>
    </row>
    <row r="115" spans="2:2" ht="5.0999999999999996" customHeight="1">
      <c r="B115" s="91"/>
    </row>
    <row r="116" spans="2:2" ht="5.0999999999999996" customHeight="1">
      <c r="B116" s="91"/>
    </row>
    <row r="117" spans="2:2" ht="5.0999999999999996" customHeight="1">
      <c r="B117" s="91"/>
    </row>
    <row r="118" spans="2:2" ht="5.0999999999999996" customHeight="1">
      <c r="B118" s="91"/>
    </row>
    <row r="119" spans="2:2" ht="5.0999999999999996" customHeight="1">
      <c r="B119" s="91"/>
    </row>
    <row r="120" spans="2:2" ht="5.0999999999999996" customHeight="1">
      <c r="B120" s="91"/>
    </row>
    <row r="121" spans="2:2" ht="5.0999999999999996" customHeight="1">
      <c r="B121" s="91"/>
    </row>
    <row r="122" spans="2:2" ht="5.0999999999999996" customHeight="1">
      <c r="B122" s="91"/>
    </row>
    <row r="123" spans="2:2" ht="5.0999999999999996" customHeight="1">
      <c r="B123" s="91"/>
    </row>
    <row r="124" spans="2:2" ht="5.0999999999999996" customHeight="1">
      <c r="B124" s="91"/>
    </row>
    <row r="125" spans="2:2" ht="5.0999999999999996" customHeight="1">
      <c r="B125" s="91"/>
    </row>
    <row r="126" spans="2:2" ht="5.0999999999999996" customHeight="1">
      <c r="B126" s="91"/>
    </row>
    <row r="127" spans="2:2" ht="5.0999999999999996" customHeight="1">
      <c r="B127" s="91"/>
    </row>
    <row r="128" spans="2:2" ht="5.0999999999999996" customHeight="1">
      <c r="B128" s="91"/>
    </row>
    <row r="129" spans="2:2" ht="5.0999999999999996" customHeight="1">
      <c r="B129" s="91"/>
    </row>
    <row r="130" spans="2:2" ht="5.0999999999999996" customHeight="1">
      <c r="B130" s="91"/>
    </row>
    <row r="131" spans="2:2" ht="5.0999999999999996" customHeight="1">
      <c r="B131" s="91"/>
    </row>
    <row r="132" spans="2:2" ht="5.0999999999999996" customHeight="1">
      <c r="B132" s="91"/>
    </row>
    <row r="133" spans="2:2" ht="5.0999999999999996" customHeight="1">
      <c r="B133" s="91"/>
    </row>
    <row r="134" spans="2:2" ht="5.0999999999999996" customHeight="1">
      <c r="B134" s="91"/>
    </row>
    <row r="135" spans="2:2" ht="5.0999999999999996" customHeight="1">
      <c r="B135" s="91"/>
    </row>
    <row r="136" spans="2:2" ht="5.0999999999999996" customHeight="1">
      <c r="B136" s="91"/>
    </row>
    <row r="137" spans="2:2" ht="5.0999999999999996" customHeight="1">
      <c r="B137" s="91"/>
    </row>
    <row r="138" spans="2:2" ht="5.0999999999999996" customHeight="1">
      <c r="B138" s="91"/>
    </row>
    <row r="139" spans="2:2" ht="5.0999999999999996" customHeight="1">
      <c r="B139" s="91"/>
    </row>
    <row r="140" spans="2:2" ht="5.0999999999999996" customHeight="1">
      <c r="B140" s="91"/>
    </row>
    <row r="141" spans="2:2" ht="5.0999999999999996" customHeight="1">
      <c r="B141" s="91"/>
    </row>
    <row r="142" spans="2:2" ht="5.0999999999999996" customHeight="1">
      <c r="B142" s="91"/>
    </row>
    <row r="143" spans="2:2" ht="20.100000000000001" customHeight="1">
      <c r="B143" s="91"/>
    </row>
    <row r="144" spans="2:2" ht="20.100000000000001" customHeight="1">
      <c r="B144" s="91"/>
    </row>
  </sheetData>
  <sheetProtection formatCells="0" formatColumns="0" formatRows="0"/>
  <printOptions horizontalCentered="1"/>
  <pageMargins left="0" right="0" top="0" bottom="0" header="0" footer="0"/>
  <pageSetup paperSize="9" fitToHeight="0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7C6E2-20FE-461C-99A4-3867A0EE97EA}">
  <sheetPr codeName="Taul6">
    <tabColor rgb="FFFFC000"/>
  </sheetPr>
  <dimension ref="A1:AF36"/>
  <sheetViews>
    <sheetView showGridLines="0" showZeros="0" zoomScale="115" zoomScaleNormal="115" workbookViewId="0">
      <selection sqref="A1:B1"/>
    </sheetView>
  </sheetViews>
  <sheetFormatPr defaultColWidth="15.140625" defaultRowHeight="15" customHeight="1"/>
  <cols>
    <col min="1" max="32" width="4.42578125" customWidth="1"/>
  </cols>
  <sheetData>
    <row r="1" spans="1:32" ht="26.25" customHeight="1">
      <c r="A1" s="605"/>
      <c r="B1" s="606"/>
      <c r="C1" s="27" t="s">
        <v>71</v>
      </c>
      <c r="D1" s="607"/>
      <c r="E1" s="607"/>
      <c r="F1" s="368"/>
      <c r="G1" s="26"/>
      <c r="H1" s="94"/>
      <c r="I1" s="94"/>
      <c r="J1" s="25"/>
      <c r="K1" s="95"/>
      <c r="L1" s="95"/>
      <c r="M1" s="28"/>
      <c r="N1" s="28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A1" s="29"/>
      <c r="AB1" s="29"/>
      <c r="AC1" s="29"/>
      <c r="AD1" s="25"/>
      <c r="AE1" s="25"/>
      <c r="AF1" s="369"/>
    </row>
    <row r="2" spans="1:32" s="30" customFormat="1" ht="39.6" customHeight="1">
      <c r="A2" s="370" t="s">
        <v>72</v>
      </c>
      <c r="B2" s="96" t="s">
        <v>73</v>
      </c>
      <c r="C2" s="608" t="s">
        <v>74</v>
      </c>
      <c r="D2" s="609"/>
      <c r="E2" s="609"/>
      <c r="F2" s="323" t="s">
        <v>70</v>
      </c>
      <c r="G2" s="324"/>
      <c r="H2" s="324"/>
      <c r="I2" s="320" t="s">
        <v>70</v>
      </c>
      <c r="J2" s="321"/>
      <c r="K2" s="322"/>
      <c r="L2" s="323" t="s">
        <v>70</v>
      </c>
      <c r="M2" s="324"/>
      <c r="N2" s="324"/>
      <c r="O2" s="320" t="s">
        <v>70</v>
      </c>
      <c r="P2" s="321"/>
      <c r="Q2" s="322"/>
      <c r="R2" s="323" t="s">
        <v>70</v>
      </c>
      <c r="S2" s="324"/>
      <c r="T2" s="324"/>
      <c r="U2" s="320" t="s">
        <v>70</v>
      </c>
      <c r="V2" s="321"/>
      <c r="W2" s="322"/>
      <c r="X2" s="323" t="s">
        <v>70</v>
      </c>
      <c r="Y2" s="324"/>
      <c r="Z2" s="324"/>
      <c r="AA2" s="320" t="s">
        <v>70</v>
      </c>
      <c r="AB2" s="321"/>
      <c r="AC2" s="322"/>
      <c r="AD2" s="323" t="s">
        <v>70</v>
      </c>
      <c r="AE2" s="324"/>
      <c r="AF2" s="324"/>
    </row>
    <row r="3" spans="1:32" ht="26.25" customHeight="1">
      <c r="A3" s="371"/>
      <c r="B3" s="116"/>
      <c r="C3" s="119" t="s">
        <v>75</v>
      </c>
      <c r="D3" s="34" t="s">
        <v>76</v>
      </c>
      <c r="E3" s="120" t="s">
        <v>77</v>
      </c>
      <c r="F3" s="31" t="str">
        <f>IF(F2&lt;&gt;" ","A","")</f>
        <v/>
      </c>
      <c r="G3" s="32" t="str">
        <f>IF(F2&lt;&gt;" ","L","")</f>
        <v/>
      </c>
      <c r="H3" s="372" t="str">
        <f>IF(F2&lt;&gt;" ","V","")</f>
        <v/>
      </c>
      <c r="I3" s="33" t="str">
        <f>IF(I2&lt;&gt;" ","A","")</f>
        <v/>
      </c>
      <c r="J3" s="34" t="str">
        <f>IF(I2&lt;&gt;" ","L","")</f>
        <v/>
      </c>
      <c r="K3" s="35" t="str">
        <f>IF(I2&lt;&gt;" ","V","")</f>
        <v/>
      </c>
      <c r="L3" s="31" t="str">
        <f>IF(L2&lt;&gt;" ","A","")</f>
        <v/>
      </c>
      <c r="M3" s="32" t="str">
        <f>IF(L2&lt;&gt;" ","L","")</f>
        <v/>
      </c>
      <c r="N3" s="372" t="str">
        <f>IF(L2&lt;&gt;" ","V","")</f>
        <v/>
      </c>
      <c r="O3" s="33" t="str">
        <f>IF(O2&lt;&gt;" ","A","")</f>
        <v/>
      </c>
      <c r="P3" s="34" t="str">
        <f>IF(O2&lt;&gt;" ","L","")</f>
        <v/>
      </c>
      <c r="Q3" s="35" t="str">
        <f>IF(O2&lt;&gt;" ","V","")</f>
        <v/>
      </c>
      <c r="R3" s="31" t="str">
        <f>IF(R2&lt;&gt;" ","A","")</f>
        <v/>
      </c>
      <c r="S3" s="32" t="str">
        <f>IF(R2&lt;&gt;" ","L","")</f>
        <v/>
      </c>
      <c r="T3" s="372" t="str">
        <f>IF(R2&lt;&gt;" ","V","")</f>
        <v/>
      </c>
      <c r="U3" s="33" t="str">
        <f>IF(U2&lt;&gt;" ","A","")</f>
        <v/>
      </c>
      <c r="V3" s="34" t="str">
        <f>IF(U2&lt;&gt;" ","L","")</f>
        <v/>
      </c>
      <c r="W3" s="35" t="str">
        <f>IF(U2&lt;&gt;" ","V","")</f>
        <v/>
      </c>
      <c r="X3" s="31" t="str">
        <f>IF(X2&lt;&gt;" ","A","")</f>
        <v/>
      </c>
      <c r="Y3" s="32" t="str">
        <f>IF(X2&lt;&gt;" ","L","")</f>
        <v/>
      </c>
      <c r="Z3" s="372" t="str">
        <f>IF(X2&lt;&gt;" ","V","")</f>
        <v/>
      </c>
      <c r="AA3" s="33" t="str">
        <f>IF(AA2&lt;&gt;" ","A","")</f>
        <v/>
      </c>
      <c r="AB3" s="34" t="str">
        <f>IF(AA2&lt;&gt;" ","L","")</f>
        <v/>
      </c>
      <c r="AC3" s="35" t="str">
        <f>IF(AA2&lt;&gt;" ","V","")</f>
        <v/>
      </c>
      <c r="AD3" s="31" t="str">
        <f>IF(AD2&lt;&gt;" ","A","")</f>
        <v/>
      </c>
      <c r="AE3" s="32" t="str">
        <f>IF(AD2&lt;&gt;" ","L","")</f>
        <v/>
      </c>
      <c r="AF3" s="372" t="str">
        <f>IF(AD2&lt;&gt;" ","V","")</f>
        <v/>
      </c>
    </row>
    <row r="4" spans="1:32" ht="26.25" customHeight="1">
      <c r="A4" s="373" t="s">
        <v>78</v>
      </c>
      <c r="B4" s="117"/>
      <c r="C4" s="121"/>
      <c r="D4" s="122"/>
      <c r="E4" s="123"/>
      <c r="F4" s="38"/>
      <c r="G4" s="39"/>
      <c r="H4" s="374"/>
      <c r="I4" s="40"/>
      <c r="J4" s="41"/>
      <c r="K4" s="375"/>
      <c r="L4" s="42"/>
      <c r="M4" s="43"/>
      <c r="N4" s="376"/>
      <c r="O4" s="40"/>
      <c r="P4" s="41"/>
      <c r="Q4" s="375"/>
      <c r="R4" s="42"/>
      <c r="S4" s="43"/>
      <c r="T4" s="376"/>
      <c r="U4" s="40"/>
      <c r="V4" s="41"/>
      <c r="W4" s="375"/>
      <c r="X4" s="42"/>
      <c r="Y4" s="43"/>
      <c r="Z4" s="376"/>
      <c r="AA4" s="40"/>
      <c r="AB4" s="41"/>
      <c r="AC4" s="375"/>
      <c r="AD4" s="42"/>
      <c r="AE4" s="43"/>
      <c r="AF4" s="44"/>
    </row>
    <row r="5" spans="1:32" ht="26.25" customHeight="1">
      <c r="A5" s="373" t="s">
        <v>79</v>
      </c>
      <c r="B5" s="117"/>
      <c r="C5" s="121"/>
      <c r="D5" s="122"/>
      <c r="E5" s="123"/>
      <c r="F5" s="38"/>
      <c r="G5" s="39"/>
      <c r="H5" s="374"/>
      <c r="I5" s="40"/>
      <c r="J5" s="41"/>
      <c r="K5" s="375"/>
      <c r="L5" s="42"/>
      <c r="M5" s="43"/>
      <c r="N5" s="376"/>
      <c r="O5" s="40"/>
      <c r="P5" s="41"/>
      <c r="Q5" s="375"/>
      <c r="R5" s="42"/>
      <c r="S5" s="43"/>
      <c r="T5" s="376"/>
      <c r="U5" s="40"/>
      <c r="V5" s="41"/>
      <c r="W5" s="375"/>
      <c r="X5" s="42"/>
      <c r="Y5" s="43"/>
      <c r="Z5" s="376"/>
      <c r="AA5" s="40"/>
      <c r="AB5" s="41"/>
      <c r="AC5" s="375"/>
      <c r="AD5" s="42"/>
      <c r="AE5" s="43"/>
      <c r="AF5" s="44"/>
    </row>
    <row r="6" spans="1:32" ht="26.25" customHeight="1">
      <c r="A6" s="373" t="s">
        <v>80</v>
      </c>
      <c r="B6" s="117"/>
      <c r="C6" s="121"/>
      <c r="D6" s="122"/>
      <c r="E6" s="123"/>
      <c r="F6" s="38"/>
      <c r="G6" s="39"/>
      <c r="H6" s="374"/>
      <c r="I6" s="40"/>
      <c r="J6" s="41"/>
      <c r="K6" s="375"/>
      <c r="L6" s="42"/>
      <c r="M6" s="43"/>
      <c r="N6" s="376"/>
      <c r="O6" s="40"/>
      <c r="P6" s="41"/>
      <c r="Q6" s="375"/>
      <c r="R6" s="42"/>
      <c r="S6" s="43"/>
      <c r="T6" s="376"/>
      <c r="U6" s="40"/>
      <c r="V6" s="41"/>
      <c r="W6" s="375"/>
      <c r="X6" s="42"/>
      <c r="Y6" s="43"/>
      <c r="Z6" s="376"/>
      <c r="AA6" s="40"/>
      <c r="AB6" s="41"/>
      <c r="AC6" s="375"/>
      <c r="AD6" s="42"/>
      <c r="AE6" s="43"/>
      <c r="AF6" s="44"/>
    </row>
    <row r="7" spans="1:32" ht="26.25" customHeight="1">
      <c r="A7" s="373" t="s">
        <v>81</v>
      </c>
      <c r="B7" s="117"/>
      <c r="C7" s="121"/>
      <c r="D7" s="122"/>
      <c r="E7" s="123"/>
      <c r="F7" s="38"/>
      <c r="G7" s="39"/>
      <c r="H7" s="374"/>
      <c r="I7" s="40"/>
      <c r="J7" s="41"/>
      <c r="K7" s="375"/>
      <c r="L7" s="42"/>
      <c r="M7" s="43"/>
      <c r="N7" s="376"/>
      <c r="O7" s="40"/>
      <c r="P7" s="41"/>
      <c r="Q7" s="375"/>
      <c r="R7" s="42"/>
      <c r="S7" s="43"/>
      <c r="T7" s="376"/>
      <c r="U7" s="40"/>
      <c r="V7" s="41"/>
      <c r="W7" s="375"/>
      <c r="X7" s="42"/>
      <c r="Y7" s="43"/>
      <c r="Z7" s="376"/>
      <c r="AA7" s="40"/>
      <c r="AB7" s="41"/>
      <c r="AC7" s="375"/>
      <c r="AD7" s="42"/>
      <c r="AE7" s="43"/>
      <c r="AF7" s="44"/>
    </row>
    <row r="8" spans="1:32" ht="26.25" customHeight="1">
      <c r="A8" s="377" t="s">
        <v>82</v>
      </c>
      <c r="B8" s="118"/>
      <c r="C8" s="124"/>
      <c r="D8" s="125"/>
      <c r="E8" s="126"/>
      <c r="F8" s="45"/>
      <c r="G8" s="46"/>
      <c r="H8" s="47"/>
      <c r="I8" s="48"/>
      <c r="J8" s="49"/>
      <c r="K8" s="378"/>
      <c r="L8" s="50"/>
      <c r="M8" s="51"/>
      <c r="N8" s="379"/>
      <c r="O8" s="48"/>
      <c r="P8" s="49"/>
      <c r="Q8" s="378"/>
      <c r="R8" s="50"/>
      <c r="S8" s="51"/>
      <c r="T8" s="379"/>
      <c r="U8" s="48"/>
      <c r="V8" s="49"/>
      <c r="W8" s="378"/>
      <c r="X8" s="50"/>
      <c r="Y8" s="51"/>
      <c r="Z8" s="379"/>
      <c r="AA8" s="48"/>
      <c r="AB8" s="49"/>
      <c r="AC8" s="378"/>
      <c r="AD8" s="50"/>
      <c r="AE8" s="51"/>
      <c r="AF8" s="52"/>
    </row>
    <row r="9" spans="1:32" ht="39.6" customHeight="1">
      <c r="A9" s="370"/>
      <c r="B9" s="96"/>
      <c r="C9" s="320" t="s">
        <v>70</v>
      </c>
      <c r="D9" s="321"/>
      <c r="E9" s="322"/>
      <c r="F9" s="323" t="s">
        <v>70</v>
      </c>
      <c r="G9" s="324"/>
      <c r="H9" s="324"/>
      <c r="I9" s="320" t="s">
        <v>70</v>
      </c>
      <c r="J9" s="321"/>
      <c r="K9" s="322"/>
      <c r="L9" s="323" t="s">
        <v>70</v>
      </c>
      <c r="M9" s="324"/>
      <c r="N9" s="324"/>
      <c r="O9" s="320" t="s">
        <v>70</v>
      </c>
      <c r="P9" s="321"/>
      <c r="Q9" s="322"/>
      <c r="R9" s="323" t="s">
        <v>70</v>
      </c>
      <c r="S9" s="324"/>
      <c r="T9" s="324"/>
      <c r="U9" s="320" t="s">
        <v>70</v>
      </c>
      <c r="V9" s="321"/>
      <c r="W9" s="322"/>
      <c r="X9" s="323" t="s">
        <v>70</v>
      </c>
      <c r="Y9" s="324"/>
      <c r="Z9" s="324"/>
      <c r="AA9" s="320" t="s">
        <v>70</v>
      </c>
      <c r="AB9" s="321"/>
      <c r="AC9" s="322"/>
      <c r="AD9" s="323" t="s">
        <v>70</v>
      </c>
      <c r="AE9" s="324"/>
      <c r="AF9" s="324"/>
    </row>
    <row r="10" spans="1:32" ht="26.25" customHeight="1">
      <c r="A10" s="371"/>
      <c r="B10" s="116"/>
      <c r="C10" s="33" t="str">
        <f>IF(C9&lt;&gt;" ","A","")</f>
        <v/>
      </c>
      <c r="D10" s="34" t="str">
        <f>IF(C9&lt;&gt;" ","L","")</f>
        <v/>
      </c>
      <c r="E10" s="35" t="str">
        <f>IF(C9&lt;&gt;" ","V","")</f>
        <v/>
      </c>
      <c r="F10" s="31" t="str">
        <f>IF(F9&lt;&gt;" ","A","")</f>
        <v/>
      </c>
      <c r="G10" s="32" t="str">
        <f>IF(F9&lt;&gt;" ","L","")</f>
        <v/>
      </c>
      <c r="H10" s="372" t="str">
        <f>IF(F9&lt;&gt;" ","V","")</f>
        <v/>
      </c>
      <c r="I10" s="33" t="str">
        <f>IF(I9&lt;&gt;" ","A","")</f>
        <v/>
      </c>
      <c r="J10" s="34" t="str">
        <f>IF(I9&lt;&gt;" ","L","")</f>
        <v/>
      </c>
      <c r="K10" s="35" t="str">
        <f>IF(I9&lt;&gt;" ","V","")</f>
        <v/>
      </c>
      <c r="L10" s="31" t="str">
        <f>IF(L9&lt;&gt;" ","A","")</f>
        <v/>
      </c>
      <c r="M10" s="32" t="str">
        <f>IF(L9&lt;&gt;" ","L","")</f>
        <v/>
      </c>
      <c r="N10" s="372" t="str">
        <f>IF(L9&lt;&gt;" ","V","")</f>
        <v/>
      </c>
      <c r="O10" s="33" t="str">
        <f>IF(O9&lt;&gt;" ","A","")</f>
        <v/>
      </c>
      <c r="P10" s="34" t="str">
        <f>IF(O9&lt;&gt;" ","L","")</f>
        <v/>
      </c>
      <c r="Q10" s="35" t="str">
        <f>IF(O9&lt;&gt;" ","V","")</f>
        <v/>
      </c>
      <c r="R10" s="31" t="str">
        <f>IF(R9&lt;&gt;" ","A","")</f>
        <v/>
      </c>
      <c r="S10" s="32" t="str">
        <f>IF(R9&lt;&gt;" ","L","")</f>
        <v/>
      </c>
      <c r="T10" s="372" t="str">
        <f>IF(R9&lt;&gt;" ","V","")</f>
        <v/>
      </c>
      <c r="U10" s="33" t="str">
        <f>IF(U9&lt;&gt;" ","A","")</f>
        <v/>
      </c>
      <c r="V10" s="34" t="str">
        <f>IF(U9&lt;&gt;" ","L","")</f>
        <v/>
      </c>
      <c r="W10" s="35" t="str">
        <f>IF(U9&lt;&gt;" ","V","")</f>
        <v/>
      </c>
      <c r="X10" s="31" t="str">
        <f>IF(X9&lt;&gt;" ","A","")</f>
        <v/>
      </c>
      <c r="Y10" s="32" t="str">
        <f>IF(X9&lt;&gt;" ","L","")</f>
        <v/>
      </c>
      <c r="Z10" s="372" t="str">
        <f>IF(X9&lt;&gt;" ","V","")</f>
        <v/>
      </c>
      <c r="AA10" s="33" t="str">
        <f>IF(AA9&lt;&gt;" ","A","")</f>
        <v/>
      </c>
      <c r="AB10" s="34" t="str">
        <f>IF(AA9&lt;&gt;" ","L","")</f>
        <v/>
      </c>
      <c r="AC10" s="35" t="str">
        <f>IF(AA9&lt;&gt;" ","V","")</f>
        <v/>
      </c>
      <c r="AD10" s="31" t="str">
        <f>IF(AD9&lt;&gt;" ","A","")</f>
        <v/>
      </c>
      <c r="AE10" s="32" t="str">
        <f>IF(AD9&lt;&gt;" ","L","")</f>
        <v/>
      </c>
      <c r="AF10" s="372" t="str">
        <f>IF(AD9&lt;&gt;" ","V","")</f>
        <v/>
      </c>
    </row>
    <row r="11" spans="1:32" ht="26.25" customHeight="1">
      <c r="A11" s="373" t="s">
        <v>78</v>
      </c>
      <c r="B11" s="117"/>
      <c r="C11" s="347"/>
      <c r="D11" s="348"/>
      <c r="E11" s="349"/>
      <c r="F11" s="38"/>
      <c r="G11" s="39"/>
      <c r="H11" s="374"/>
      <c r="I11" s="40"/>
      <c r="J11" s="41"/>
      <c r="K11" s="375"/>
      <c r="L11" s="42"/>
      <c r="M11" s="43"/>
      <c r="N11" s="376"/>
      <c r="O11" s="40"/>
      <c r="P11" s="41"/>
      <c r="Q11" s="375"/>
      <c r="R11" s="42"/>
      <c r="S11" s="43"/>
      <c r="T11" s="376"/>
      <c r="U11" s="40"/>
      <c r="V11" s="41"/>
      <c r="W11" s="375"/>
      <c r="X11" s="42"/>
      <c r="Y11" s="43"/>
      <c r="Z11" s="376"/>
      <c r="AA11" s="40"/>
      <c r="AB11" s="41"/>
      <c r="AC11" s="375"/>
      <c r="AD11" s="42"/>
      <c r="AE11" s="43"/>
      <c r="AF11" s="44"/>
    </row>
    <row r="12" spans="1:32" ht="26.25" customHeight="1">
      <c r="A12" s="373" t="s">
        <v>79</v>
      </c>
      <c r="B12" s="117"/>
      <c r="C12" s="347"/>
      <c r="D12" s="348"/>
      <c r="E12" s="349"/>
      <c r="F12" s="38"/>
      <c r="G12" s="39"/>
      <c r="H12" s="374"/>
      <c r="I12" s="40"/>
      <c r="J12" s="41"/>
      <c r="K12" s="375"/>
      <c r="L12" s="42"/>
      <c r="M12" s="43"/>
      <c r="N12" s="376"/>
      <c r="O12" s="40"/>
      <c r="P12" s="41"/>
      <c r="Q12" s="375"/>
      <c r="R12" s="42"/>
      <c r="S12" s="43"/>
      <c r="T12" s="376"/>
      <c r="U12" s="40"/>
      <c r="V12" s="41"/>
      <c r="W12" s="375"/>
      <c r="X12" s="42"/>
      <c r="Y12" s="43"/>
      <c r="Z12" s="376"/>
      <c r="AA12" s="40"/>
      <c r="AB12" s="41"/>
      <c r="AC12" s="375"/>
      <c r="AD12" s="42"/>
      <c r="AE12" s="43"/>
      <c r="AF12" s="44"/>
    </row>
    <row r="13" spans="1:32" ht="26.25" customHeight="1">
      <c r="A13" s="373" t="s">
        <v>80</v>
      </c>
      <c r="B13" s="117"/>
      <c r="C13" s="347"/>
      <c r="D13" s="348"/>
      <c r="E13" s="349"/>
      <c r="F13" s="38"/>
      <c r="G13" s="39"/>
      <c r="H13" s="374"/>
      <c r="I13" s="40"/>
      <c r="J13" s="41"/>
      <c r="K13" s="375"/>
      <c r="L13" s="42"/>
      <c r="M13" s="43"/>
      <c r="N13" s="376"/>
      <c r="O13" s="40"/>
      <c r="P13" s="41"/>
      <c r="Q13" s="375"/>
      <c r="R13" s="42"/>
      <c r="S13" s="43"/>
      <c r="T13" s="376"/>
      <c r="U13" s="40"/>
      <c r="V13" s="41"/>
      <c r="W13" s="375"/>
      <c r="X13" s="42"/>
      <c r="Y13" s="43"/>
      <c r="Z13" s="376"/>
      <c r="AA13" s="40"/>
      <c r="AB13" s="41"/>
      <c r="AC13" s="375"/>
      <c r="AD13" s="42"/>
      <c r="AE13" s="43"/>
      <c r="AF13" s="44"/>
    </row>
    <row r="14" spans="1:32" ht="26.25" customHeight="1">
      <c r="A14" s="373" t="s">
        <v>81</v>
      </c>
      <c r="B14" s="117"/>
      <c r="C14" s="347"/>
      <c r="D14" s="348"/>
      <c r="E14" s="349"/>
      <c r="F14" s="38"/>
      <c r="G14" s="39"/>
      <c r="H14" s="374"/>
      <c r="I14" s="40"/>
      <c r="J14" s="41"/>
      <c r="K14" s="375"/>
      <c r="L14" s="42"/>
      <c r="M14" s="43"/>
      <c r="N14" s="376"/>
      <c r="O14" s="40"/>
      <c r="P14" s="41"/>
      <c r="Q14" s="375"/>
      <c r="R14" s="42"/>
      <c r="S14" s="43"/>
      <c r="T14" s="376"/>
      <c r="U14" s="40"/>
      <c r="V14" s="41"/>
      <c r="W14" s="375"/>
      <c r="X14" s="42"/>
      <c r="Y14" s="43"/>
      <c r="Z14" s="376"/>
      <c r="AA14" s="40"/>
      <c r="AB14" s="41"/>
      <c r="AC14" s="375"/>
      <c r="AD14" s="42"/>
      <c r="AE14" s="43"/>
      <c r="AF14" s="44"/>
    </row>
    <row r="15" spans="1:32" ht="26.25" customHeight="1">
      <c r="A15" s="377" t="s">
        <v>82</v>
      </c>
      <c r="B15" s="118"/>
      <c r="C15" s="350"/>
      <c r="D15" s="351"/>
      <c r="E15" s="352"/>
      <c r="F15" s="45"/>
      <c r="G15" s="46"/>
      <c r="H15" s="47"/>
      <c r="I15" s="48"/>
      <c r="J15" s="49"/>
      <c r="K15" s="378"/>
      <c r="L15" s="50"/>
      <c r="M15" s="51"/>
      <c r="N15" s="379"/>
      <c r="O15" s="48"/>
      <c r="P15" s="49"/>
      <c r="Q15" s="378"/>
      <c r="R15" s="50"/>
      <c r="S15" s="51"/>
      <c r="T15" s="379"/>
      <c r="U15" s="48"/>
      <c r="V15" s="49"/>
      <c r="W15" s="378"/>
      <c r="X15" s="50"/>
      <c r="Y15" s="51"/>
      <c r="Z15" s="379"/>
      <c r="AA15" s="48"/>
      <c r="AB15" s="49"/>
      <c r="AC15" s="378"/>
      <c r="AD15" s="50"/>
      <c r="AE15" s="51"/>
      <c r="AF15" s="52"/>
    </row>
    <row r="16" spans="1:32" ht="26.25" customHeight="1"/>
    <row r="17" spans="1:32" ht="26.25" customHeight="1"/>
    <row r="18" spans="1:32" ht="26.25" customHeight="1"/>
    <row r="19" spans="1:32" ht="26.25" customHeight="1"/>
    <row r="20" spans="1:32" ht="26.25" customHeight="1"/>
    <row r="21" spans="1:32" ht="26.25" customHeight="1"/>
    <row r="22" spans="1:32" ht="26.25" customHeight="1">
      <c r="A22" s="174"/>
      <c r="B22" s="174"/>
      <c r="C22" s="174"/>
      <c r="D22" s="174"/>
      <c r="E22" s="174"/>
      <c r="F22" s="174"/>
      <c r="G22" s="174"/>
      <c r="H22" s="174"/>
      <c r="I22" s="174"/>
      <c r="J22" s="174"/>
      <c r="K22" s="174"/>
      <c r="L22" s="174"/>
      <c r="M22" s="174"/>
      <c r="N22" s="174"/>
      <c r="O22" s="174"/>
      <c r="P22" s="174"/>
      <c r="Q22" s="174"/>
      <c r="R22" s="174"/>
      <c r="S22" s="174"/>
      <c r="T22" s="174"/>
      <c r="U22" s="174"/>
      <c r="V22" s="174"/>
      <c r="W22" s="174"/>
      <c r="X22" s="174"/>
      <c r="Y22" s="174"/>
      <c r="Z22" s="174"/>
      <c r="AA22" s="174"/>
      <c r="AB22" s="174"/>
      <c r="AC22" s="174"/>
      <c r="AD22" s="174"/>
      <c r="AE22" s="174"/>
      <c r="AF22" s="174"/>
    </row>
    <row r="23" spans="1:32" ht="39.6" customHeight="1">
      <c r="A23" s="370" t="s">
        <v>72</v>
      </c>
      <c r="B23" s="96"/>
      <c r="C23" s="320" t="s">
        <v>70</v>
      </c>
      <c r="D23" s="321"/>
      <c r="E23" s="322"/>
      <c r="F23" s="323" t="s">
        <v>70</v>
      </c>
      <c r="G23" s="324"/>
      <c r="H23" s="324"/>
      <c r="I23" s="320" t="s">
        <v>70</v>
      </c>
      <c r="J23" s="321"/>
      <c r="K23" s="322"/>
      <c r="L23" s="323" t="s">
        <v>70</v>
      </c>
      <c r="M23" s="324"/>
      <c r="N23" s="324"/>
      <c r="O23" s="320" t="s">
        <v>70</v>
      </c>
      <c r="P23" s="321"/>
      <c r="Q23" s="322"/>
      <c r="R23" s="323" t="s">
        <v>70</v>
      </c>
      <c r="S23" s="324"/>
      <c r="T23" s="324"/>
      <c r="U23" s="320" t="s">
        <v>70</v>
      </c>
      <c r="V23" s="321"/>
      <c r="W23" s="322"/>
      <c r="X23" s="323" t="s">
        <v>70</v>
      </c>
      <c r="Y23" s="324"/>
      <c r="Z23" s="324"/>
      <c r="AA23" s="320" t="s">
        <v>70</v>
      </c>
      <c r="AB23" s="321"/>
      <c r="AC23" s="322"/>
      <c r="AD23" s="323" t="s">
        <v>70</v>
      </c>
      <c r="AE23" s="324"/>
      <c r="AF23" s="324"/>
    </row>
    <row r="24" spans="1:32" ht="26.25" customHeight="1">
      <c r="A24" s="371"/>
      <c r="B24" s="116"/>
      <c r="C24" s="33" t="str">
        <f>IF(C23&lt;&gt;" ","A","")</f>
        <v/>
      </c>
      <c r="D24" s="34" t="str">
        <f>IF(C23&lt;&gt;" ","L","")</f>
        <v/>
      </c>
      <c r="E24" s="35" t="str">
        <f>IF(C23&lt;&gt;" ","V","")</f>
        <v/>
      </c>
      <c r="F24" s="31" t="str">
        <f>IF(F23&lt;&gt;" ","A","")</f>
        <v/>
      </c>
      <c r="G24" s="32" t="str">
        <f>IF(F23&lt;&gt;" ","L","")</f>
        <v/>
      </c>
      <c r="H24" s="372" t="str">
        <f>IF(F23&lt;&gt;" ","V","")</f>
        <v/>
      </c>
      <c r="I24" s="33" t="str">
        <f>IF(I23&lt;&gt;" ","A","")</f>
        <v/>
      </c>
      <c r="J24" s="34" t="str">
        <f>IF(I23&lt;&gt;" ","L","")</f>
        <v/>
      </c>
      <c r="K24" s="35" t="str">
        <f>IF(I23&lt;&gt;" ","V","")</f>
        <v/>
      </c>
      <c r="L24" s="31" t="str">
        <f>IF(L23&lt;&gt;" ","A","")</f>
        <v/>
      </c>
      <c r="M24" s="32" t="str">
        <f>IF(L23&lt;&gt;" ","L","")</f>
        <v/>
      </c>
      <c r="N24" s="372" t="str">
        <f>IF(L23&lt;&gt;" ","V","")</f>
        <v/>
      </c>
      <c r="O24" s="33" t="str">
        <f>IF(O23&lt;&gt;" ","A","")</f>
        <v/>
      </c>
      <c r="P24" s="34" t="str">
        <f>IF(O23&lt;&gt;" ","L","")</f>
        <v/>
      </c>
      <c r="Q24" s="35" t="str">
        <f>IF(O23&lt;&gt;" ","V","")</f>
        <v/>
      </c>
      <c r="R24" s="31" t="str">
        <f>IF(R23&lt;&gt;" ","A","")</f>
        <v/>
      </c>
      <c r="S24" s="32" t="str">
        <f>IF(R23&lt;&gt;" ","L","")</f>
        <v/>
      </c>
      <c r="T24" s="372" t="str">
        <f>IF(R23&lt;&gt;" ","V","")</f>
        <v/>
      </c>
      <c r="U24" s="33" t="str">
        <f>IF(U23&lt;&gt;" ","A","")</f>
        <v/>
      </c>
      <c r="V24" s="34" t="str">
        <f>IF(U23&lt;&gt;" ","L","")</f>
        <v/>
      </c>
      <c r="W24" s="35" t="str">
        <f>IF(U23&lt;&gt;" ","V","")</f>
        <v/>
      </c>
      <c r="X24" s="31" t="str">
        <f>IF(X23&lt;&gt;" ","A","")</f>
        <v/>
      </c>
      <c r="Y24" s="32" t="str">
        <f>IF(X23&lt;&gt;" ","L","")</f>
        <v/>
      </c>
      <c r="Z24" s="372" t="str">
        <f>IF(X23&lt;&gt;" ","V","")</f>
        <v/>
      </c>
      <c r="AA24" s="33" t="str">
        <f>IF(AA23&lt;&gt;" ","A","")</f>
        <v/>
      </c>
      <c r="AB24" s="34" t="str">
        <f>IF(AA23&lt;&gt;" ","L","")</f>
        <v/>
      </c>
      <c r="AC24" s="35" t="str">
        <f>IF(AA23&lt;&gt;" ","V","")</f>
        <v/>
      </c>
      <c r="AD24" s="31" t="str">
        <f>IF(AD23&lt;&gt;" ","A","")</f>
        <v/>
      </c>
      <c r="AE24" s="32" t="str">
        <f>IF(AD23&lt;&gt;" ","L","")</f>
        <v/>
      </c>
      <c r="AF24" s="372" t="str">
        <f>IF(AD23&lt;&gt;" ","V","")</f>
        <v/>
      </c>
    </row>
    <row r="25" spans="1:32" ht="26.25" customHeight="1">
      <c r="A25" s="373" t="s">
        <v>78</v>
      </c>
      <c r="B25" s="117"/>
      <c r="C25" s="347"/>
      <c r="D25" s="348"/>
      <c r="E25" s="349"/>
      <c r="F25" s="38"/>
      <c r="G25" s="39"/>
      <c r="H25" s="374"/>
      <c r="I25" s="40"/>
      <c r="J25" s="41"/>
      <c r="K25" s="375"/>
      <c r="L25" s="42"/>
      <c r="M25" s="43"/>
      <c r="N25" s="376"/>
      <c r="O25" s="40"/>
      <c r="P25" s="41"/>
      <c r="Q25" s="375"/>
      <c r="R25" s="42"/>
      <c r="S25" s="43"/>
      <c r="T25" s="376"/>
      <c r="U25" s="40"/>
      <c r="V25" s="41"/>
      <c r="W25" s="375"/>
      <c r="X25" s="42"/>
      <c r="Y25" s="43"/>
      <c r="Z25" s="376"/>
      <c r="AA25" s="40"/>
      <c r="AB25" s="41"/>
      <c r="AC25" s="375"/>
      <c r="AD25" s="42"/>
      <c r="AE25" s="43"/>
      <c r="AF25" s="44"/>
    </row>
    <row r="26" spans="1:32" ht="26.25" customHeight="1">
      <c r="A26" s="373" t="s">
        <v>79</v>
      </c>
      <c r="B26" s="117"/>
      <c r="C26" s="347"/>
      <c r="D26" s="348"/>
      <c r="E26" s="349"/>
      <c r="F26" s="38"/>
      <c r="G26" s="39"/>
      <c r="H26" s="374"/>
      <c r="I26" s="40"/>
      <c r="J26" s="41"/>
      <c r="K26" s="375"/>
      <c r="L26" s="42"/>
      <c r="M26" s="43"/>
      <c r="N26" s="376"/>
      <c r="O26" s="40"/>
      <c r="P26" s="41"/>
      <c r="Q26" s="375"/>
      <c r="R26" s="42"/>
      <c r="S26" s="43"/>
      <c r="T26" s="376"/>
      <c r="U26" s="40"/>
      <c r="V26" s="41"/>
      <c r="W26" s="375"/>
      <c r="X26" s="42"/>
      <c r="Y26" s="43"/>
      <c r="Z26" s="376"/>
      <c r="AA26" s="40"/>
      <c r="AB26" s="41"/>
      <c r="AC26" s="375"/>
      <c r="AD26" s="42"/>
      <c r="AE26" s="43"/>
      <c r="AF26" s="44"/>
    </row>
    <row r="27" spans="1:32" ht="26.25" customHeight="1">
      <c r="A27" s="373" t="s">
        <v>80</v>
      </c>
      <c r="B27" s="117"/>
      <c r="C27" s="347"/>
      <c r="D27" s="348"/>
      <c r="E27" s="349"/>
      <c r="F27" s="38"/>
      <c r="G27" s="39"/>
      <c r="H27" s="374"/>
      <c r="I27" s="40"/>
      <c r="J27" s="41"/>
      <c r="K27" s="375"/>
      <c r="L27" s="42"/>
      <c r="M27" s="43"/>
      <c r="N27" s="376"/>
      <c r="O27" s="40"/>
      <c r="P27" s="41"/>
      <c r="Q27" s="375"/>
      <c r="R27" s="42"/>
      <c r="S27" s="43"/>
      <c r="T27" s="376"/>
      <c r="U27" s="40"/>
      <c r="V27" s="41"/>
      <c r="W27" s="375"/>
      <c r="X27" s="42"/>
      <c r="Y27" s="43"/>
      <c r="Z27" s="376"/>
      <c r="AA27" s="40"/>
      <c r="AB27" s="41"/>
      <c r="AC27" s="375"/>
      <c r="AD27" s="42"/>
      <c r="AE27" s="43"/>
      <c r="AF27" s="44"/>
    </row>
    <row r="28" spans="1:32" ht="26.25" customHeight="1">
      <c r="A28" s="373" t="s">
        <v>81</v>
      </c>
      <c r="B28" s="117"/>
      <c r="C28" s="347"/>
      <c r="D28" s="348"/>
      <c r="E28" s="349"/>
      <c r="F28" s="38"/>
      <c r="G28" s="39"/>
      <c r="H28" s="374"/>
      <c r="I28" s="40"/>
      <c r="J28" s="41"/>
      <c r="K28" s="375"/>
      <c r="L28" s="42"/>
      <c r="M28" s="43"/>
      <c r="N28" s="376"/>
      <c r="O28" s="40"/>
      <c r="P28" s="41"/>
      <c r="Q28" s="375"/>
      <c r="R28" s="42"/>
      <c r="S28" s="43"/>
      <c r="T28" s="376"/>
      <c r="U28" s="40"/>
      <c r="V28" s="41"/>
      <c r="W28" s="375"/>
      <c r="X28" s="42"/>
      <c r="Y28" s="43"/>
      <c r="Z28" s="376"/>
      <c r="AA28" s="40"/>
      <c r="AB28" s="41"/>
      <c r="AC28" s="375"/>
      <c r="AD28" s="42"/>
      <c r="AE28" s="43"/>
      <c r="AF28" s="44"/>
    </row>
    <row r="29" spans="1:32" ht="26.25" customHeight="1">
      <c r="A29" s="377" t="s">
        <v>82</v>
      </c>
      <c r="B29" s="118"/>
      <c r="C29" s="350"/>
      <c r="D29" s="351"/>
      <c r="E29" s="352"/>
      <c r="F29" s="45"/>
      <c r="G29" s="46"/>
      <c r="H29" s="47"/>
      <c r="I29" s="48"/>
      <c r="J29" s="49"/>
      <c r="K29" s="378"/>
      <c r="L29" s="50"/>
      <c r="M29" s="51"/>
      <c r="N29" s="379"/>
      <c r="O29" s="48"/>
      <c r="P29" s="49"/>
      <c r="Q29" s="378"/>
      <c r="R29" s="50"/>
      <c r="S29" s="51"/>
      <c r="T29" s="379"/>
      <c r="U29" s="48"/>
      <c r="V29" s="49"/>
      <c r="W29" s="378"/>
      <c r="X29" s="50"/>
      <c r="Y29" s="51"/>
      <c r="Z29" s="379"/>
      <c r="AA29" s="48"/>
      <c r="AB29" s="49"/>
      <c r="AC29" s="378"/>
      <c r="AD29" s="50"/>
      <c r="AE29" s="51"/>
      <c r="AF29" s="52"/>
    </row>
    <row r="30" spans="1:32" ht="39.6" customHeight="1">
      <c r="A30" s="370"/>
      <c r="B30" s="96"/>
      <c r="C30" s="320" t="s">
        <v>70</v>
      </c>
      <c r="D30" s="321"/>
      <c r="E30" s="322"/>
      <c r="F30" s="323" t="s">
        <v>70</v>
      </c>
      <c r="G30" s="324"/>
      <c r="H30" s="324"/>
      <c r="I30" s="320" t="s">
        <v>70</v>
      </c>
      <c r="J30" s="321"/>
      <c r="K30" s="322"/>
      <c r="L30" s="323" t="s">
        <v>70</v>
      </c>
      <c r="M30" s="324"/>
      <c r="N30" s="324"/>
      <c r="O30" s="320" t="s">
        <v>70</v>
      </c>
      <c r="P30" s="321"/>
      <c r="Q30" s="322"/>
      <c r="R30" s="323" t="s">
        <v>70</v>
      </c>
      <c r="S30" s="324"/>
      <c r="T30" s="324"/>
      <c r="U30" s="320" t="s">
        <v>70</v>
      </c>
      <c r="V30" s="321"/>
      <c r="W30" s="322"/>
      <c r="X30" s="323" t="s">
        <v>70</v>
      </c>
      <c r="Y30" s="324"/>
      <c r="Z30" s="324"/>
      <c r="AA30" s="320" t="s">
        <v>70</v>
      </c>
      <c r="AB30" s="321"/>
      <c r="AC30" s="322"/>
      <c r="AD30" s="323" t="s">
        <v>70</v>
      </c>
      <c r="AE30" s="324"/>
      <c r="AF30" s="324"/>
    </row>
    <row r="31" spans="1:32" ht="26.25" customHeight="1">
      <c r="A31" s="371"/>
      <c r="B31" s="116"/>
      <c r="C31" s="33" t="str">
        <f>IF(C30&lt;&gt;" ","A","")</f>
        <v/>
      </c>
      <c r="D31" s="34" t="str">
        <f>IF(C30&lt;&gt;" ","L","")</f>
        <v/>
      </c>
      <c r="E31" s="35" t="str">
        <f>IF(C30&lt;&gt;" ","V","")</f>
        <v/>
      </c>
      <c r="F31" s="31" t="str">
        <f>IF(F30&lt;&gt;" ","A","")</f>
        <v/>
      </c>
      <c r="G31" s="32" t="str">
        <f>IF(F30&lt;&gt;" ","L","")</f>
        <v/>
      </c>
      <c r="H31" s="372" t="str">
        <f>IF(F30&lt;&gt;" ","V","")</f>
        <v/>
      </c>
      <c r="I31" s="33" t="str">
        <f>IF(I30&lt;&gt;" ","A","")</f>
        <v/>
      </c>
      <c r="J31" s="34" t="str">
        <f>IF(I30&lt;&gt;" ","L","")</f>
        <v/>
      </c>
      <c r="K31" s="35" t="str">
        <f>IF(I30&lt;&gt;" ","V","")</f>
        <v/>
      </c>
      <c r="L31" s="31" t="str">
        <f>IF(L30&lt;&gt;" ","A","")</f>
        <v/>
      </c>
      <c r="M31" s="32" t="str">
        <f>IF(L30&lt;&gt;" ","L","")</f>
        <v/>
      </c>
      <c r="N31" s="372" t="str">
        <f>IF(L30&lt;&gt;" ","V","")</f>
        <v/>
      </c>
      <c r="O31" s="33" t="str">
        <f>IF(O30&lt;&gt;" ","A","")</f>
        <v/>
      </c>
      <c r="P31" s="34" t="str">
        <f>IF(O30&lt;&gt;" ","L","")</f>
        <v/>
      </c>
      <c r="Q31" s="35" t="str">
        <f>IF(O30&lt;&gt;" ","V","")</f>
        <v/>
      </c>
      <c r="R31" s="31" t="str">
        <f>IF(R30&lt;&gt;" ","A","")</f>
        <v/>
      </c>
      <c r="S31" s="32" t="str">
        <f>IF(R30&lt;&gt;" ","L","")</f>
        <v/>
      </c>
      <c r="T31" s="372" t="str">
        <f>IF(R30&lt;&gt;" ","V","")</f>
        <v/>
      </c>
      <c r="U31" s="33" t="str">
        <f>IF(U30&lt;&gt;" ","A","")</f>
        <v/>
      </c>
      <c r="V31" s="34" t="str">
        <f>IF(U30&lt;&gt;" ","L","")</f>
        <v/>
      </c>
      <c r="W31" s="35" t="str">
        <f>IF(U30&lt;&gt;" ","V","")</f>
        <v/>
      </c>
      <c r="X31" s="31" t="str">
        <f>IF(X30&lt;&gt;" ","A","")</f>
        <v/>
      </c>
      <c r="Y31" s="32" t="str">
        <f>IF(X30&lt;&gt;" ","L","")</f>
        <v/>
      </c>
      <c r="Z31" s="372" t="str">
        <f>IF(X30&lt;&gt;" ","V","")</f>
        <v/>
      </c>
      <c r="AA31" s="33" t="str">
        <f>IF(AA30&lt;&gt;" ","A","")</f>
        <v/>
      </c>
      <c r="AB31" s="34" t="str">
        <f>IF(AA30&lt;&gt;" ","L","")</f>
        <v/>
      </c>
      <c r="AC31" s="35" t="str">
        <f>IF(AA30&lt;&gt;" ","V","")</f>
        <v/>
      </c>
      <c r="AD31" s="31" t="str">
        <f>IF(AD30&lt;&gt;" ","A","")</f>
        <v/>
      </c>
      <c r="AE31" s="32" t="str">
        <f>IF(AD30&lt;&gt;" ","L","")</f>
        <v/>
      </c>
      <c r="AF31" s="372" t="str">
        <f>IF(AD30&lt;&gt;" ","V","")</f>
        <v/>
      </c>
    </row>
    <row r="32" spans="1:32" ht="26.25" customHeight="1">
      <c r="A32" s="373" t="s">
        <v>78</v>
      </c>
      <c r="B32" s="117"/>
      <c r="C32" s="347"/>
      <c r="D32" s="348"/>
      <c r="E32" s="349"/>
      <c r="F32" s="38"/>
      <c r="G32" s="39"/>
      <c r="H32" s="374"/>
      <c r="I32" s="40"/>
      <c r="J32" s="41"/>
      <c r="K32" s="375"/>
      <c r="L32" s="42"/>
      <c r="M32" s="43"/>
      <c r="N32" s="376"/>
      <c r="O32" s="40"/>
      <c r="P32" s="41"/>
      <c r="Q32" s="375"/>
      <c r="R32" s="42"/>
      <c r="S32" s="43"/>
      <c r="T32" s="376"/>
      <c r="U32" s="40"/>
      <c r="V32" s="41"/>
      <c r="W32" s="375"/>
      <c r="X32" s="42"/>
      <c r="Y32" s="43"/>
      <c r="Z32" s="376"/>
      <c r="AA32" s="40"/>
      <c r="AB32" s="41"/>
      <c r="AC32" s="375"/>
      <c r="AD32" s="42"/>
      <c r="AE32" s="43"/>
      <c r="AF32" s="44"/>
    </row>
    <row r="33" spans="1:32" ht="26.25" customHeight="1">
      <c r="A33" s="373" t="s">
        <v>79</v>
      </c>
      <c r="B33" s="117"/>
      <c r="C33" s="347"/>
      <c r="D33" s="348"/>
      <c r="E33" s="349"/>
      <c r="F33" s="38"/>
      <c r="G33" s="39"/>
      <c r="H33" s="374"/>
      <c r="I33" s="40"/>
      <c r="J33" s="41"/>
      <c r="K33" s="375"/>
      <c r="L33" s="42"/>
      <c r="M33" s="43"/>
      <c r="N33" s="376"/>
      <c r="O33" s="40"/>
      <c r="P33" s="41"/>
      <c r="Q33" s="375"/>
      <c r="R33" s="42"/>
      <c r="S33" s="43"/>
      <c r="T33" s="376"/>
      <c r="U33" s="40"/>
      <c r="V33" s="41"/>
      <c r="W33" s="375"/>
      <c r="X33" s="42"/>
      <c r="Y33" s="43"/>
      <c r="Z33" s="376"/>
      <c r="AA33" s="40"/>
      <c r="AB33" s="41"/>
      <c r="AC33" s="375"/>
      <c r="AD33" s="42"/>
      <c r="AE33" s="43"/>
      <c r="AF33" s="44"/>
    </row>
    <row r="34" spans="1:32" ht="26.25" customHeight="1">
      <c r="A34" s="373" t="s">
        <v>80</v>
      </c>
      <c r="B34" s="117"/>
      <c r="C34" s="347"/>
      <c r="D34" s="348"/>
      <c r="E34" s="349"/>
      <c r="F34" s="38"/>
      <c r="G34" s="39"/>
      <c r="H34" s="374"/>
      <c r="I34" s="40"/>
      <c r="J34" s="41"/>
      <c r="K34" s="375"/>
      <c r="L34" s="42"/>
      <c r="M34" s="43"/>
      <c r="N34" s="376"/>
      <c r="O34" s="40"/>
      <c r="P34" s="41"/>
      <c r="Q34" s="375"/>
      <c r="R34" s="42"/>
      <c r="S34" s="43"/>
      <c r="T34" s="376"/>
      <c r="U34" s="40"/>
      <c r="V34" s="41"/>
      <c r="W34" s="375"/>
      <c r="X34" s="42"/>
      <c r="Y34" s="43"/>
      <c r="Z34" s="376"/>
      <c r="AA34" s="40"/>
      <c r="AB34" s="41"/>
      <c r="AC34" s="375"/>
      <c r="AD34" s="42"/>
      <c r="AE34" s="43"/>
      <c r="AF34" s="44"/>
    </row>
    <row r="35" spans="1:32" ht="26.25" customHeight="1">
      <c r="A35" s="373" t="s">
        <v>81</v>
      </c>
      <c r="B35" s="117"/>
      <c r="C35" s="347"/>
      <c r="D35" s="348"/>
      <c r="E35" s="349"/>
      <c r="F35" s="38"/>
      <c r="G35" s="39"/>
      <c r="H35" s="374"/>
      <c r="I35" s="40"/>
      <c r="J35" s="41"/>
      <c r="K35" s="375"/>
      <c r="L35" s="42"/>
      <c r="M35" s="43"/>
      <c r="N35" s="376"/>
      <c r="O35" s="40"/>
      <c r="P35" s="41"/>
      <c r="Q35" s="375"/>
      <c r="R35" s="42"/>
      <c r="S35" s="43"/>
      <c r="T35" s="376"/>
      <c r="U35" s="40"/>
      <c r="V35" s="41"/>
      <c r="W35" s="375"/>
      <c r="X35" s="42"/>
      <c r="Y35" s="43"/>
      <c r="Z35" s="376"/>
      <c r="AA35" s="40"/>
      <c r="AB35" s="41"/>
      <c r="AC35" s="375"/>
      <c r="AD35" s="42"/>
      <c r="AE35" s="43"/>
      <c r="AF35" s="44"/>
    </row>
    <row r="36" spans="1:32" ht="26.25" customHeight="1">
      <c r="A36" s="377" t="s">
        <v>82</v>
      </c>
      <c r="B36" s="118"/>
      <c r="C36" s="350"/>
      <c r="D36" s="351"/>
      <c r="E36" s="352"/>
      <c r="F36" s="45"/>
      <c r="G36" s="46"/>
      <c r="H36" s="47"/>
      <c r="I36" s="48"/>
      <c r="J36" s="49"/>
      <c r="K36" s="378"/>
      <c r="L36" s="50"/>
      <c r="M36" s="51"/>
      <c r="N36" s="379"/>
      <c r="O36" s="48"/>
      <c r="P36" s="49"/>
      <c r="Q36" s="378"/>
      <c r="R36" s="50"/>
      <c r="S36" s="51"/>
      <c r="T36" s="379"/>
      <c r="U36" s="48"/>
      <c r="V36" s="49"/>
      <c r="W36" s="378"/>
      <c r="X36" s="50"/>
      <c r="Y36" s="51"/>
      <c r="Z36" s="379"/>
      <c r="AA36" s="48"/>
      <c r="AB36" s="49"/>
      <c r="AC36" s="378"/>
      <c r="AD36" s="50"/>
      <c r="AE36" s="51"/>
      <c r="AF36" s="52"/>
    </row>
  </sheetData>
  <sheetProtection formatCells="0" formatColumns="0" formatRows="0"/>
  <dataConsolidate/>
  <mergeCells count="3">
    <mergeCell ref="A1:B1"/>
    <mergeCell ref="D1:E1"/>
    <mergeCell ref="C2:E2"/>
  </mergeCells>
  <printOptions horizontalCentered="1"/>
  <pageMargins left="0" right="0" top="0.23622047244094491" bottom="0" header="0.31496062992125984" footer="0.31496062992125984"/>
  <pageSetup paperSize="9" fitToHeight="0" orientation="landscape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E1A68-B8F1-4581-9B09-09E586500D29}">
  <sheetPr codeName="Taul15">
    <tabColor rgb="FFFFC000"/>
  </sheetPr>
  <dimension ref="A1:V36"/>
  <sheetViews>
    <sheetView showGridLines="0" showZeros="0" zoomScale="115" zoomScaleNormal="115" workbookViewId="0">
      <selection sqref="A1:B1"/>
    </sheetView>
  </sheetViews>
  <sheetFormatPr defaultColWidth="15.140625" defaultRowHeight="15" customHeight="1"/>
  <cols>
    <col min="1" max="1" width="4.42578125" customWidth="1"/>
    <col min="2" max="2" width="4.42578125" style="13" customWidth="1"/>
    <col min="3" max="4" width="6.5703125" style="13" customWidth="1"/>
    <col min="5" max="22" width="6.5703125" customWidth="1"/>
  </cols>
  <sheetData>
    <row r="1" spans="1:22" ht="26.25" customHeight="1">
      <c r="A1" s="630"/>
      <c r="B1" s="631"/>
      <c r="C1" s="189" t="s">
        <v>71</v>
      </c>
      <c r="D1" s="610"/>
      <c r="E1" s="610"/>
      <c r="F1" s="95"/>
      <c r="G1" s="95"/>
      <c r="H1" s="95"/>
      <c r="I1" s="28"/>
      <c r="J1" s="28"/>
      <c r="K1" s="29"/>
      <c r="L1" s="29"/>
      <c r="M1" s="29"/>
      <c r="N1" s="29"/>
      <c r="O1" s="29"/>
      <c r="P1" s="29"/>
      <c r="Q1" s="25"/>
      <c r="R1" s="25"/>
      <c r="S1" s="25"/>
      <c r="T1" s="25"/>
      <c r="U1" s="25"/>
      <c r="V1" s="25"/>
    </row>
    <row r="2" spans="1:22" s="30" customFormat="1" ht="39.6" customHeight="1">
      <c r="A2" s="183" t="s">
        <v>72</v>
      </c>
      <c r="B2" s="115" t="s">
        <v>73</v>
      </c>
      <c r="C2" s="317" t="s">
        <v>83</v>
      </c>
      <c r="D2" s="318"/>
      <c r="E2" s="314" t="s">
        <v>70</v>
      </c>
      <c r="F2" s="314"/>
      <c r="G2" s="315" t="s">
        <v>70</v>
      </c>
      <c r="H2" s="316"/>
      <c r="I2" s="314" t="s">
        <v>70</v>
      </c>
      <c r="J2" s="314"/>
      <c r="K2" s="315" t="s">
        <v>70</v>
      </c>
      <c r="L2" s="316"/>
      <c r="M2" s="314" t="s">
        <v>70</v>
      </c>
      <c r="N2" s="314"/>
      <c r="O2" s="315" t="s">
        <v>70</v>
      </c>
      <c r="P2" s="316"/>
      <c r="Q2" s="314" t="s">
        <v>70</v>
      </c>
      <c r="R2" s="314"/>
      <c r="S2" s="315" t="s">
        <v>70</v>
      </c>
      <c r="T2" s="316"/>
      <c r="U2" s="314" t="s">
        <v>70</v>
      </c>
      <c r="V2" s="314"/>
    </row>
    <row r="3" spans="1:22" ht="26.25" customHeight="1">
      <c r="A3" s="184"/>
      <c r="B3" s="116"/>
      <c r="C3" s="33" t="s">
        <v>68</v>
      </c>
      <c r="D3" s="35" t="s">
        <v>84</v>
      </c>
      <c r="E3" s="36" t="str">
        <f>IF(E2&lt;&gt;" ","P","")</f>
        <v/>
      </c>
      <c r="F3" s="301" t="str">
        <f>IF(E2&lt;&gt;" ","I","")</f>
        <v/>
      </c>
      <c r="G3" s="119" t="str">
        <f>IF(G2&lt;&gt;" ","P","")</f>
        <v/>
      </c>
      <c r="H3" s="302" t="str">
        <f>IF(G2&lt;&gt;" ","I","")</f>
        <v/>
      </c>
      <c r="I3" s="36" t="str">
        <f>IF(I2&lt;&gt;" ","P","")</f>
        <v/>
      </c>
      <c r="J3" s="301" t="str">
        <f>IF(I2&lt;&gt;" ","I","")</f>
        <v/>
      </c>
      <c r="K3" s="119" t="str">
        <f>IF(K2&lt;&gt;" ","P","")</f>
        <v/>
      </c>
      <c r="L3" s="302" t="str">
        <f>IF(K2&lt;&gt;" ","I","")</f>
        <v/>
      </c>
      <c r="M3" s="36" t="str">
        <f>IF(M2&lt;&gt;" ","P","")</f>
        <v/>
      </c>
      <c r="N3" s="301" t="str">
        <f>IF(M2&lt;&gt;" ","I","")</f>
        <v/>
      </c>
      <c r="O3" s="119" t="str">
        <f>IF(O2&lt;&gt;" ","P","")</f>
        <v/>
      </c>
      <c r="P3" s="302" t="str">
        <f>IF(O2&lt;&gt;" ","I","")</f>
        <v/>
      </c>
      <c r="Q3" s="36" t="str">
        <f>IF(Q2&lt;&gt;" ","P","")</f>
        <v/>
      </c>
      <c r="R3" s="301" t="str">
        <f>IF(Q2&lt;&gt;" ","I","")</f>
        <v/>
      </c>
      <c r="S3" s="119" t="str">
        <f>IF(S2&lt;&gt;" ","P","")</f>
        <v/>
      </c>
      <c r="T3" s="302" t="str">
        <f>IF(S2&lt;&gt;" ","I","")</f>
        <v/>
      </c>
      <c r="U3" s="36" t="str">
        <f>IF(U2&lt;&gt;" ","P","")</f>
        <v/>
      </c>
      <c r="V3" s="301" t="str">
        <f>IF(U2&lt;&gt;" ","I","")</f>
        <v/>
      </c>
    </row>
    <row r="4" spans="1:22" ht="26.25" customHeight="1">
      <c r="A4" s="185" t="s">
        <v>78</v>
      </c>
      <c r="B4" s="117"/>
      <c r="C4" s="179"/>
      <c r="D4" s="180"/>
      <c r="E4" s="177"/>
      <c r="F4" s="97"/>
      <c r="G4" s="144"/>
      <c r="H4" s="146"/>
      <c r="I4" s="43"/>
      <c r="J4" s="303"/>
      <c r="K4" s="40"/>
      <c r="L4" s="100"/>
      <c r="M4" s="305"/>
      <c r="N4" s="108"/>
      <c r="O4" s="175"/>
      <c r="P4" s="112"/>
      <c r="Q4" s="307"/>
      <c r="R4" s="44"/>
      <c r="S4" s="144"/>
      <c r="T4" s="146"/>
      <c r="U4" s="311"/>
      <c r="V4" s="217"/>
    </row>
    <row r="5" spans="1:22" ht="26.25" customHeight="1">
      <c r="A5" s="185" t="s">
        <v>79</v>
      </c>
      <c r="B5" s="117"/>
      <c r="C5" s="179"/>
      <c r="D5" s="180"/>
      <c r="E5" s="177"/>
      <c r="F5" s="97"/>
      <c r="G5" s="40"/>
      <c r="H5" s="100"/>
      <c r="I5" s="43"/>
      <c r="J5" s="303"/>
      <c r="K5" s="40"/>
      <c r="L5" s="100"/>
      <c r="M5" s="305"/>
      <c r="N5" s="108"/>
      <c r="O5" s="175"/>
      <c r="P5" s="112"/>
      <c r="Q5" s="307"/>
      <c r="R5" s="44"/>
      <c r="S5" s="40"/>
      <c r="T5" s="100"/>
      <c r="U5" s="307"/>
      <c r="V5" s="105"/>
    </row>
    <row r="6" spans="1:22" ht="26.25" customHeight="1">
      <c r="A6" s="185" t="s">
        <v>80</v>
      </c>
      <c r="B6" s="117"/>
      <c r="C6" s="179"/>
      <c r="D6" s="180"/>
      <c r="E6" s="177"/>
      <c r="F6" s="97"/>
      <c r="G6" s="40"/>
      <c r="H6" s="100"/>
      <c r="I6" s="43"/>
      <c r="J6" s="303"/>
      <c r="K6" s="40"/>
      <c r="L6" s="100"/>
      <c r="M6" s="305"/>
      <c r="N6" s="108"/>
      <c r="O6" s="175"/>
      <c r="P6" s="112"/>
      <c r="Q6" s="307"/>
      <c r="R6" s="44"/>
      <c r="S6" s="40"/>
      <c r="T6" s="100"/>
      <c r="U6" s="309"/>
      <c r="V6" s="199"/>
    </row>
    <row r="7" spans="1:22" ht="26.25" customHeight="1">
      <c r="A7" s="185" t="s">
        <v>81</v>
      </c>
      <c r="B7" s="117"/>
      <c r="C7" s="179"/>
      <c r="D7" s="180"/>
      <c r="E7" s="177"/>
      <c r="F7" s="97"/>
      <c r="G7" s="144"/>
      <c r="H7" s="146"/>
      <c r="I7" s="43"/>
      <c r="J7" s="303"/>
      <c r="K7" s="40"/>
      <c r="L7" s="100"/>
      <c r="M7" s="305"/>
      <c r="N7" s="108"/>
      <c r="O7" s="175"/>
      <c r="P7" s="112"/>
      <c r="Q7" s="307"/>
      <c r="R7" s="44"/>
      <c r="S7" s="144"/>
      <c r="T7" s="146"/>
      <c r="U7" s="311"/>
      <c r="V7" s="217"/>
    </row>
    <row r="8" spans="1:22" ht="26.25" customHeight="1">
      <c r="A8" s="186" t="s">
        <v>82</v>
      </c>
      <c r="B8" s="118"/>
      <c r="C8" s="181"/>
      <c r="D8" s="182"/>
      <c r="E8" s="178"/>
      <c r="F8" s="47"/>
      <c r="G8" s="163"/>
      <c r="H8" s="164"/>
      <c r="I8" s="51"/>
      <c r="J8" s="304"/>
      <c r="K8" s="48"/>
      <c r="L8" s="101"/>
      <c r="M8" s="306"/>
      <c r="N8" s="110"/>
      <c r="O8" s="176"/>
      <c r="P8" s="114"/>
      <c r="Q8" s="308"/>
      <c r="R8" s="52"/>
      <c r="S8" s="151"/>
      <c r="T8" s="153"/>
      <c r="U8" s="310"/>
      <c r="V8" s="133"/>
    </row>
    <row r="9" spans="1:22" ht="39.6" customHeight="1">
      <c r="A9" s="187"/>
      <c r="B9" s="96"/>
      <c r="C9" s="315" t="s">
        <v>70</v>
      </c>
      <c r="D9" s="316"/>
      <c r="E9" s="314" t="s">
        <v>70</v>
      </c>
      <c r="F9" s="314"/>
      <c r="G9" s="315" t="s">
        <v>70</v>
      </c>
      <c r="H9" s="316"/>
      <c r="I9" s="314" t="s">
        <v>70</v>
      </c>
      <c r="J9" s="314"/>
      <c r="K9" s="315" t="s">
        <v>70</v>
      </c>
      <c r="L9" s="316"/>
      <c r="M9" s="314" t="s">
        <v>70</v>
      </c>
      <c r="N9" s="314"/>
      <c r="O9" s="315" t="s">
        <v>70</v>
      </c>
      <c r="P9" s="316"/>
      <c r="Q9" s="314" t="s">
        <v>70</v>
      </c>
      <c r="R9" s="314"/>
      <c r="S9" s="315" t="s">
        <v>70</v>
      </c>
      <c r="T9" s="316"/>
      <c r="U9" s="314" t="s">
        <v>70</v>
      </c>
      <c r="V9" s="314"/>
    </row>
    <row r="10" spans="1:22" ht="26.25" customHeight="1">
      <c r="A10" s="184"/>
      <c r="B10" s="116"/>
      <c r="C10" s="119" t="str">
        <f>IF(C9&lt;&gt;" ","P","")</f>
        <v/>
      </c>
      <c r="D10" s="302" t="str">
        <f>IF(C9&lt;&gt;" ","I","")</f>
        <v/>
      </c>
      <c r="E10" s="36" t="str">
        <f>IF(E9&lt;&gt;" ","P","")</f>
        <v/>
      </c>
      <c r="F10" s="301" t="str">
        <f>IF(E9&lt;&gt;" ","I","")</f>
        <v/>
      </c>
      <c r="G10" s="119" t="str">
        <f>IF(G9&lt;&gt;" ","P","")</f>
        <v/>
      </c>
      <c r="H10" s="302" t="str">
        <f>IF(G9&lt;&gt;" ","I","")</f>
        <v/>
      </c>
      <c r="I10" s="36" t="str">
        <f>IF(I9&lt;&gt;" ","P","")</f>
        <v/>
      </c>
      <c r="J10" s="301" t="str">
        <f>IF(I9&lt;&gt;" ","I","")</f>
        <v/>
      </c>
      <c r="K10" s="119" t="str">
        <f>IF(K9&lt;&gt;" ","P","")</f>
        <v/>
      </c>
      <c r="L10" s="302" t="str">
        <f>IF(K9&lt;&gt;" ","I","")</f>
        <v/>
      </c>
      <c r="M10" s="36" t="str">
        <f>IF(M9&lt;&gt;" ","P","")</f>
        <v/>
      </c>
      <c r="N10" s="301" t="str">
        <f>IF(M9&lt;&gt;" ","I","")</f>
        <v/>
      </c>
      <c r="O10" s="119" t="str">
        <f>IF(O9&lt;&gt;" ","P","")</f>
        <v/>
      </c>
      <c r="P10" s="302" t="str">
        <f>IF(O9&lt;&gt;" ","I","")</f>
        <v/>
      </c>
      <c r="Q10" s="36" t="str">
        <f>IF(Q9&lt;&gt;" ","P","")</f>
        <v/>
      </c>
      <c r="R10" s="301" t="str">
        <f>IF(Q9&lt;&gt;" ","I","")</f>
        <v/>
      </c>
      <c r="S10" s="119" t="str">
        <f>IF(S9&lt;&gt;" ","P","")</f>
        <v/>
      </c>
      <c r="T10" s="302" t="str">
        <f>IF(S9&lt;&gt;" ","I","")</f>
        <v/>
      </c>
      <c r="U10" s="36" t="str">
        <f>IF(U9&lt;&gt;" ","P","")</f>
        <v/>
      </c>
      <c r="V10" s="301" t="str">
        <f>IF(U9&lt;&gt;" ","I","")</f>
        <v/>
      </c>
    </row>
    <row r="11" spans="1:22" ht="26.25" customHeight="1">
      <c r="A11" s="185" t="s">
        <v>78</v>
      </c>
      <c r="B11" s="117"/>
      <c r="C11" s="353"/>
      <c r="D11" s="354"/>
      <c r="E11" s="177"/>
      <c r="F11" s="97"/>
      <c r="G11" s="40"/>
      <c r="H11" s="100"/>
      <c r="I11" s="43"/>
      <c r="J11" s="105"/>
      <c r="K11" s="41"/>
      <c r="L11" s="100"/>
      <c r="M11" s="107"/>
      <c r="N11" s="108"/>
      <c r="O11" s="111"/>
      <c r="P11" s="112"/>
      <c r="Q11" s="43"/>
      <c r="R11" s="44"/>
      <c r="S11" s="41"/>
      <c r="T11" s="100"/>
      <c r="U11" s="43"/>
      <c r="V11" s="105"/>
    </row>
    <row r="12" spans="1:22" ht="26.25" customHeight="1">
      <c r="A12" s="185" t="s">
        <v>79</v>
      </c>
      <c r="B12" s="117"/>
      <c r="C12" s="353"/>
      <c r="D12" s="354"/>
      <c r="E12" s="177"/>
      <c r="F12" s="97"/>
      <c r="G12" s="40"/>
      <c r="H12" s="100"/>
      <c r="I12" s="43"/>
      <c r="J12" s="105"/>
      <c r="K12" s="41"/>
      <c r="L12" s="100"/>
      <c r="M12" s="107"/>
      <c r="N12" s="108"/>
      <c r="O12" s="111"/>
      <c r="P12" s="112"/>
      <c r="Q12" s="43"/>
      <c r="R12" s="44"/>
      <c r="S12" s="41"/>
      <c r="T12" s="100"/>
      <c r="U12" s="43"/>
      <c r="V12" s="105"/>
    </row>
    <row r="13" spans="1:22" ht="26.25" customHeight="1">
      <c r="A13" s="185" t="s">
        <v>80</v>
      </c>
      <c r="B13" s="117"/>
      <c r="C13" s="353"/>
      <c r="D13" s="354"/>
      <c r="E13" s="177"/>
      <c r="F13" s="97"/>
      <c r="G13" s="40"/>
      <c r="H13" s="100"/>
      <c r="I13" s="43"/>
      <c r="J13" s="105"/>
      <c r="K13" s="41"/>
      <c r="L13" s="100"/>
      <c r="M13" s="107"/>
      <c r="N13" s="108"/>
      <c r="O13" s="111"/>
      <c r="P13" s="112"/>
      <c r="Q13" s="43"/>
      <c r="R13" s="44"/>
      <c r="S13" s="41"/>
      <c r="T13" s="100"/>
      <c r="U13" s="43"/>
      <c r="V13" s="105"/>
    </row>
    <row r="14" spans="1:22" ht="26.25" customHeight="1">
      <c r="A14" s="185" t="s">
        <v>81</v>
      </c>
      <c r="B14" s="117"/>
      <c r="C14" s="353"/>
      <c r="D14" s="354"/>
      <c r="E14" s="177"/>
      <c r="F14" s="97"/>
      <c r="G14" s="40"/>
      <c r="H14" s="100"/>
      <c r="I14" s="43"/>
      <c r="J14" s="105"/>
      <c r="K14" s="41"/>
      <c r="L14" s="100"/>
      <c r="M14" s="107"/>
      <c r="N14" s="108"/>
      <c r="O14" s="111"/>
      <c r="P14" s="112"/>
      <c r="Q14" s="43"/>
      <c r="R14" s="44"/>
      <c r="S14" s="41"/>
      <c r="T14" s="100"/>
      <c r="U14" s="43"/>
      <c r="V14" s="105"/>
    </row>
    <row r="15" spans="1:22" ht="26.25" customHeight="1">
      <c r="A15" s="186" t="s">
        <v>82</v>
      </c>
      <c r="B15" s="118"/>
      <c r="C15" s="355"/>
      <c r="D15" s="356"/>
      <c r="E15" s="178"/>
      <c r="F15" s="98"/>
      <c r="G15" s="48"/>
      <c r="H15" s="101"/>
      <c r="I15" s="51"/>
      <c r="J15" s="106"/>
      <c r="K15" s="41"/>
      <c r="L15" s="101"/>
      <c r="M15" s="109"/>
      <c r="N15" s="110"/>
      <c r="O15" s="113"/>
      <c r="P15" s="114"/>
      <c r="Q15" s="51"/>
      <c r="R15" s="52"/>
      <c r="S15" s="49"/>
      <c r="T15" s="101"/>
      <c r="U15" s="51"/>
      <c r="V15" s="106"/>
    </row>
    <row r="16" spans="1:22" ht="26.25" customHeight="1"/>
    <row r="17" spans="1:22" ht="26.25" customHeight="1"/>
    <row r="18" spans="1:22" ht="26.25" customHeight="1"/>
    <row r="19" spans="1:22" ht="26.25" customHeight="1"/>
    <row r="20" spans="1:22" ht="26.25" customHeight="1"/>
    <row r="21" spans="1:22" ht="26.25" customHeight="1"/>
    <row r="22" spans="1:22" ht="26.25" customHeight="1"/>
    <row r="23" spans="1:22" ht="39.6" customHeight="1">
      <c r="A23" s="183" t="s">
        <v>72</v>
      </c>
      <c r="B23" s="269"/>
      <c r="C23" s="319" t="s">
        <v>70</v>
      </c>
      <c r="D23" s="316"/>
      <c r="E23" s="314" t="s">
        <v>70</v>
      </c>
      <c r="F23" s="314"/>
      <c r="G23" s="315" t="s">
        <v>70</v>
      </c>
      <c r="H23" s="316"/>
      <c r="I23" s="314" t="s">
        <v>70</v>
      </c>
      <c r="J23" s="314"/>
      <c r="K23" s="315" t="s">
        <v>70</v>
      </c>
      <c r="L23" s="316"/>
      <c r="M23" s="314" t="s">
        <v>70</v>
      </c>
      <c r="N23" s="314"/>
      <c r="O23" s="315" t="s">
        <v>70</v>
      </c>
      <c r="P23" s="316"/>
      <c r="Q23" s="314" t="s">
        <v>70</v>
      </c>
      <c r="R23" s="314"/>
      <c r="S23" s="315" t="s">
        <v>70</v>
      </c>
      <c r="T23" s="316"/>
      <c r="U23" s="314" t="s">
        <v>70</v>
      </c>
      <c r="V23" s="314"/>
    </row>
    <row r="24" spans="1:22" ht="26.25" customHeight="1">
      <c r="A24" s="268"/>
      <c r="B24" s="270"/>
      <c r="C24" s="102" t="str">
        <f>IF(C23&lt;&gt;" ","P","")</f>
        <v/>
      </c>
      <c r="D24" s="302" t="str">
        <f>IF(C23&lt;&gt;" ","I","")</f>
        <v/>
      </c>
      <c r="E24" s="36" t="str">
        <f>IF(E23&lt;&gt;" ","P","")</f>
        <v/>
      </c>
      <c r="F24" s="301" t="str">
        <f>IF(E23&lt;&gt;" ","I","")</f>
        <v/>
      </c>
      <c r="G24" s="119" t="str">
        <f>IF(G23&lt;&gt;" ","P","")</f>
        <v/>
      </c>
      <c r="H24" s="302" t="str">
        <f>IF(G23&lt;&gt;" ","I","")</f>
        <v/>
      </c>
      <c r="I24" s="36" t="str">
        <f>IF(I23&lt;&gt;" ","P","")</f>
        <v/>
      </c>
      <c r="J24" s="301" t="str">
        <f>IF(I23&lt;&gt;" ","I","")</f>
        <v/>
      </c>
      <c r="K24" s="119" t="str">
        <f>IF(K23&lt;&gt;" ","P","")</f>
        <v/>
      </c>
      <c r="L24" s="302" t="str">
        <f>IF(K23&lt;&gt;" ","I","")</f>
        <v/>
      </c>
      <c r="M24" s="36" t="str">
        <f>IF(M23&lt;&gt;" ","P","")</f>
        <v/>
      </c>
      <c r="N24" s="301" t="str">
        <f>IF(M23&lt;&gt;" ","I","")</f>
        <v/>
      </c>
      <c r="O24" s="119" t="str">
        <f>IF(O23&lt;&gt;" ","P","")</f>
        <v/>
      </c>
      <c r="P24" s="302" t="str">
        <f>IF(O23&lt;&gt;" ","I","")</f>
        <v/>
      </c>
      <c r="Q24" s="36" t="str">
        <f>IF(Q23&lt;&gt;" ","P","")</f>
        <v/>
      </c>
      <c r="R24" s="301" t="str">
        <f>IF(Q23&lt;&gt;" ","I","")</f>
        <v/>
      </c>
      <c r="S24" s="119" t="str">
        <f>IF(S23&lt;&gt;" ","P","")</f>
        <v/>
      </c>
      <c r="T24" s="302" t="str">
        <f>IF(S23&lt;&gt;" ","I","")</f>
        <v/>
      </c>
      <c r="U24" s="36" t="str">
        <f>IF(U23&lt;&gt;" ","P","")</f>
        <v/>
      </c>
      <c r="V24" s="301" t="str">
        <f>IF(U23&lt;&gt;" ","I","")</f>
        <v/>
      </c>
    </row>
    <row r="25" spans="1:22" ht="26.25" customHeight="1">
      <c r="A25" s="266" t="s">
        <v>78</v>
      </c>
      <c r="B25" s="267"/>
      <c r="C25" s="353"/>
      <c r="D25" s="354"/>
      <c r="E25" s="177"/>
      <c r="F25" s="97"/>
      <c r="G25" s="40"/>
      <c r="H25" s="100"/>
      <c r="I25" s="43"/>
      <c r="J25" s="105"/>
      <c r="K25" s="41"/>
      <c r="L25" s="100"/>
      <c r="M25" s="107"/>
      <c r="N25" s="108"/>
      <c r="O25" s="111"/>
      <c r="P25" s="112"/>
      <c r="Q25" s="43"/>
      <c r="R25" s="44"/>
      <c r="S25" s="41"/>
      <c r="T25" s="100"/>
      <c r="U25" s="43"/>
      <c r="V25" s="105"/>
    </row>
    <row r="26" spans="1:22" ht="26.25" customHeight="1">
      <c r="A26" s="185" t="s">
        <v>79</v>
      </c>
      <c r="B26" s="117"/>
      <c r="C26" s="353"/>
      <c r="D26" s="354"/>
      <c r="E26" s="177"/>
      <c r="F26" s="97"/>
      <c r="G26" s="40"/>
      <c r="H26" s="100"/>
      <c r="I26" s="43"/>
      <c r="J26" s="105"/>
      <c r="K26" s="41"/>
      <c r="L26" s="100"/>
      <c r="M26" s="107"/>
      <c r="N26" s="108"/>
      <c r="O26" s="111"/>
      <c r="P26" s="112"/>
      <c r="Q26" s="43"/>
      <c r="R26" s="44"/>
      <c r="S26" s="41"/>
      <c r="T26" s="100"/>
      <c r="U26" s="43"/>
      <c r="V26" s="105"/>
    </row>
    <row r="27" spans="1:22" ht="26.25" customHeight="1">
      <c r="A27" s="185" t="s">
        <v>80</v>
      </c>
      <c r="B27" s="117"/>
      <c r="C27" s="353"/>
      <c r="D27" s="354"/>
      <c r="E27" s="177"/>
      <c r="F27" s="97"/>
      <c r="G27" s="40"/>
      <c r="H27" s="100"/>
      <c r="I27" s="43"/>
      <c r="J27" s="105"/>
      <c r="K27" s="41"/>
      <c r="L27" s="100"/>
      <c r="M27" s="107"/>
      <c r="N27" s="108"/>
      <c r="O27" s="111"/>
      <c r="P27" s="112"/>
      <c r="Q27" s="43"/>
      <c r="R27" s="44"/>
      <c r="S27" s="41"/>
      <c r="T27" s="100"/>
      <c r="U27" s="43"/>
      <c r="V27" s="105"/>
    </row>
    <row r="28" spans="1:22" ht="26.25" customHeight="1">
      <c r="A28" s="185" t="s">
        <v>81</v>
      </c>
      <c r="B28" s="117"/>
      <c r="C28" s="353"/>
      <c r="D28" s="354"/>
      <c r="E28" s="177"/>
      <c r="F28" s="97"/>
      <c r="G28" s="40"/>
      <c r="H28" s="100"/>
      <c r="I28" s="43"/>
      <c r="J28" s="105"/>
      <c r="K28" s="41"/>
      <c r="L28" s="100"/>
      <c r="M28" s="107"/>
      <c r="N28" s="108"/>
      <c r="O28" s="111"/>
      <c r="P28" s="112"/>
      <c r="Q28" s="43"/>
      <c r="R28" s="44"/>
      <c r="S28" s="41"/>
      <c r="T28" s="100"/>
      <c r="U28" s="43"/>
      <c r="V28" s="105"/>
    </row>
    <row r="29" spans="1:22" ht="26.25" customHeight="1">
      <c r="A29" s="186" t="s">
        <v>82</v>
      </c>
      <c r="B29" s="118"/>
      <c r="C29" s="355"/>
      <c r="D29" s="356"/>
      <c r="E29" s="178"/>
      <c r="F29" s="98"/>
      <c r="G29" s="48"/>
      <c r="H29" s="101"/>
      <c r="I29" s="51"/>
      <c r="J29" s="106"/>
      <c r="K29" s="41"/>
      <c r="L29" s="101"/>
      <c r="M29" s="109"/>
      <c r="N29" s="110"/>
      <c r="O29" s="113"/>
      <c r="P29" s="114"/>
      <c r="Q29" s="51"/>
      <c r="R29" s="52"/>
      <c r="S29" s="49"/>
      <c r="T29" s="101"/>
      <c r="U29" s="51"/>
      <c r="V29" s="106"/>
    </row>
    <row r="30" spans="1:22" ht="39.6" customHeight="1">
      <c r="A30" s="187"/>
      <c r="B30" s="96"/>
      <c r="C30" s="315" t="s">
        <v>70</v>
      </c>
      <c r="D30" s="316"/>
      <c r="E30" s="314" t="s">
        <v>70</v>
      </c>
      <c r="F30" s="314"/>
      <c r="G30" s="315" t="s">
        <v>70</v>
      </c>
      <c r="H30" s="316"/>
      <c r="I30" s="314" t="s">
        <v>70</v>
      </c>
      <c r="J30" s="314"/>
      <c r="K30" s="315" t="s">
        <v>70</v>
      </c>
      <c r="L30" s="316"/>
      <c r="M30" s="314" t="s">
        <v>70</v>
      </c>
      <c r="N30" s="314"/>
      <c r="O30" s="315" t="s">
        <v>70</v>
      </c>
      <c r="P30" s="316"/>
      <c r="Q30" s="314" t="s">
        <v>70</v>
      </c>
      <c r="R30" s="314"/>
      <c r="S30" s="315" t="s">
        <v>70</v>
      </c>
      <c r="T30" s="316"/>
      <c r="U30" s="314" t="s">
        <v>70</v>
      </c>
      <c r="V30" s="314"/>
    </row>
    <row r="31" spans="1:22" ht="26.25" customHeight="1">
      <c r="A31" s="184"/>
      <c r="B31" s="116"/>
      <c r="C31" s="119" t="str">
        <f>IF(C30&lt;&gt;" ","P","")</f>
        <v/>
      </c>
      <c r="D31" s="302" t="str">
        <f>IF(C30&lt;&gt;" ","I","")</f>
        <v/>
      </c>
      <c r="E31" s="36" t="str">
        <f>IF(E30&lt;&gt;" ","P","")</f>
        <v/>
      </c>
      <c r="F31" s="301" t="str">
        <f>IF(E30&lt;&gt;" ","I","")</f>
        <v/>
      </c>
      <c r="G31" s="119" t="str">
        <f>IF(G30&lt;&gt;" ","P","")</f>
        <v/>
      </c>
      <c r="H31" s="302" t="str">
        <f>IF(G30&lt;&gt;" ","I","")</f>
        <v/>
      </c>
      <c r="I31" s="36" t="str">
        <f>IF(I30&lt;&gt;" ","P","")</f>
        <v/>
      </c>
      <c r="J31" s="301" t="str">
        <f>IF(I30&lt;&gt;" ","I","")</f>
        <v/>
      </c>
      <c r="K31" s="119" t="str">
        <f>IF(K30&lt;&gt;" ","P","")</f>
        <v/>
      </c>
      <c r="L31" s="302" t="str">
        <f>IF(K30&lt;&gt;" ","I","")</f>
        <v/>
      </c>
      <c r="M31" s="36" t="str">
        <f>IF(M30&lt;&gt;" ","P","")</f>
        <v/>
      </c>
      <c r="N31" s="301" t="str">
        <f>IF(M30&lt;&gt;" ","I","")</f>
        <v/>
      </c>
      <c r="O31" s="119" t="str">
        <f>IF(O30&lt;&gt;" ","P","")</f>
        <v/>
      </c>
      <c r="P31" s="302" t="str">
        <f>IF(O30&lt;&gt;" ","I","")</f>
        <v/>
      </c>
      <c r="Q31" s="36" t="str">
        <f>IF(Q30&lt;&gt;" ","P","")</f>
        <v/>
      </c>
      <c r="R31" s="301" t="str">
        <f>IF(Q30&lt;&gt;" ","I","")</f>
        <v/>
      </c>
      <c r="S31" s="119" t="str">
        <f>IF(S30&lt;&gt;" ","P","")</f>
        <v/>
      </c>
      <c r="T31" s="302" t="str">
        <f>IF(S30&lt;&gt;" ","I","")</f>
        <v/>
      </c>
      <c r="U31" s="36" t="str">
        <f>IF(U30&lt;&gt;" ","P","")</f>
        <v/>
      </c>
      <c r="V31" s="301" t="str">
        <f>IF(U30&lt;&gt;" ","I","")</f>
        <v/>
      </c>
    </row>
    <row r="32" spans="1:22" ht="26.25" customHeight="1">
      <c r="A32" s="185" t="s">
        <v>78</v>
      </c>
      <c r="B32" s="117"/>
      <c r="C32" s="353"/>
      <c r="D32" s="354"/>
      <c r="E32" s="177"/>
      <c r="F32" s="97"/>
      <c r="G32" s="40"/>
      <c r="H32" s="100"/>
      <c r="I32" s="43"/>
      <c r="J32" s="105"/>
      <c r="K32" s="41"/>
      <c r="L32" s="100"/>
      <c r="M32" s="107"/>
      <c r="N32" s="108"/>
      <c r="O32" s="111"/>
      <c r="P32" s="112"/>
      <c r="Q32" s="43"/>
      <c r="R32" s="44"/>
      <c r="S32" s="41"/>
      <c r="T32" s="100"/>
      <c r="U32" s="43"/>
      <c r="V32" s="105"/>
    </row>
    <row r="33" spans="1:22" ht="26.25" customHeight="1">
      <c r="A33" s="185" t="s">
        <v>79</v>
      </c>
      <c r="B33" s="117"/>
      <c r="C33" s="353"/>
      <c r="D33" s="354"/>
      <c r="E33" s="177"/>
      <c r="F33" s="97"/>
      <c r="G33" s="40"/>
      <c r="H33" s="100"/>
      <c r="I33" s="43"/>
      <c r="J33" s="105"/>
      <c r="K33" s="41"/>
      <c r="L33" s="100"/>
      <c r="M33" s="107"/>
      <c r="N33" s="108"/>
      <c r="O33" s="111"/>
      <c r="P33" s="112"/>
      <c r="Q33" s="43"/>
      <c r="R33" s="44"/>
      <c r="S33" s="41"/>
      <c r="T33" s="100"/>
      <c r="U33" s="43"/>
      <c r="V33" s="105"/>
    </row>
    <row r="34" spans="1:22" ht="26.25" customHeight="1">
      <c r="A34" s="185" t="s">
        <v>80</v>
      </c>
      <c r="B34" s="117"/>
      <c r="C34" s="353"/>
      <c r="D34" s="354"/>
      <c r="E34" s="177"/>
      <c r="F34" s="97"/>
      <c r="G34" s="40"/>
      <c r="H34" s="100"/>
      <c r="I34" s="43"/>
      <c r="J34" s="105"/>
      <c r="K34" s="41"/>
      <c r="L34" s="100"/>
      <c r="M34" s="107"/>
      <c r="N34" s="108"/>
      <c r="O34" s="111"/>
      <c r="P34" s="112"/>
      <c r="Q34" s="43"/>
      <c r="R34" s="44"/>
      <c r="S34" s="41"/>
      <c r="T34" s="100"/>
      <c r="U34" s="43"/>
      <c r="V34" s="105"/>
    </row>
    <row r="35" spans="1:22" ht="26.25" customHeight="1">
      <c r="A35" s="185" t="s">
        <v>81</v>
      </c>
      <c r="B35" s="117"/>
      <c r="C35" s="353"/>
      <c r="D35" s="354"/>
      <c r="E35" s="177"/>
      <c r="F35" s="97"/>
      <c r="G35" s="40"/>
      <c r="H35" s="100"/>
      <c r="I35" s="43"/>
      <c r="J35" s="105"/>
      <c r="K35" s="41"/>
      <c r="L35" s="100"/>
      <c r="M35" s="107"/>
      <c r="N35" s="108"/>
      <c r="O35" s="111"/>
      <c r="P35" s="112"/>
      <c r="Q35" s="43"/>
      <c r="R35" s="44"/>
      <c r="S35" s="41"/>
      <c r="T35" s="100"/>
      <c r="U35" s="43"/>
      <c r="V35" s="105"/>
    </row>
    <row r="36" spans="1:22" ht="26.25" customHeight="1">
      <c r="A36" s="186" t="s">
        <v>82</v>
      </c>
      <c r="B36" s="118"/>
      <c r="C36" s="355"/>
      <c r="D36" s="356"/>
      <c r="E36" s="178"/>
      <c r="F36" s="98"/>
      <c r="G36" s="48"/>
      <c r="H36" s="101"/>
      <c r="I36" s="51"/>
      <c r="J36" s="106"/>
      <c r="K36" s="41"/>
      <c r="L36" s="101"/>
      <c r="M36" s="109"/>
      <c r="N36" s="110"/>
      <c r="O36" s="113"/>
      <c r="P36" s="114"/>
      <c r="Q36" s="51"/>
      <c r="R36" s="52"/>
      <c r="S36" s="49"/>
      <c r="T36" s="101"/>
      <c r="U36" s="51"/>
      <c r="V36" s="106"/>
    </row>
  </sheetData>
  <sheetProtection formatCells="0" formatColumns="0" formatRows="0"/>
  <mergeCells count="2">
    <mergeCell ref="A1:B1"/>
    <mergeCell ref="D1:E1"/>
  </mergeCells>
  <printOptions horizontalCentered="1"/>
  <pageMargins left="0" right="0" top="0.23622047244094491" bottom="0" header="0.31496062992125984" footer="0.31496062992125984"/>
  <pageSetup paperSize="9" fitToHeight="0" orientation="landscape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EED7C2-A4B1-41A7-AABB-255234ED7318}">
  <sheetPr codeName="Taul10">
    <tabColor rgb="FFFFC000"/>
  </sheetPr>
  <dimension ref="A1:AF36"/>
  <sheetViews>
    <sheetView showGridLines="0" showZeros="0" zoomScale="115" zoomScaleNormal="115" workbookViewId="0">
      <selection sqref="A1:B1"/>
    </sheetView>
  </sheetViews>
  <sheetFormatPr defaultColWidth="15.140625" defaultRowHeight="15" customHeight="1"/>
  <cols>
    <col min="1" max="32" width="4.42578125" customWidth="1"/>
  </cols>
  <sheetData>
    <row r="1" spans="1:32" ht="26.25" customHeight="1">
      <c r="A1" s="613"/>
      <c r="B1" s="614"/>
      <c r="C1" s="27" t="s">
        <v>71</v>
      </c>
      <c r="D1" s="607"/>
      <c r="E1" s="607"/>
      <c r="F1" s="95"/>
      <c r="G1" s="26"/>
      <c r="H1" s="57"/>
      <c r="I1" s="26"/>
      <c r="J1" s="94"/>
      <c r="K1" s="94"/>
      <c r="L1" s="94"/>
      <c r="M1" s="94"/>
      <c r="N1" s="25"/>
      <c r="O1" s="95"/>
      <c r="P1" s="95"/>
      <c r="Q1" s="95"/>
      <c r="R1" s="95"/>
      <c r="S1" s="28"/>
      <c r="T1" s="28"/>
      <c r="U1" s="28"/>
      <c r="V1" s="28"/>
      <c r="W1" s="29"/>
      <c r="X1" s="29"/>
      <c r="Y1" s="29"/>
      <c r="Z1" s="29"/>
      <c r="AA1" s="29"/>
      <c r="AB1" s="29"/>
      <c r="AC1" s="29"/>
      <c r="AD1" s="29"/>
      <c r="AE1" s="29"/>
      <c r="AF1" s="190"/>
    </row>
    <row r="2" spans="1:32" s="30" customFormat="1" ht="39.6" customHeight="1">
      <c r="A2" s="187" t="s">
        <v>72</v>
      </c>
      <c r="B2" s="96" t="s">
        <v>73</v>
      </c>
      <c r="C2" s="615" t="s">
        <v>74</v>
      </c>
      <c r="D2" s="616"/>
      <c r="E2" s="616"/>
      <c r="F2" s="616"/>
      <c r="G2" s="617"/>
      <c r="H2" s="325" t="s">
        <v>70</v>
      </c>
      <c r="I2" s="314"/>
      <c r="J2" s="314"/>
      <c r="K2" s="314"/>
      <c r="L2" s="326"/>
      <c r="M2" s="315" t="s">
        <v>70</v>
      </c>
      <c r="N2" s="319"/>
      <c r="O2" s="319"/>
      <c r="P2" s="319"/>
      <c r="Q2" s="316"/>
      <c r="R2" s="325" t="s">
        <v>70</v>
      </c>
      <c r="S2" s="314"/>
      <c r="T2" s="314"/>
      <c r="U2" s="314"/>
      <c r="V2" s="326"/>
      <c r="W2" s="315" t="s">
        <v>70</v>
      </c>
      <c r="X2" s="319"/>
      <c r="Y2" s="319"/>
      <c r="Z2" s="319"/>
      <c r="AA2" s="316"/>
      <c r="AB2" s="325" t="s">
        <v>70</v>
      </c>
      <c r="AC2" s="314"/>
      <c r="AD2" s="314"/>
      <c r="AE2" s="314"/>
      <c r="AF2" s="326"/>
    </row>
    <row r="3" spans="1:32" ht="26.25" customHeight="1">
      <c r="A3" s="184"/>
      <c r="B3" s="116"/>
      <c r="C3" s="119" t="s">
        <v>75</v>
      </c>
      <c r="D3" s="34" t="s">
        <v>76</v>
      </c>
      <c r="E3" s="99" t="s">
        <v>77</v>
      </c>
      <c r="F3" s="34" t="s">
        <v>68</v>
      </c>
      <c r="G3" s="120" t="s">
        <v>84</v>
      </c>
      <c r="H3" s="31" t="str">
        <f>IF(H2&lt;&gt;" ","A","")</f>
        <v/>
      </c>
      <c r="I3" s="32" t="str">
        <f>IF(H2&lt;&gt;" ","L","")</f>
        <v/>
      </c>
      <c r="J3" s="32" t="str">
        <f>IF(H2&lt;&gt;" ","V","")</f>
        <v/>
      </c>
      <c r="K3" s="32" t="str">
        <f>IF(H2&lt;&gt;" ","P","")</f>
        <v/>
      </c>
      <c r="L3" s="37" t="str">
        <f>IF(H2&lt;&gt;" ","I","")</f>
        <v/>
      </c>
      <c r="M3" s="33" t="str">
        <f>IF(M2&lt;&gt;" ","A","")</f>
        <v/>
      </c>
      <c r="N3" s="34" t="str">
        <f>IF(M2&lt;&gt;" ","L","")</f>
        <v/>
      </c>
      <c r="O3" s="34" t="str">
        <f>IF(M2&lt;&gt;" ","V","")</f>
        <v/>
      </c>
      <c r="P3" s="34" t="str">
        <f>IF(M2&lt;&gt;" ","P","")</f>
        <v/>
      </c>
      <c r="Q3" s="35" t="str">
        <f>IF(M2&lt;&gt;" ","I","")</f>
        <v/>
      </c>
      <c r="R3" s="31" t="str">
        <f>IF(R2&lt;&gt;" ","A","")</f>
        <v/>
      </c>
      <c r="S3" s="32" t="str">
        <f>IF(R2&lt;&gt;" ","L","")</f>
        <v/>
      </c>
      <c r="T3" s="32" t="str">
        <f>IF(R2&lt;&gt;" ","V","")</f>
        <v/>
      </c>
      <c r="U3" s="32" t="str">
        <f>IF(R2&lt;&gt;" ","P","")</f>
        <v/>
      </c>
      <c r="V3" s="37" t="str">
        <f>IF(R2&lt;&gt;" ","I","")</f>
        <v/>
      </c>
      <c r="W3" s="33" t="str">
        <f>IF(W2&lt;&gt;" ","A","")</f>
        <v/>
      </c>
      <c r="X3" s="34" t="str">
        <f>IF(W2&lt;&gt;" ","L","")</f>
        <v/>
      </c>
      <c r="Y3" s="34" t="str">
        <f>IF(W2&lt;&gt;" ","V","")</f>
        <v/>
      </c>
      <c r="Z3" s="34" t="str">
        <f>IF(W2&lt;&gt;" ","P","")</f>
        <v/>
      </c>
      <c r="AA3" s="35" t="str">
        <f>IF(W2&lt;&gt;" ","I","")</f>
        <v/>
      </c>
      <c r="AB3" s="31" t="str">
        <f>IF(AB2&lt;&gt;" ","A","")</f>
        <v/>
      </c>
      <c r="AC3" s="32" t="str">
        <f>IF(AB2&lt;&gt;" ","L","")</f>
        <v/>
      </c>
      <c r="AD3" s="32" t="str">
        <f>IF(AB2&lt;&gt;" ","V","")</f>
        <v/>
      </c>
      <c r="AE3" s="32" t="str">
        <f>IF(AB2&lt;&gt;" ","P","")</f>
        <v/>
      </c>
      <c r="AF3" s="37" t="str">
        <f>IF(AB2&lt;&gt;" ","I","")</f>
        <v/>
      </c>
    </row>
    <row r="4" spans="1:32" ht="26.25" customHeight="1">
      <c r="A4" s="185" t="s">
        <v>78</v>
      </c>
      <c r="B4" s="117"/>
      <c r="C4" s="121"/>
      <c r="D4" s="122"/>
      <c r="E4" s="122"/>
      <c r="F4" s="122"/>
      <c r="G4" s="123"/>
      <c r="H4" s="38"/>
      <c r="I4" s="39"/>
      <c r="J4" s="39"/>
      <c r="K4" s="39"/>
      <c r="L4" s="97"/>
      <c r="M4" s="40"/>
      <c r="N4" s="41"/>
      <c r="O4" s="41"/>
      <c r="P4" s="41"/>
      <c r="Q4" s="100"/>
      <c r="R4" s="42"/>
      <c r="S4" s="43"/>
      <c r="T4" s="43"/>
      <c r="U4" s="43"/>
      <c r="V4" s="105"/>
      <c r="W4" s="103"/>
      <c r="X4" s="357"/>
      <c r="Y4" s="103"/>
      <c r="Z4" s="41"/>
      <c r="AA4" s="100"/>
      <c r="AB4" s="42"/>
      <c r="AC4" s="43"/>
      <c r="AD4" s="43"/>
      <c r="AE4" s="107"/>
      <c r="AF4" s="108"/>
    </row>
    <row r="5" spans="1:32" ht="26.25" customHeight="1">
      <c r="A5" s="185" t="s">
        <v>79</v>
      </c>
      <c r="B5" s="117"/>
      <c r="C5" s="121"/>
      <c r="D5" s="122"/>
      <c r="E5" s="122"/>
      <c r="F5" s="122"/>
      <c r="G5" s="123"/>
      <c r="H5" s="38"/>
      <c r="I5" s="39"/>
      <c r="J5" s="39"/>
      <c r="K5" s="39"/>
      <c r="L5" s="97"/>
      <c r="M5" s="40"/>
      <c r="N5" s="41"/>
      <c r="O5" s="41"/>
      <c r="P5" s="41"/>
      <c r="Q5" s="100"/>
      <c r="R5" s="42"/>
      <c r="S5" s="43"/>
      <c r="T5" s="43"/>
      <c r="U5" s="43"/>
      <c r="V5" s="105"/>
      <c r="W5" s="103"/>
      <c r="X5" s="41"/>
      <c r="Y5" s="103"/>
      <c r="Z5" s="41"/>
      <c r="AA5" s="100"/>
      <c r="AB5" s="42"/>
      <c r="AC5" s="43"/>
      <c r="AD5" s="43"/>
      <c r="AE5" s="107"/>
      <c r="AF5" s="108"/>
    </row>
    <row r="6" spans="1:32" ht="26.25" customHeight="1">
      <c r="A6" s="185" t="s">
        <v>80</v>
      </c>
      <c r="B6" s="117"/>
      <c r="C6" s="121"/>
      <c r="D6" s="122"/>
      <c r="E6" s="122"/>
      <c r="F6" s="122"/>
      <c r="G6" s="123"/>
      <c r="H6" s="38"/>
      <c r="I6" s="39"/>
      <c r="J6" s="39"/>
      <c r="K6" s="39"/>
      <c r="L6" s="97"/>
      <c r="M6" s="40"/>
      <c r="N6" s="41"/>
      <c r="O6" s="41"/>
      <c r="P6" s="41"/>
      <c r="Q6" s="100"/>
      <c r="R6" s="42"/>
      <c r="S6" s="43"/>
      <c r="T6" s="43"/>
      <c r="U6" s="43"/>
      <c r="V6" s="105"/>
      <c r="W6" s="103"/>
      <c r="X6" s="41"/>
      <c r="Y6" s="103"/>
      <c r="Z6" s="41"/>
      <c r="AA6" s="100"/>
      <c r="AB6" s="42"/>
      <c r="AC6" s="43"/>
      <c r="AD6" s="43"/>
      <c r="AE6" s="107"/>
      <c r="AF6" s="108"/>
    </row>
    <row r="7" spans="1:32" ht="26.25" customHeight="1">
      <c r="A7" s="185" t="s">
        <v>81</v>
      </c>
      <c r="B7" s="117"/>
      <c r="C7" s="121"/>
      <c r="D7" s="122"/>
      <c r="E7" s="122"/>
      <c r="F7" s="122"/>
      <c r="G7" s="123"/>
      <c r="H7" s="38"/>
      <c r="I7" s="39"/>
      <c r="J7" s="39"/>
      <c r="K7" s="39"/>
      <c r="L7" s="97"/>
      <c r="M7" s="40"/>
      <c r="N7" s="41"/>
      <c r="O7" s="41"/>
      <c r="P7" s="41"/>
      <c r="Q7" s="100"/>
      <c r="R7" s="42"/>
      <c r="S7" s="43"/>
      <c r="T7" s="43"/>
      <c r="U7" s="43"/>
      <c r="V7" s="105"/>
      <c r="W7" s="103"/>
      <c r="X7" s="41"/>
      <c r="Y7" s="103"/>
      <c r="Z7" s="41"/>
      <c r="AA7" s="100"/>
      <c r="AB7" s="42"/>
      <c r="AC7" s="43"/>
      <c r="AD7" s="43"/>
      <c r="AE7" s="107"/>
      <c r="AF7" s="108"/>
    </row>
    <row r="8" spans="1:32" ht="26.25" customHeight="1">
      <c r="A8" s="186" t="s">
        <v>82</v>
      </c>
      <c r="B8" s="118"/>
      <c r="C8" s="124"/>
      <c r="D8" s="125"/>
      <c r="E8" s="125"/>
      <c r="F8" s="125"/>
      <c r="G8" s="126"/>
      <c r="H8" s="45"/>
      <c r="I8" s="46"/>
      <c r="J8" s="46"/>
      <c r="K8" s="46"/>
      <c r="L8" s="98"/>
      <c r="M8" s="48"/>
      <c r="N8" s="49"/>
      <c r="O8" s="49"/>
      <c r="P8" s="49"/>
      <c r="Q8" s="101"/>
      <c r="R8" s="50"/>
      <c r="S8" s="51"/>
      <c r="T8" s="51"/>
      <c r="U8" s="51"/>
      <c r="V8" s="106"/>
      <c r="W8" s="104"/>
      <c r="X8" s="49"/>
      <c r="Y8" s="103"/>
      <c r="Z8" s="41"/>
      <c r="AA8" s="101"/>
      <c r="AB8" s="50"/>
      <c r="AC8" s="51"/>
      <c r="AD8" s="51"/>
      <c r="AE8" s="109"/>
      <c r="AF8" s="110"/>
    </row>
    <row r="9" spans="1:32" s="30" customFormat="1" ht="39.6" customHeight="1">
      <c r="A9" s="273"/>
      <c r="B9" s="272"/>
      <c r="C9" s="315" t="s">
        <v>70</v>
      </c>
      <c r="D9" s="319"/>
      <c r="E9" s="319"/>
      <c r="F9" s="319"/>
      <c r="G9" s="316"/>
      <c r="H9" s="325" t="s">
        <v>70</v>
      </c>
      <c r="I9" s="314"/>
      <c r="J9" s="314"/>
      <c r="K9" s="314"/>
      <c r="L9" s="326"/>
      <c r="M9" s="315" t="s">
        <v>70</v>
      </c>
      <c r="N9" s="319"/>
      <c r="O9" s="319"/>
      <c r="P9" s="319"/>
      <c r="Q9" s="316"/>
      <c r="R9" s="325" t="s">
        <v>70</v>
      </c>
      <c r="S9" s="314"/>
      <c r="T9" s="314"/>
      <c r="U9" s="314"/>
      <c r="V9" s="326"/>
      <c r="W9" s="315" t="s">
        <v>70</v>
      </c>
      <c r="X9" s="319"/>
      <c r="Y9" s="319"/>
      <c r="Z9" s="319"/>
      <c r="AA9" s="316"/>
      <c r="AB9" s="325" t="s">
        <v>70</v>
      </c>
      <c r="AC9" s="314"/>
      <c r="AD9" s="314"/>
      <c r="AE9" s="314"/>
      <c r="AF9" s="326"/>
    </row>
    <row r="10" spans="1:32" ht="26.25" customHeight="1">
      <c r="A10" s="274"/>
      <c r="B10" s="271"/>
      <c r="C10" s="33" t="str">
        <f>IF(C9&lt;&gt;" ","A","")</f>
        <v/>
      </c>
      <c r="D10" s="34" t="str">
        <f>IF(C9&lt;&gt;" ","L","")</f>
        <v/>
      </c>
      <c r="E10" s="34" t="str">
        <f>IF(C9&lt;&gt;" ","V","")</f>
        <v/>
      </c>
      <c r="F10" s="34" t="str">
        <f>IF(C9&lt;&gt;" ","P","")</f>
        <v/>
      </c>
      <c r="G10" s="35" t="str">
        <f>IF(C9&lt;&gt;" ","I","")</f>
        <v/>
      </c>
      <c r="H10" s="31" t="str">
        <f>IF(H9&lt;&gt;" ","A","")</f>
        <v/>
      </c>
      <c r="I10" s="32" t="str">
        <f>IF(H9&lt;&gt;" ","L","")</f>
        <v/>
      </c>
      <c r="J10" s="32" t="str">
        <f>IF(H9&lt;&gt;" ","V","")</f>
        <v/>
      </c>
      <c r="K10" s="32" t="str">
        <f>IF(H9&lt;&gt;" ","P","")</f>
        <v/>
      </c>
      <c r="L10" s="37" t="str">
        <f>IF(H9&lt;&gt;" ","I","")</f>
        <v/>
      </c>
      <c r="M10" s="33" t="str">
        <f>IF(M9&lt;&gt;" ","A","")</f>
        <v/>
      </c>
      <c r="N10" s="34" t="str">
        <f>IF(M9&lt;&gt;" ","L","")</f>
        <v/>
      </c>
      <c r="O10" s="34" t="str">
        <f>IF(M9&lt;&gt;" ","V","")</f>
        <v/>
      </c>
      <c r="P10" s="34" t="str">
        <f>IF(M9&lt;&gt;" ","P","")</f>
        <v/>
      </c>
      <c r="Q10" s="35" t="str">
        <f>IF(M9&lt;&gt;" ","I","")</f>
        <v/>
      </c>
      <c r="R10" s="31" t="str">
        <f>IF(R9&lt;&gt;" ","A","")</f>
        <v/>
      </c>
      <c r="S10" s="32" t="str">
        <f>IF(R9&lt;&gt;" ","L","")</f>
        <v/>
      </c>
      <c r="T10" s="32" t="str">
        <f>IF(R9&lt;&gt;" ","V","")</f>
        <v/>
      </c>
      <c r="U10" s="32" t="str">
        <f>IF(R9&lt;&gt;" ","P","")</f>
        <v/>
      </c>
      <c r="V10" s="37" t="str">
        <f>IF(R9&lt;&gt;" ","I","")</f>
        <v/>
      </c>
      <c r="W10" s="33" t="str">
        <f>IF(W9&lt;&gt;" ","A","")</f>
        <v/>
      </c>
      <c r="X10" s="34" t="str">
        <f>IF(W9&lt;&gt;" ","L","")</f>
        <v/>
      </c>
      <c r="Y10" s="34" t="str">
        <f>IF(W9&lt;&gt;" ","V","")</f>
        <v/>
      </c>
      <c r="Z10" s="34" t="str">
        <f>IF(W9&lt;&gt;" ","P","")</f>
        <v/>
      </c>
      <c r="AA10" s="35" t="str">
        <f>IF(W9&lt;&gt;" ","I","")</f>
        <v/>
      </c>
      <c r="AB10" s="31" t="str">
        <f>IF(AB9&lt;&gt;" ","A","")</f>
        <v/>
      </c>
      <c r="AC10" s="32" t="str">
        <f>IF(AB9&lt;&gt;" ","L","")</f>
        <v/>
      </c>
      <c r="AD10" s="32" t="str">
        <f>IF(AB9&lt;&gt;" ","V","")</f>
        <v/>
      </c>
      <c r="AE10" s="32" t="str">
        <f>IF(AB9&lt;&gt;" ","P","")</f>
        <v/>
      </c>
      <c r="AF10" s="37" t="str">
        <f>IF(AB9&lt;&gt;" ","I","")</f>
        <v/>
      </c>
    </row>
    <row r="11" spans="1:32" ht="26.25" customHeight="1">
      <c r="A11" s="266" t="s">
        <v>78</v>
      </c>
      <c r="B11" s="117"/>
      <c r="C11" s="347"/>
      <c r="D11" s="348"/>
      <c r="E11" s="348"/>
      <c r="F11" s="348"/>
      <c r="G11" s="349"/>
      <c r="H11" s="38"/>
      <c r="I11" s="39"/>
      <c r="J11" s="39"/>
      <c r="K11" s="39"/>
      <c r="L11" s="97"/>
      <c r="M11" s="40"/>
      <c r="N11" s="41"/>
      <c r="O11" s="41"/>
      <c r="P11" s="41"/>
      <c r="Q11" s="100"/>
      <c r="R11" s="42"/>
      <c r="S11" s="43"/>
      <c r="T11" s="43"/>
      <c r="U11" s="43"/>
      <c r="V11" s="105"/>
      <c r="W11" s="103"/>
      <c r="X11" s="357"/>
      <c r="Y11" s="103"/>
      <c r="Z11" s="41"/>
      <c r="AA11" s="100"/>
      <c r="AB11" s="42"/>
      <c r="AC11" s="43"/>
      <c r="AD11" s="43"/>
      <c r="AE11" s="107"/>
      <c r="AF11" s="108"/>
    </row>
    <row r="12" spans="1:32" ht="26.25" customHeight="1">
      <c r="A12" s="185" t="s">
        <v>79</v>
      </c>
      <c r="B12" s="117"/>
      <c r="C12" s="347"/>
      <c r="D12" s="348"/>
      <c r="E12" s="348"/>
      <c r="F12" s="348"/>
      <c r="G12" s="349"/>
      <c r="H12" s="38"/>
      <c r="I12" s="39"/>
      <c r="J12" s="39"/>
      <c r="K12" s="39"/>
      <c r="L12" s="97"/>
      <c r="M12" s="40"/>
      <c r="N12" s="41"/>
      <c r="O12" s="41"/>
      <c r="P12" s="41"/>
      <c r="Q12" s="100"/>
      <c r="R12" s="42"/>
      <c r="S12" s="43"/>
      <c r="T12" s="43"/>
      <c r="U12" s="43"/>
      <c r="V12" s="105"/>
      <c r="W12" s="103"/>
      <c r="X12" s="41"/>
      <c r="Y12" s="103"/>
      <c r="Z12" s="41"/>
      <c r="AA12" s="100"/>
      <c r="AB12" s="42"/>
      <c r="AC12" s="43"/>
      <c r="AD12" s="43"/>
      <c r="AE12" s="107"/>
      <c r="AF12" s="108"/>
    </row>
    <row r="13" spans="1:32" ht="26.25" customHeight="1">
      <c r="A13" s="185" t="s">
        <v>80</v>
      </c>
      <c r="B13" s="117"/>
      <c r="C13" s="347"/>
      <c r="D13" s="348"/>
      <c r="E13" s="348"/>
      <c r="F13" s="348"/>
      <c r="G13" s="349"/>
      <c r="H13" s="38"/>
      <c r="I13" s="39"/>
      <c r="J13" s="39"/>
      <c r="K13" s="39"/>
      <c r="L13" s="97"/>
      <c r="M13" s="40"/>
      <c r="N13" s="41"/>
      <c r="O13" s="41"/>
      <c r="P13" s="41"/>
      <c r="Q13" s="100"/>
      <c r="R13" s="42"/>
      <c r="S13" s="43"/>
      <c r="T13" s="43"/>
      <c r="U13" s="43"/>
      <c r="V13" s="105"/>
      <c r="W13" s="103"/>
      <c r="X13" s="41"/>
      <c r="Y13" s="103"/>
      <c r="Z13" s="41"/>
      <c r="AA13" s="100"/>
      <c r="AB13" s="42"/>
      <c r="AC13" s="43"/>
      <c r="AD13" s="43"/>
      <c r="AE13" s="107"/>
      <c r="AF13" s="108"/>
    </row>
    <row r="14" spans="1:32" ht="26.25" customHeight="1">
      <c r="A14" s="185" t="s">
        <v>81</v>
      </c>
      <c r="B14" s="117"/>
      <c r="C14" s="347"/>
      <c r="D14" s="348"/>
      <c r="E14" s="348"/>
      <c r="F14" s="348"/>
      <c r="G14" s="349"/>
      <c r="H14" s="38"/>
      <c r="I14" s="39"/>
      <c r="J14" s="39"/>
      <c r="K14" s="39"/>
      <c r="L14" s="97"/>
      <c r="M14" s="40"/>
      <c r="N14" s="41"/>
      <c r="O14" s="41"/>
      <c r="P14" s="41"/>
      <c r="Q14" s="100"/>
      <c r="R14" s="42"/>
      <c r="S14" s="43"/>
      <c r="T14" s="43"/>
      <c r="U14" s="43"/>
      <c r="V14" s="105"/>
      <c r="W14" s="103"/>
      <c r="X14" s="41"/>
      <c r="Y14" s="103"/>
      <c r="Z14" s="41"/>
      <c r="AA14" s="100"/>
      <c r="AB14" s="42"/>
      <c r="AC14" s="43"/>
      <c r="AD14" s="43"/>
      <c r="AE14" s="107"/>
      <c r="AF14" s="108"/>
    </row>
    <row r="15" spans="1:32" ht="26.25" customHeight="1">
      <c r="A15" s="186" t="s">
        <v>82</v>
      </c>
      <c r="B15" s="118"/>
      <c r="C15" s="350"/>
      <c r="D15" s="351"/>
      <c r="E15" s="351"/>
      <c r="F15" s="351"/>
      <c r="G15" s="352"/>
      <c r="H15" s="45"/>
      <c r="I15" s="46"/>
      <c r="J15" s="46"/>
      <c r="K15" s="46"/>
      <c r="L15" s="98"/>
      <c r="M15" s="48"/>
      <c r="N15" s="49"/>
      <c r="O15" s="49"/>
      <c r="P15" s="49"/>
      <c r="Q15" s="101"/>
      <c r="R15" s="50"/>
      <c r="S15" s="51"/>
      <c r="T15" s="51"/>
      <c r="U15" s="51"/>
      <c r="V15" s="106"/>
      <c r="W15" s="104"/>
      <c r="X15" s="49"/>
      <c r="Y15" s="103"/>
      <c r="Z15" s="41"/>
      <c r="AA15" s="101"/>
      <c r="AB15" s="50"/>
      <c r="AC15" s="51"/>
      <c r="AD15" s="51"/>
      <c r="AE15" s="109"/>
      <c r="AF15" s="110"/>
    </row>
    <row r="16" spans="1:32" ht="26.25" customHeight="1"/>
    <row r="17" spans="1:32" ht="26.25" customHeight="1"/>
    <row r="18" spans="1:32" ht="26.25" customHeight="1"/>
    <row r="19" spans="1:32" ht="26.25" customHeight="1"/>
    <row r="20" spans="1:32" ht="26.25" customHeight="1"/>
    <row r="21" spans="1:32" ht="26.25" customHeight="1"/>
    <row r="22" spans="1:32" ht="26.25" customHeight="1">
      <c r="A22" s="174"/>
      <c r="B22" s="174"/>
      <c r="C22" s="174"/>
      <c r="D22" s="174"/>
      <c r="E22" s="174"/>
      <c r="F22" s="174"/>
      <c r="G22" s="174"/>
      <c r="H22" s="174"/>
      <c r="I22" s="174"/>
      <c r="J22" s="174"/>
      <c r="K22" s="174"/>
      <c r="L22" s="174"/>
      <c r="M22" s="174"/>
      <c r="N22" s="174"/>
      <c r="O22" s="174"/>
      <c r="P22" s="174"/>
      <c r="Q22" s="174"/>
      <c r="R22" s="174"/>
      <c r="S22" s="174"/>
      <c r="T22" s="174"/>
      <c r="U22" s="174"/>
      <c r="V22" s="174"/>
      <c r="W22" s="174"/>
      <c r="X22" s="174"/>
      <c r="Y22" s="174"/>
      <c r="Z22" s="174"/>
      <c r="AA22" s="174"/>
      <c r="AB22" s="174"/>
      <c r="AC22" s="174"/>
      <c r="AD22" s="174"/>
      <c r="AE22" s="174"/>
      <c r="AF22" s="174"/>
    </row>
    <row r="23" spans="1:32" ht="39.6" customHeight="1">
      <c r="A23" s="54" t="s">
        <v>72</v>
      </c>
      <c r="B23" s="272"/>
      <c r="C23" s="315" t="s">
        <v>70</v>
      </c>
      <c r="D23" s="319"/>
      <c r="E23" s="319"/>
      <c r="F23" s="319"/>
      <c r="G23" s="316"/>
      <c r="H23" s="325" t="s">
        <v>70</v>
      </c>
      <c r="I23" s="314"/>
      <c r="J23" s="314"/>
      <c r="K23" s="314"/>
      <c r="L23" s="326"/>
      <c r="M23" s="315" t="s">
        <v>70</v>
      </c>
      <c r="N23" s="319"/>
      <c r="O23" s="319"/>
      <c r="P23" s="319"/>
      <c r="Q23" s="316"/>
      <c r="R23" s="325" t="s">
        <v>70</v>
      </c>
      <c r="S23" s="314"/>
      <c r="T23" s="314"/>
      <c r="U23" s="314"/>
      <c r="V23" s="326"/>
      <c r="W23" s="315" t="s">
        <v>70</v>
      </c>
      <c r="X23" s="319"/>
      <c r="Y23" s="319"/>
      <c r="Z23" s="319"/>
      <c r="AA23" s="316"/>
      <c r="AB23" s="325" t="s">
        <v>70</v>
      </c>
      <c r="AC23" s="314"/>
      <c r="AD23" s="314"/>
      <c r="AE23" s="314"/>
      <c r="AF23" s="326"/>
    </row>
    <row r="24" spans="1:32" ht="26.25" customHeight="1">
      <c r="A24" s="274"/>
      <c r="B24" s="271"/>
      <c r="C24" s="33" t="str">
        <f>IF(C23&lt;&gt;" ","A","")</f>
        <v/>
      </c>
      <c r="D24" s="34" t="str">
        <f>IF(C23&lt;&gt;" ","L","")</f>
        <v/>
      </c>
      <c r="E24" s="34" t="str">
        <f>IF(C23&lt;&gt;" ","V","")</f>
        <v/>
      </c>
      <c r="F24" s="34" t="str">
        <f>IF(C23&lt;&gt;" ","P","")</f>
        <v/>
      </c>
      <c r="G24" s="35" t="str">
        <f>IF(C23&lt;&gt;" ","I","")</f>
        <v/>
      </c>
      <c r="H24" s="31" t="str">
        <f>IF(H23&lt;&gt;" ","A","")</f>
        <v/>
      </c>
      <c r="I24" s="32" t="str">
        <f>IF(H23&lt;&gt;" ","L","")</f>
        <v/>
      </c>
      <c r="J24" s="32" t="str">
        <f>IF(H23&lt;&gt;" ","V","")</f>
        <v/>
      </c>
      <c r="K24" s="32" t="str">
        <f>IF(H23&lt;&gt;" ","P","")</f>
        <v/>
      </c>
      <c r="L24" s="37" t="str">
        <f>IF(H23&lt;&gt;" ","I","")</f>
        <v/>
      </c>
      <c r="M24" s="33" t="str">
        <f>IF(M23&lt;&gt;" ","A","")</f>
        <v/>
      </c>
      <c r="N24" s="34" t="str">
        <f>IF(M23&lt;&gt;" ","L","")</f>
        <v/>
      </c>
      <c r="O24" s="34" t="str">
        <f>IF(M23&lt;&gt;" ","V","")</f>
        <v/>
      </c>
      <c r="P24" s="34" t="str">
        <f>IF(M23&lt;&gt;" ","P","")</f>
        <v/>
      </c>
      <c r="Q24" s="35" t="str">
        <f>IF(M23&lt;&gt;" ","I","")</f>
        <v/>
      </c>
      <c r="R24" s="31" t="str">
        <f>IF(R23&lt;&gt;" ","A","")</f>
        <v/>
      </c>
      <c r="S24" s="32" t="str">
        <f>IF(R23&lt;&gt;" ","L","")</f>
        <v/>
      </c>
      <c r="T24" s="32" t="str">
        <f>IF(R23&lt;&gt;" ","V","")</f>
        <v/>
      </c>
      <c r="U24" s="32" t="str">
        <f>IF(R23&lt;&gt;" ","P","")</f>
        <v/>
      </c>
      <c r="V24" s="37" t="str">
        <f>IF(R23&lt;&gt;" ","I","")</f>
        <v/>
      </c>
      <c r="W24" s="33" t="str">
        <f>IF(W23&lt;&gt;" ","A","")</f>
        <v/>
      </c>
      <c r="X24" s="34" t="str">
        <f>IF(W23&lt;&gt;" ","L","")</f>
        <v/>
      </c>
      <c r="Y24" s="34" t="str">
        <f>IF(W23&lt;&gt;" ","V","")</f>
        <v/>
      </c>
      <c r="Z24" s="34" t="str">
        <f>IF(W23&lt;&gt;" ","P","")</f>
        <v/>
      </c>
      <c r="AA24" s="35" t="str">
        <f>IF(W23&lt;&gt;" ","I","")</f>
        <v/>
      </c>
      <c r="AB24" s="31" t="str">
        <f>IF(AB23&lt;&gt;" ","A","")</f>
        <v/>
      </c>
      <c r="AC24" s="32" t="str">
        <f>IF(AB23&lt;&gt;" ","L","")</f>
        <v/>
      </c>
      <c r="AD24" s="32" t="str">
        <f>IF(AB23&lt;&gt;" ","V","")</f>
        <v/>
      </c>
      <c r="AE24" s="32" t="str">
        <f>IF(AB23&lt;&gt;" ","P","")</f>
        <v/>
      </c>
      <c r="AF24" s="37" t="str">
        <f>IF(AB23&lt;&gt;" ","I","")</f>
        <v/>
      </c>
    </row>
    <row r="25" spans="1:32" ht="26.25" customHeight="1">
      <c r="A25" s="266" t="s">
        <v>78</v>
      </c>
      <c r="B25" s="117"/>
      <c r="C25" s="347"/>
      <c r="D25" s="348"/>
      <c r="E25" s="348"/>
      <c r="F25" s="348"/>
      <c r="G25" s="349"/>
      <c r="H25" s="38"/>
      <c r="I25" s="39"/>
      <c r="J25" s="39"/>
      <c r="K25" s="39"/>
      <c r="L25" s="97"/>
      <c r="M25" s="40"/>
      <c r="N25" s="41"/>
      <c r="O25" s="41"/>
      <c r="P25" s="41"/>
      <c r="Q25" s="100"/>
      <c r="R25" s="42"/>
      <c r="S25" s="43"/>
      <c r="T25" s="43"/>
      <c r="U25" s="43"/>
      <c r="V25" s="105"/>
      <c r="W25" s="103"/>
      <c r="X25" s="357"/>
      <c r="Y25" s="103"/>
      <c r="Z25" s="41"/>
      <c r="AA25" s="100"/>
      <c r="AB25" s="42"/>
      <c r="AC25" s="43"/>
      <c r="AD25" s="43"/>
      <c r="AE25" s="107"/>
      <c r="AF25" s="108"/>
    </row>
    <row r="26" spans="1:32" ht="26.25" customHeight="1">
      <c r="A26" s="185" t="s">
        <v>79</v>
      </c>
      <c r="B26" s="117"/>
      <c r="C26" s="347"/>
      <c r="D26" s="348"/>
      <c r="E26" s="348"/>
      <c r="F26" s="348"/>
      <c r="G26" s="349"/>
      <c r="H26" s="38"/>
      <c r="I26" s="39"/>
      <c r="J26" s="39"/>
      <c r="K26" s="39"/>
      <c r="L26" s="97"/>
      <c r="M26" s="40"/>
      <c r="N26" s="41"/>
      <c r="O26" s="41"/>
      <c r="P26" s="41"/>
      <c r="Q26" s="100"/>
      <c r="R26" s="42"/>
      <c r="S26" s="43"/>
      <c r="T26" s="43"/>
      <c r="U26" s="43"/>
      <c r="V26" s="105"/>
      <c r="W26" s="103"/>
      <c r="X26" s="41"/>
      <c r="Y26" s="103"/>
      <c r="Z26" s="41"/>
      <c r="AA26" s="100"/>
      <c r="AB26" s="42"/>
      <c r="AC26" s="43"/>
      <c r="AD26" s="43"/>
      <c r="AE26" s="107"/>
      <c r="AF26" s="108"/>
    </row>
    <row r="27" spans="1:32" ht="26.25" customHeight="1">
      <c r="A27" s="185" t="s">
        <v>80</v>
      </c>
      <c r="B27" s="117"/>
      <c r="C27" s="347"/>
      <c r="D27" s="348"/>
      <c r="E27" s="348"/>
      <c r="F27" s="348"/>
      <c r="G27" s="349"/>
      <c r="H27" s="38"/>
      <c r="I27" s="39"/>
      <c r="J27" s="39"/>
      <c r="K27" s="39"/>
      <c r="L27" s="97"/>
      <c r="M27" s="40"/>
      <c r="N27" s="41"/>
      <c r="O27" s="41"/>
      <c r="P27" s="41"/>
      <c r="Q27" s="100"/>
      <c r="R27" s="42"/>
      <c r="S27" s="43"/>
      <c r="T27" s="43"/>
      <c r="U27" s="43"/>
      <c r="V27" s="105"/>
      <c r="W27" s="103"/>
      <c r="X27" s="41"/>
      <c r="Y27" s="103"/>
      <c r="Z27" s="41"/>
      <c r="AA27" s="100"/>
      <c r="AB27" s="42"/>
      <c r="AC27" s="43"/>
      <c r="AD27" s="43"/>
      <c r="AE27" s="107"/>
      <c r="AF27" s="108"/>
    </row>
    <row r="28" spans="1:32" ht="26.25" customHeight="1">
      <c r="A28" s="185" t="s">
        <v>81</v>
      </c>
      <c r="B28" s="117"/>
      <c r="C28" s="347"/>
      <c r="D28" s="348"/>
      <c r="E28" s="348"/>
      <c r="F28" s="348"/>
      <c r="G28" s="349"/>
      <c r="H28" s="38"/>
      <c r="I28" s="39"/>
      <c r="J28" s="39"/>
      <c r="K28" s="39"/>
      <c r="L28" s="97"/>
      <c r="M28" s="40"/>
      <c r="N28" s="41"/>
      <c r="O28" s="41"/>
      <c r="P28" s="41"/>
      <c r="Q28" s="100"/>
      <c r="R28" s="42"/>
      <c r="S28" s="43"/>
      <c r="T28" s="43"/>
      <c r="U28" s="43"/>
      <c r="V28" s="105"/>
      <c r="W28" s="103"/>
      <c r="X28" s="41"/>
      <c r="Y28" s="103"/>
      <c r="Z28" s="41"/>
      <c r="AA28" s="100"/>
      <c r="AB28" s="42"/>
      <c r="AC28" s="43"/>
      <c r="AD28" s="43"/>
      <c r="AE28" s="107"/>
      <c r="AF28" s="108"/>
    </row>
    <row r="29" spans="1:32" ht="26.25" customHeight="1">
      <c r="A29" s="186" t="s">
        <v>82</v>
      </c>
      <c r="B29" s="118"/>
      <c r="C29" s="350"/>
      <c r="D29" s="351"/>
      <c r="E29" s="351"/>
      <c r="F29" s="351"/>
      <c r="G29" s="352"/>
      <c r="H29" s="45"/>
      <c r="I29" s="46"/>
      <c r="J29" s="46"/>
      <c r="K29" s="46"/>
      <c r="L29" s="98"/>
      <c r="M29" s="48"/>
      <c r="N29" s="49"/>
      <c r="O29" s="49"/>
      <c r="P29" s="49"/>
      <c r="Q29" s="101"/>
      <c r="R29" s="50"/>
      <c r="S29" s="51"/>
      <c r="T29" s="51"/>
      <c r="U29" s="51"/>
      <c r="V29" s="106"/>
      <c r="W29" s="104"/>
      <c r="X29" s="49"/>
      <c r="Y29" s="103"/>
      <c r="Z29" s="41"/>
      <c r="AA29" s="101"/>
      <c r="AB29" s="50"/>
      <c r="AC29" s="51"/>
      <c r="AD29" s="51"/>
      <c r="AE29" s="109"/>
      <c r="AF29" s="110"/>
    </row>
    <row r="30" spans="1:32" ht="39.6" customHeight="1">
      <c r="A30" s="273"/>
      <c r="B30" s="272"/>
      <c r="C30" s="315" t="s">
        <v>70</v>
      </c>
      <c r="D30" s="319"/>
      <c r="E30" s="319"/>
      <c r="F30" s="319"/>
      <c r="G30" s="316"/>
      <c r="H30" s="325" t="s">
        <v>70</v>
      </c>
      <c r="I30" s="314"/>
      <c r="J30" s="314"/>
      <c r="K30" s="314"/>
      <c r="L30" s="326"/>
      <c r="M30" s="315" t="s">
        <v>70</v>
      </c>
      <c r="N30" s="319"/>
      <c r="O30" s="319"/>
      <c r="P30" s="319"/>
      <c r="Q30" s="316"/>
      <c r="R30" s="325" t="s">
        <v>70</v>
      </c>
      <c r="S30" s="314"/>
      <c r="T30" s="314"/>
      <c r="U30" s="314"/>
      <c r="V30" s="326"/>
      <c r="W30" s="315" t="s">
        <v>70</v>
      </c>
      <c r="X30" s="319"/>
      <c r="Y30" s="319"/>
      <c r="Z30" s="319"/>
      <c r="AA30" s="316"/>
      <c r="AB30" s="325" t="s">
        <v>70</v>
      </c>
      <c r="AC30" s="314"/>
      <c r="AD30" s="314"/>
      <c r="AE30" s="314"/>
      <c r="AF30" s="326"/>
    </row>
    <row r="31" spans="1:32" ht="26.25" customHeight="1">
      <c r="A31" s="274"/>
      <c r="B31" s="271"/>
      <c r="C31" s="33" t="str">
        <f>IF(C30&lt;&gt;" ","A","")</f>
        <v/>
      </c>
      <c r="D31" s="34" t="str">
        <f>IF(C30&lt;&gt;" ","L","")</f>
        <v/>
      </c>
      <c r="E31" s="34" t="str">
        <f>IF(C30&lt;&gt;" ","V","")</f>
        <v/>
      </c>
      <c r="F31" s="34" t="str">
        <f>IF(C30&lt;&gt;" ","P","")</f>
        <v/>
      </c>
      <c r="G31" s="35" t="str">
        <f>IF(C30&lt;&gt;" ","I","")</f>
        <v/>
      </c>
      <c r="H31" s="31" t="str">
        <f>IF(H30&lt;&gt;" ","A","")</f>
        <v/>
      </c>
      <c r="I31" s="32" t="str">
        <f>IF(H30&lt;&gt;" ","L","")</f>
        <v/>
      </c>
      <c r="J31" s="32" t="str">
        <f>IF(H30&lt;&gt;" ","V","")</f>
        <v/>
      </c>
      <c r="K31" s="32" t="str">
        <f>IF(H30&lt;&gt;" ","P","")</f>
        <v/>
      </c>
      <c r="L31" s="37" t="str">
        <f>IF(H30&lt;&gt;" ","I","")</f>
        <v/>
      </c>
      <c r="M31" s="33" t="str">
        <f>IF(M30&lt;&gt;" ","A","")</f>
        <v/>
      </c>
      <c r="N31" s="34" t="str">
        <f>IF(M30&lt;&gt;" ","L","")</f>
        <v/>
      </c>
      <c r="O31" s="34" t="str">
        <f>IF(M30&lt;&gt;" ","V","")</f>
        <v/>
      </c>
      <c r="P31" s="34" t="str">
        <f>IF(M30&lt;&gt;" ","P","")</f>
        <v/>
      </c>
      <c r="Q31" s="35" t="str">
        <f>IF(M30&lt;&gt;" ","I","")</f>
        <v/>
      </c>
      <c r="R31" s="31" t="str">
        <f>IF(R30&lt;&gt;" ","A","")</f>
        <v/>
      </c>
      <c r="S31" s="32" t="str">
        <f>IF(R30&lt;&gt;" ","L","")</f>
        <v/>
      </c>
      <c r="T31" s="32" t="str">
        <f>IF(R30&lt;&gt;" ","V","")</f>
        <v/>
      </c>
      <c r="U31" s="32" t="str">
        <f>IF(R30&lt;&gt;" ","P","")</f>
        <v/>
      </c>
      <c r="V31" s="37" t="str">
        <f>IF(R30&lt;&gt;" ","I","")</f>
        <v/>
      </c>
      <c r="W31" s="33" t="str">
        <f>IF(W30&lt;&gt;" ","A","")</f>
        <v/>
      </c>
      <c r="X31" s="34" t="str">
        <f>IF(W30&lt;&gt;" ","L","")</f>
        <v/>
      </c>
      <c r="Y31" s="34" t="str">
        <f>IF(W30&lt;&gt;" ","V","")</f>
        <v/>
      </c>
      <c r="Z31" s="34" t="str">
        <f>IF(W30&lt;&gt;" ","P","")</f>
        <v/>
      </c>
      <c r="AA31" s="35" t="str">
        <f>IF(W30&lt;&gt;" ","I","")</f>
        <v/>
      </c>
      <c r="AB31" s="31" t="str">
        <f>IF(AB30&lt;&gt;" ","A","")</f>
        <v/>
      </c>
      <c r="AC31" s="32" t="str">
        <f>IF(AB30&lt;&gt;" ","L","")</f>
        <v/>
      </c>
      <c r="AD31" s="32" t="str">
        <f>IF(AB30&lt;&gt;" ","V","")</f>
        <v/>
      </c>
      <c r="AE31" s="32" t="str">
        <f>IF(AB30&lt;&gt;" ","P","")</f>
        <v/>
      </c>
      <c r="AF31" s="37" t="str">
        <f>IF(AB30&lt;&gt;" ","I","")</f>
        <v/>
      </c>
    </row>
    <row r="32" spans="1:32" ht="26.25" customHeight="1">
      <c r="A32" s="266" t="s">
        <v>78</v>
      </c>
      <c r="B32" s="117"/>
      <c r="C32" s="347"/>
      <c r="D32" s="348"/>
      <c r="E32" s="348"/>
      <c r="F32" s="348"/>
      <c r="G32" s="349"/>
      <c r="H32" s="38"/>
      <c r="I32" s="39"/>
      <c r="J32" s="39"/>
      <c r="K32" s="39"/>
      <c r="L32" s="97"/>
      <c r="M32" s="40"/>
      <c r="N32" s="41"/>
      <c r="O32" s="41"/>
      <c r="P32" s="41"/>
      <c r="Q32" s="100"/>
      <c r="R32" s="42"/>
      <c r="S32" s="43"/>
      <c r="T32" s="43"/>
      <c r="U32" s="43"/>
      <c r="V32" s="105"/>
      <c r="W32" s="103"/>
      <c r="X32" s="357"/>
      <c r="Y32" s="103"/>
      <c r="Z32" s="41"/>
      <c r="AA32" s="100"/>
      <c r="AB32" s="42"/>
      <c r="AC32" s="43"/>
      <c r="AD32" s="43"/>
      <c r="AE32" s="107"/>
      <c r="AF32" s="108"/>
    </row>
    <row r="33" spans="1:32" ht="26.25" customHeight="1">
      <c r="A33" s="185" t="s">
        <v>79</v>
      </c>
      <c r="B33" s="117"/>
      <c r="C33" s="347"/>
      <c r="D33" s="348"/>
      <c r="E33" s="348"/>
      <c r="F33" s="348"/>
      <c r="G33" s="349"/>
      <c r="H33" s="38"/>
      <c r="I33" s="39"/>
      <c r="J33" s="39"/>
      <c r="K33" s="39"/>
      <c r="L33" s="97"/>
      <c r="M33" s="40"/>
      <c r="N33" s="41"/>
      <c r="O33" s="41"/>
      <c r="P33" s="41"/>
      <c r="Q33" s="100"/>
      <c r="R33" s="42"/>
      <c r="S33" s="43"/>
      <c r="T33" s="43"/>
      <c r="U33" s="43"/>
      <c r="V33" s="105"/>
      <c r="W33" s="103"/>
      <c r="X33" s="41"/>
      <c r="Y33" s="103"/>
      <c r="Z33" s="41"/>
      <c r="AA33" s="100"/>
      <c r="AB33" s="42"/>
      <c r="AC33" s="43"/>
      <c r="AD33" s="43"/>
      <c r="AE33" s="107"/>
      <c r="AF33" s="108"/>
    </row>
    <row r="34" spans="1:32" ht="26.25" customHeight="1">
      <c r="A34" s="185" t="s">
        <v>80</v>
      </c>
      <c r="B34" s="117"/>
      <c r="C34" s="347"/>
      <c r="D34" s="348"/>
      <c r="E34" s="348"/>
      <c r="F34" s="348"/>
      <c r="G34" s="349"/>
      <c r="H34" s="38"/>
      <c r="I34" s="39"/>
      <c r="J34" s="39"/>
      <c r="K34" s="39"/>
      <c r="L34" s="97"/>
      <c r="M34" s="40"/>
      <c r="N34" s="41"/>
      <c r="O34" s="41"/>
      <c r="P34" s="41"/>
      <c r="Q34" s="100"/>
      <c r="R34" s="42"/>
      <c r="S34" s="43"/>
      <c r="T34" s="43"/>
      <c r="U34" s="43"/>
      <c r="V34" s="105"/>
      <c r="W34" s="103"/>
      <c r="X34" s="41"/>
      <c r="Y34" s="103"/>
      <c r="Z34" s="41"/>
      <c r="AA34" s="100"/>
      <c r="AB34" s="42"/>
      <c r="AC34" s="43"/>
      <c r="AD34" s="43"/>
      <c r="AE34" s="107"/>
      <c r="AF34" s="108"/>
    </row>
    <row r="35" spans="1:32" ht="26.25" customHeight="1">
      <c r="A35" s="185" t="s">
        <v>81</v>
      </c>
      <c r="B35" s="117"/>
      <c r="C35" s="347"/>
      <c r="D35" s="348"/>
      <c r="E35" s="348"/>
      <c r="F35" s="348"/>
      <c r="G35" s="349"/>
      <c r="H35" s="38"/>
      <c r="I35" s="39"/>
      <c r="J35" s="39"/>
      <c r="K35" s="39"/>
      <c r="L35" s="97"/>
      <c r="M35" s="40"/>
      <c r="N35" s="41"/>
      <c r="O35" s="41"/>
      <c r="P35" s="41"/>
      <c r="Q35" s="100"/>
      <c r="R35" s="42"/>
      <c r="S35" s="43"/>
      <c r="T35" s="43"/>
      <c r="U35" s="43"/>
      <c r="V35" s="105"/>
      <c r="W35" s="103"/>
      <c r="X35" s="41"/>
      <c r="Y35" s="103"/>
      <c r="Z35" s="41"/>
      <c r="AA35" s="100"/>
      <c r="AB35" s="42"/>
      <c r="AC35" s="43"/>
      <c r="AD35" s="43"/>
      <c r="AE35" s="107"/>
      <c r="AF35" s="108"/>
    </row>
    <row r="36" spans="1:32" ht="26.25" customHeight="1">
      <c r="A36" s="186" t="s">
        <v>82</v>
      </c>
      <c r="B36" s="118"/>
      <c r="C36" s="350"/>
      <c r="D36" s="351"/>
      <c r="E36" s="351"/>
      <c r="F36" s="351"/>
      <c r="G36" s="352"/>
      <c r="H36" s="45"/>
      <c r="I36" s="46"/>
      <c r="J36" s="46"/>
      <c r="K36" s="46"/>
      <c r="L36" s="98"/>
      <c r="M36" s="48"/>
      <c r="N36" s="49"/>
      <c r="O36" s="49"/>
      <c r="P36" s="49"/>
      <c r="Q36" s="101"/>
      <c r="R36" s="50"/>
      <c r="S36" s="51"/>
      <c r="T36" s="51"/>
      <c r="U36" s="51"/>
      <c r="V36" s="106"/>
      <c r="W36" s="104"/>
      <c r="X36" s="49"/>
      <c r="Y36" s="104"/>
      <c r="Z36" s="49"/>
      <c r="AA36" s="101"/>
      <c r="AB36" s="50"/>
      <c r="AC36" s="51"/>
      <c r="AD36" s="51"/>
      <c r="AE36" s="109"/>
      <c r="AF36" s="110"/>
    </row>
  </sheetData>
  <sheetProtection formatCells="0" formatColumns="0" formatRows="0"/>
  <mergeCells count="3">
    <mergeCell ref="A1:B1"/>
    <mergeCell ref="D1:E1"/>
    <mergeCell ref="C2:G2"/>
  </mergeCells>
  <printOptions horizontalCentered="1"/>
  <pageMargins left="0" right="0" top="0.23622047244094491" bottom="0" header="0.31496062992125984" footer="0.31496062992125984"/>
  <pageSetup paperSize="9" fitToHeight="0" orientation="landscape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891D4-E052-4DBB-9DC0-2DFC3AF419EB}">
  <sheetPr codeName="Taul11">
    <tabColor rgb="FFFFC000"/>
  </sheetPr>
  <dimension ref="A1:AF40"/>
  <sheetViews>
    <sheetView showGridLines="0" showZeros="0" zoomScale="115" zoomScaleNormal="115" workbookViewId="0">
      <selection sqref="A1:B1"/>
    </sheetView>
  </sheetViews>
  <sheetFormatPr defaultColWidth="15.140625" defaultRowHeight="15" customHeight="1"/>
  <cols>
    <col min="1" max="1" width="4.42578125" customWidth="1"/>
    <col min="2" max="7" width="4.42578125" style="13" customWidth="1"/>
    <col min="8" max="32" width="4.42578125" customWidth="1"/>
  </cols>
  <sheetData>
    <row r="1" spans="1:32" ht="26.25" customHeight="1">
      <c r="A1" s="605"/>
      <c r="B1" s="606"/>
      <c r="C1" s="27" t="s">
        <v>71</v>
      </c>
      <c r="D1" s="610"/>
      <c r="E1" s="610"/>
      <c r="F1" s="313"/>
      <c r="G1" s="188"/>
      <c r="H1" s="57"/>
      <c r="I1" s="26"/>
      <c r="J1" s="94"/>
      <c r="K1" s="94"/>
      <c r="L1" s="94"/>
      <c r="M1" s="94"/>
      <c r="N1" s="25"/>
      <c r="O1" s="95"/>
      <c r="P1" s="95"/>
      <c r="Q1" s="95"/>
      <c r="R1" s="95"/>
      <c r="S1" s="28"/>
      <c r="T1" s="28"/>
      <c r="U1" s="28"/>
      <c r="V1" s="28"/>
      <c r="W1" s="29"/>
      <c r="X1" s="29"/>
      <c r="Y1" s="29"/>
      <c r="Z1" s="29"/>
      <c r="AA1" s="29"/>
      <c r="AB1" s="29"/>
      <c r="AC1" s="29"/>
      <c r="AD1" s="29"/>
      <c r="AE1" s="29"/>
      <c r="AF1" s="190"/>
    </row>
    <row r="2" spans="1:32" s="30" customFormat="1" ht="39.6" customHeight="1">
      <c r="A2" s="187" t="s">
        <v>72</v>
      </c>
      <c r="B2" s="96" t="s">
        <v>73</v>
      </c>
      <c r="C2" s="608" t="s">
        <v>74</v>
      </c>
      <c r="D2" s="611"/>
      <c r="E2" s="611"/>
      <c r="F2" s="611"/>
      <c r="G2" s="612"/>
      <c r="H2" s="323" t="s">
        <v>70</v>
      </c>
      <c r="I2" s="324"/>
      <c r="J2" s="324"/>
      <c r="K2" s="324"/>
      <c r="L2" s="327"/>
      <c r="M2" s="320" t="s">
        <v>70</v>
      </c>
      <c r="N2" s="321"/>
      <c r="O2" s="321"/>
      <c r="P2" s="321"/>
      <c r="Q2" s="322"/>
      <c r="R2" s="323" t="s">
        <v>70</v>
      </c>
      <c r="S2" s="324"/>
      <c r="T2" s="324"/>
      <c r="U2" s="324"/>
      <c r="V2" s="327"/>
      <c r="W2" s="320" t="s">
        <v>70</v>
      </c>
      <c r="X2" s="321"/>
      <c r="Y2" s="321"/>
      <c r="Z2" s="321"/>
      <c r="AA2" s="322"/>
      <c r="AB2" s="323" t="s">
        <v>70</v>
      </c>
      <c r="AC2" s="324"/>
      <c r="AD2" s="324"/>
      <c r="AE2" s="324"/>
      <c r="AF2" s="327"/>
    </row>
    <row r="3" spans="1:32" ht="26.25" customHeight="1">
      <c r="A3" s="184"/>
      <c r="B3" s="116"/>
      <c r="C3" s="119" t="s">
        <v>75</v>
      </c>
      <c r="D3" s="34" t="s">
        <v>76</v>
      </c>
      <c r="E3" s="99" t="s">
        <v>77</v>
      </c>
      <c r="F3" s="34" t="s">
        <v>68</v>
      </c>
      <c r="G3" s="120" t="s">
        <v>84</v>
      </c>
      <c r="H3" s="31" t="str">
        <f>IF(H2&lt;&gt;" ","A","")</f>
        <v/>
      </c>
      <c r="I3" s="32" t="str">
        <f>IF(H2&lt;&gt;" ","L","")</f>
        <v/>
      </c>
      <c r="J3" s="32" t="str">
        <f>IF(H2&lt;&gt;" ","V","")</f>
        <v/>
      </c>
      <c r="K3" s="32" t="str">
        <f>IF(H2&lt;&gt;" ","P","")</f>
        <v/>
      </c>
      <c r="L3" s="37" t="str">
        <f>IF(H2&lt;&gt;" ","I","")</f>
        <v/>
      </c>
      <c r="M3" s="33" t="str">
        <f>IF(M2&lt;&gt;" ","A","")</f>
        <v/>
      </c>
      <c r="N3" s="34" t="str">
        <f>IF(M2&lt;&gt;" ","L","")</f>
        <v/>
      </c>
      <c r="O3" s="34" t="str">
        <f>IF(M2&lt;&gt;" ","V","")</f>
        <v/>
      </c>
      <c r="P3" s="34" t="str">
        <f>IF(M2&lt;&gt;" ","P","")</f>
        <v/>
      </c>
      <c r="Q3" s="35" t="str">
        <f>IF(M2&lt;&gt;" ","I","")</f>
        <v/>
      </c>
      <c r="R3" s="31" t="str">
        <f>IF(R2&lt;&gt;" ","A","")</f>
        <v/>
      </c>
      <c r="S3" s="32" t="str">
        <f>IF(R2&lt;&gt;" ","L","")</f>
        <v/>
      </c>
      <c r="T3" s="32" t="str">
        <f>IF(R2&lt;&gt;" ","V","")</f>
        <v/>
      </c>
      <c r="U3" s="32" t="str">
        <f>IF(R2&lt;&gt;" ","P","")</f>
        <v/>
      </c>
      <c r="V3" s="37" t="str">
        <f>IF(R2&lt;&gt;" ","I","")</f>
        <v/>
      </c>
      <c r="W3" s="33" t="str">
        <f>IF(W2&lt;&gt;" ","A","")</f>
        <v/>
      </c>
      <c r="X3" s="34" t="str">
        <f>IF(W2&lt;&gt;" ","L","")</f>
        <v/>
      </c>
      <c r="Y3" s="34" t="str">
        <f>IF(W2&lt;&gt;" ","V","")</f>
        <v/>
      </c>
      <c r="Z3" s="34" t="str">
        <f>IF(W2&lt;&gt;" ","P","")</f>
        <v/>
      </c>
      <c r="AA3" s="35" t="str">
        <f>IF(W2&lt;&gt;" ","I","")</f>
        <v/>
      </c>
      <c r="AB3" s="31" t="str">
        <f>IF(AB2&lt;&gt;" ","A","")</f>
        <v/>
      </c>
      <c r="AC3" s="32" t="str">
        <f>IF(AB2&lt;&gt;" ","L","")</f>
        <v/>
      </c>
      <c r="AD3" s="32" t="str">
        <f>IF(AB2&lt;&gt;" ","V","")</f>
        <v/>
      </c>
      <c r="AE3" s="32" t="str">
        <f>IF(AB2&lt;&gt;" ","P","")</f>
        <v/>
      </c>
      <c r="AF3" s="37" t="str">
        <f>IF(AB2&lt;&gt;" ","I","")</f>
        <v/>
      </c>
    </row>
    <row r="4" spans="1:32" ht="26.25" customHeight="1">
      <c r="A4" s="275" t="s">
        <v>78</v>
      </c>
      <c r="B4" s="193"/>
      <c r="C4" s="168"/>
      <c r="D4" s="245"/>
      <c r="E4" s="135"/>
      <c r="F4" s="257"/>
      <c r="G4" s="169"/>
      <c r="H4" s="197"/>
      <c r="I4" s="198"/>
      <c r="J4" s="198"/>
      <c r="K4" s="198"/>
      <c r="L4" s="199"/>
      <c r="M4" s="276"/>
      <c r="N4" s="277"/>
      <c r="O4" s="278"/>
      <c r="P4" s="279"/>
      <c r="Q4" s="280"/>
      <c r="R4" s="197"/>
      <c r="S4" s="251"/>
      <c r="T4" s="198"/>
      <c r="U4" s="197"/>
      <c r="V4" s="199"/>
      <c r="W4" s="279"/>
      <c r="X4" s="328"/>
      <c r="Y4" s="278"/>
      <c r="Z4" s="279"/>
      <c r="AA4" s="280"/>
      <c r="AB4" s="197"/>
      <c r="AC4" s="251"/>
      <c r="AD4" s="198"/>
      <c r="AE4" s="53"/>
      <c r="AF4" s="201"/>
    </row>
    <row r="5" spans="1:32" ht="26.25" customHeight="1">
      <c r="A5" s="281" t="s">
        <v>79</v>
      </c>
      <c r="B5" s="207"/>
      <c r="C5" s="208"/>
      <c r="D5" s="246"/>
      <c r="E5" s="209"/>
      <c r="F5" s="258"/>
      <c r="G5" s="210"/>
      <c r="H5" s="215"/>
      <c r="I5" s="216"/>
      <c r="J5" s="216"/>
      <c r="K5" s="216"/>
      <c r="L5" s="217"/>
      <c r="M5" s="282"/>
      <c r="N5" s="283"/>
      <c r="O5" s="284"/>
      <c r="P5" s="285"/>
      <c r="Q5" s="286"/>
      <c r="R5" s="215"/>
      <c r="S5" s="252"/>
      <c r="T5" s="216"/>
      <c r="U5" s="215"/>
      <c r="V5" s="217"/>
      <c r="W5" s="285"/>
      <c r="X5" s="283"/>
      <c r="Y5" s="284"/>
      <c r="Z5" s="285"/>
      <c r="AA5" s="286"/>
      <c r="AB5" s="215"/>
      <c r="AC5" s="252"/>
      <c r="AD5" s="216"/>
      <c r="AE5" s="264"/>
      <c r="AF5" s="191"/>
    </row>
    <row r="6" spans="1:32" ht="26.25" customHeight="1">
      <c r="A6" s="288" t="s">
        <v>80</v>
      </c>
      <c r="B6" s="220"/>
      <c r="C6" s="221"/>
      <c r="D6" s="247"/>
      <c r="E6" s="222"/>
      <c r="F6" s="259"/>
      <c r="G6" s="223"/>
      <c r="H6" s="230"/>
      <c r="I6" s="231"/>
      <c r="J6" s="231"/>
      <c r="K6" s="231"/>
      <c r="L6" s="232"/>
      <c r="M6" s="289"/>
      <c r="N6" s="290"/>
      <c r="O6" s="291"/>
      <c r="P6" s="292"/>
      <c r="Q6" s="293"/>
      <c r="R6" s="230"/>
      <c r="S6" s="253"/>
      <c r="T6" s="231"/>
      <c r="U6" s="230"/>
      <c r="V6" s="232"/>
      <c r="W6" s="292"/>
      <c r="X6" s="290"/>
      <c r="Y6" s="291"/>
      <c r="Z6" s="292"/>
      <c r="AA6" s="293"/>
      <c r="AB6" s="230"/>
      <c r="AC6" s="253"/>
      <c r="AD6" s="231"/>
      <c r="AE6" s="265"/>
      <c r="AF6" s="234"/>
    </row>
    <row r="7" spans="1:32" ht="26.25" customHeight="1">
      <c r="A7" s="281" t="s">
        <v>81</v>
      </c>
      <c r="B7" s="207"/>
      <c r="C7" s="208"/>
      <c r="D7" s="246"/>
      <c r="E7" s="209"/>
      <c r="F7" s="258"/>
      <c r="G7" s="210"/>
      <c r="H7" s="215"/>
      <c r="I7" s="216"/>
      <c r="J7" s="216"/>
      <c r="K7" s="216"/>
      <c r="L7" s="217"/>
      <c r="M7" s="282"/>
      <c r="N7" s="283"/>
      <c r="O7" s="284"/>
      <c r="P7" s="285"/>
      <c r="Q7" s="286"/>
      <c r="R7" s="215"/>
      <c r="S7" s="252"/>
      <c r="T7" s="216"/>
      <c r="U7" s="215"/>
      <c r="V7" s="217"/>
      <c r="W7" s="285"/>
      <c r="X7" s="283"/>
      <c r="Y7" s="284"/>
      <c r="Z7" s="285"/>
      <c r="AA7" s="286"/>
      <c r="AB7" s="215"/>
      <c r="AC7" s="252"/>
      <c r="AD7" s="216"/>
      <c r="AE7" s="264"/>
      <c r="AF7" s="191"/>
    </row>
    <row r="8" spans="1:32" ht="26.25" customHeight="1">
      <c r="A8" s="294" t="s">
        <v>82</v>
      </c>
      <c r="B8" s="236"/>
      <c r="C8" s="237"/>
      <c r="D8" s="248"/>
      <c r="E8" s="238"/>
      <c r="F8" s="260"/>
      <c r="G8" s="239"/>
      <c r="H8" s="240"/>
      <c r="I8" s="241"/>
      <c r="J8" s="241"/>
      <c r="K8" s="241"/>
      <c r="L8" s="133"/>
      <c r="M8" s="162"/>
      <c r="N8" s="295"/>
      <c r="O8" s="296"/>
      <c r="P8" s="159"/>
      <c r="Q8" s="158"/>
      <c r="R8" s="240"/>
      <c r="S8" s="254"/>
      <c r="T8" s="241"/>
      <c r="U8" s="240"/>
      <c r="V8" s="133"/>
      <c r="W8" s="297"/>
      <c r="X8" s="298"/>
      <c r="Y8" s="296"/>
      <c r="Z8" s="297"/>
      <c r="AA8" s="134"/>
      <c r="AB8" s="240"/>
      <c r="AC8" s="254"/>
      <c r="AD8" s="241"/>
      <c r="AE8" s="160"/>
      <c r="AF8" s="205"/>
    </row>
    <row r="9" spans="1:32" ht="26.25" customHeight="1">
      <c r="A9" s="173" t="s">
        <v>104</v>
      </c>
      <c r="B9" s="128"/>
      <c r="C9" s="170"/>
      <c r="D9" s="249"/>
      <c r="E9" s="209"/>
      <c r="F9" s="261"/>
      <c r="G9" s="171"/>
      <c r="H9" s="147"/>
      <c r="I9" s="148"/>
      <c r="J9" s="148"/>
      <c r="K9" s="148"/>
      <c r="L9" s="149"/>
      <c r="M9" s="161"/>
      <c r="N9" s="299"/>
      <c r="O9" s="284"/>
      <c r="P9" s="287"/>
      <c r="Q9" s="157"/>
      <c r="R9" s="147"/>
      <c r="S9" s="255"/>
      <c r="T9" s="216"/>
      <c r="U9" s="263"/>
      <c r="V9" s="149"/>
      <c r="W9" s="161"/>
      <c r="X9" s="299"/>
      <c r="Y9" s="284"/>
      <c r="Z9" s="287"/>
      <c r="AA9" s="157"/>
      <c r="AB9" s="147"/>
      <c r="AC9" s="255"/>
      <c r="AD9" s="216"/>
      <c r="AE9" s="264"/>
      <c r="AF9" s="191"/>
    </row>
    <row r="10" spans="1:32" ht="26.25" customHeight="1">
      <c r="A10" s="300" t="s">
        <v>105</v>
      </c>
      <c r="B10" s="204"/>
      <c r="C10" s="129"/>
      <c r="D10" s="250"/>
      <c r="E10" s="238"/>
      <c r="F10" s="262"/>
      <c r="G10" s="130"/>
      <c r="H10" s="139"/>
      <c r="I10" s="140"/>
      <c r="J10" s="140"/>
      <c r="K10" s="140"/>
      <c r="L10" s="143"/>
      <c r="M10" s="162"/>
      <c r="N10" s="295"/>
      <c r="O10" s="296"/>
      <c r="P10" s="159"/>
      <c r="Q10" s="158"/>
      <c r="R10" s="139"/>
      <c r="S10" s="256"/>
      <c r="T10" s="241"/>
      <c r="U10" s="150"/>
      <c r="V10" s="143"/>
      <c r="W10" s="162"/>
      <c r="X10" s="295"/>
      <c r="Y10" s="296"/>
      <c r="Z10" s="159"/>
      <c r="AA10" s="158"/>
      <c r="AB10" s="139"/>
      <c r="AC10" s="256"/>
      <c r="AD10" s="241"/>
      <c r="AE10" s="160"/>
      <c r="AF10" s="205"/>
    </row>
    <row r="11" spans="1:32" ht="39.6" customHeight="1">
      <c r="A11" s="187"/>
      <c r="B11" s="96"/>
      <c r="C11" s="320" t="s">
        <v>70</v>
      </c>
      <c r="D11" s="321"/>
      <c r="E11" s="321"/>
      <c r="F11" s="321"/>
      <c r="G11" s="322"/>
      <c r="H11" s="323" t="s">
        <v>70</v>
      </c>
      <c r="I11" s="324"/>
      <c r="J11" s="324"/>
      <c r="K11" s="324"/>
      <c r="L11" s="327"/>
      <c r="M11" s="320" t="s">
        <v>70</v>
      </c>
      <c r="N11" s="321"/>
      <c r="O11" s="321"/>
      <c r="P11" s="321"/>
      <c r="Q11" s="322"/>
      <c r="R11" s="323" t="s">
        <v>70</v>
      </c>
      <c r="S11" s="324"/>
      <c r="T11" s="324"/>
      <c r="U11" s="324"/>
      <c r="V11" s="327"/>
      <c r="W11" s="320" t="s">
        <v>70</v>
      </c>
      <c r="X11" s="321"/>
      <c r="Y11" s="321"/>
      <c r="Z11" s="321"/>
      <c r="AA11" s="322"/>
      <c r="AB11" s="323" t="s">
        <v>70</v>
      </c>
      <c r="AC11" s="324"/>
      <c r="AD11" s="324"/>
      <c r="AE11" s="324"/>
      <c r="AF11" s="327"/>
    </row>
    <row r="12" spans="1:32" ht="26.25" customHeight="1">
      <c r="A12" s="184"/>
      <c r="B12" s="116"/>
      <c r="C12" s="33" t="str">
        <f>IF(C11&lt;&gt;" ","A","")</f>
        <v/>
      </c>
      <c r="D12" s="34" t="str">
        <f>IF(C11&lt;&gt;" ","L","")</f>
        <v/>
      </c>
      <c r="E12" s="34" t="str">
        <f>IF(C11&lt;&gt;" ","V","")</f>
        <v/>
      </c>
      <c r="F12" s="34" t="str">
        <f>IF(C11&lt;&gt;" ","P","")</f>
        <v/>
      </c>
      <c r="G12" s="35" t="str">
        <f>IF(C11&lt;&gt;" ","I","")</f>
        <v/>
      </c>
      <c r="H12" s="31" t="str">
        <f>IF(H11&lt;&gt;" ","A","")</f>
        <v/>
      </c>
      <c r="I12" s="32" t="str">
        <f>IF(H11&lt;&gt;" ","L","")</f>
        <v/>
      </c>
      <c r="J12" s="32" t="str">
        <f>IF(H11&lt;&gt;" ","V","")</f>
        <v/>
      </c>
      <c r="K12" s="32" t="str">
        <f>IF(H11&lt;&gt;" ","P","")</f>
        <v/>
      </c>
      <c r="L12" s="37" t="str">
        <f>IF(H11&lt;&gt;" ","I","")</f>
        <v/>
      </c>
      <c r="M12" s="33" t="str">
        <f>IF(M11&lt;&gt;" ","A","")</f>
        <v/>
      </c>
      <c r="N12" s="34" t="str">
        <f>IF(M11&lt;&gt;" ","L","")</f>
        <v/>
      </c>
      <c r="O12" s="34" t="str">
        <f>IF(M11&lt;&gt;" ","V","")</f>
        <v/>
      </c>
      <c r="P12" s="34" t="str">
        <f>IF(M11&lt;&gt;" ","P","")</f>
        <v/>
      </c>
      <c r="Q12" s="35" t="str">
        <f>IF(M11&lt;&gt;" ","I","")</f>
        <v/>
      </c>
      <c r="R12" s="31" t="str">
        <f>IF(R11&lt;&gt;" ","A","")</f>
        <v/>
      </c>
      <c r="S12" s="32" t="str">
        <f>IF(R11&lt;&gt;" ","L","")</f>
        <v/>
      </c>
      <c r="T12" s="32" t="str">
        <f>IF(R11&lt;&gt;" ","V","")</f>
        <v/>
      </c>
      <c r="U12" s="32" t="str">
        <f>IF(R11&lt;&gt;" ","P","")</f>
        <v/>
      </c>
      <c r="V12" s="37" t="str">
        <f>IF(R11&lt;&gt;" ","I","")</f>
        <v/>
      </c>
      <c r="W12" s="33" t="str">
        <f>IF(W11&lt;&gt;" ","A","")</f>
        <v/>
      </c>
      <c r="X12" s="34" t="str">
        <f>IF(W11&lt;&gt;" ","L","")</f>
        <v/>
      </c>
      <c r="Y12" s="34" t="str">
        <f>IF(W11&lt;&gt;" ","V","")</f>
        <v/>
      </c>
      <c r="Z12" s="34" t="str">
        <f>IF(W11&lt;&gt;" ","P","")</f>
        <v/>
      </c>
      <c r="AA12" s="35" t="str">
        <f>IF(W11&lt;&gt;" ","I","")</f>
        <v/>
      </c>
      <c r="AB12" s="31" t="str">
        <f>IF(AB11&lt;&gt;" ","A","")</f>
        <v/>
      </c>
      <c r="AC12" s="32" t="str">
        <f>IF(AB11&lt;&gt;" ","L","")</f>
        <v/>
      </c>
      <c r="AD12" s="32" t="str">
        <f>IF(AB11&lt;&gt;" ","V","")</f>
        <v/>
      </c>
      <c r="AE12" s="32" t="str">
        <f>IF(AB11&lt;&gt;" ","P","")</f>
        <v/>
      </c>
      <c r="AF12" s="37" t="str">
        <f>IF(AB11&lt;&gt;" ","I","")</f>
        <v/>
      </c>
    </row>
    <row r="13" spans="1:32" ht="26.25" customHeight="1">
      <c r="A13" s="192" t="s">
        <v>78</v>
      </c>
      <c r="B13" s="193"/>
      <c r="C13" s="329"/>
      <c r="D13" s="330"/>
      <c r="E13" s="330"/>
      <c r="F13" s="330"/>
      <c r="G13" s="331"/>
      <c r="H13" s="194"/>
      <c r="I13" s="195"/>
      <c r="J13" s="195"/>
      <c r="K13" s="195"/>
      <c r="L13" s="196"/>
      <c r="M13" s="144"/>
      <c r="N13" s="145"/>
      <c r="O13" s="145"/>
      <c r="P13" s="145"/>
      <c r="Q13" s="146"/>
      <c r="R13" s="197"/>
      <c r="S13" s="198"/>
      <c r="T13" s="198"/>
      <c r="U13" s="198"/>
      <c r="V13" s="199"/>
      <c r="W13" s="144"/>
      <c r="X13" s="145"/>
      <c r="Y13" s="145"/>
      <c r="Z13" s="145"/>
      <c r="AA13" s="146"/>
      <c r="AB13" s="197"/>
      <c r="AC13" s="198"/>
      <c r="AD13" s="198"/>
      <c r="AE13" s="200"/>
      <c r="AF13" s="201"/>
    </row>
    <row r="14" spans="1:32" ht="26.25" customHeight="1">
      <c r="A14" s="206" t="s">
        <v>79</v>
      </c>
      <c r="B14" s="207"/>
      <c r="C14" s="332"/>
      <c r="D14" s="333"/>
      <c r="E14" s="333"/>
      <c r="F14" s="333"/>
      <c r="G14" s="334"/>
      <c r="H14" s="172"/>
      <c r="I14" s="166"/>
      <c r="J14" s="166"/>
      <c r="K14" s="166"/>
      <c r="L14" s="211"/>
      <c r="M14" s="212"/>
      <c r="N14" s="213"/>
      <c r="O14" s="213"/>
      <c r="P14" s="213"/>
      <c r="Q14" s="214"/>
      <c r="R14" s="215"/>
      <c r="S14" s="216"/>
      <c r="T14" s="216"/>
      <c r="U14" s="216"/>
      <c r="V14" s="217"/>
      <c r="W14" s="212"/>
      <c r="X14" s="213"/>
      <c r="Y14" s="213"/>
      <c r="Z14" s="213"/>
      <c r="AA14" s="214"/>
      <c r="AB14" s="215"/>
      <c r="AC14" s="216"/>
      <c r="AD14" s="216"/>
      <c r="AE14" s="218"/>
      <c r="AF14" s="191"/>
    </row>
    <row r="15" spans="1:32" ht="26.25" customHeight="1">
      <c r="A15" s="219" t="s">
        <v>80</v>
      </c>
      <c r="B15" s="220"/>
      <c r="C15" s="335"/>
      <c r="D15" s="336"/>
      <c r="E15" s="336"/>
      <c r="F15" s="336"/>
      <c r="G15" s="337"/>
      <c r="H15" s="224"/>
      <c r="I15" s="225"/>
      <c r="J15" s="225"/>
      <c r="K15" s="225"/>
      <c r="L15" s="226"/>
      <c r="M15" s="227"/>
      <c r="N15" s="228"/>
      <c r="O15" s="228"/>
      <c r="P15" s="228"/>
      <c r="Q15" s="229"/>
      <c r="R15" s="230"/>
      <c r="S15" s="231"/>
      <c r="T15" s="231"/>
      <c r="U15" s="231"/>
      <c r="V15" s="232"/>
      <c r="W15" s="227"/>
      <c r="X15" s="228"/>
      <c r="Y15" s="228"/>
      <c r="Z15" s="228"/>
      <c r="AA15" s="229"/>
      <c r="AB15" s="230"/>
      <c r="AC15" s="231"/>
      <c r="AD15" s="231"/>
      <c r="AE15" s="233"/>
      <c r="AF15" s="234"/>
    </row>
    <row r="16" spans="1:32" ht="26.25" customHeight="1">
      <c r="A16" s="206" t="s">
        <v>81</v>
      </c>
      <c r="B16" s="207"/>
      <c r="C16" s="332"/>
      <c r="D16" s="333"/>
      <c r="E16" s="333"/>
      <c r="F16" s="333"/>
      <c r="G16" s="334"/>
      <c r="H16" s="172"/>
      <c r="I16" s="166"/>
      <c r="J16" s="166"/>
      <c r="K16" s="166"/>
      <c r="L16" s="211"/>
      <c r="M16" s="212"/>
      <c r="N16" s="213"/>
      <c r="O16" s="213"/>
      <c r="P16" s="213"/>
      <c r="Q16" s="214"/>
      <c r="R16" s="215"/>
      <c r="S16" s="216"/>
      <c r="T16" s="216"/>
      <c r="U16" s="216"/>
      <c r="V16" s="217"/>
      <c r="W16" s="212"/>
      <c r="X16" s="213"/>
      <c r="Y16" s="213"/>
      <c r="Z16" s="213"/>
      <c r="AA16" s="214"/>
      <c r="AB16" s="215"/>
      <c r="AC16" s="216"/>
      <c r="AD16" s="216"/>
      <c r="AE16" s="218"/>
      <c r="AF16" s="191"/>
    </row>
    <row r="17" spans="1:32" ht="26.25" customHeight="1">
      <c r="A17" s="235" t="s">
        <v>82</v>
      </c>
      <c r="B17" s="236"/>
      <c r="C17" s="338"/>
      <c r="D17" s="339"/>
      <c r="E17" s="339"/>
      <c r="F17" s="339"/>
      <c r="G17" s="340"/>
      <c r="H17" s="136"/>
      <c r="I17" s="137"/>
      <c r="J17" s="137"/>
      <c r="K17" s="137"/>
      <c r="L17" s="131"/>
      <c r="M17" s="244"/>
      <c r="N17" s="242"/>
      <c r="O17" s="242"/>
      <c r="P17" s="242"/>
      <c r="Q17" s="132"/>
      <c r="R17" s="240"/>
      <c r="S17" s="241"/>
      <c r="T17" s="241"/>
      <c r="U17" s="241"/>
      <c r="V17" s="133"/>
      <c r="W17" s="244"/>
      <c r="X17" s="242"/>
      <c r="Y17" s="242"/>
      <c r="Z17" s="242"/>
      <c r="AA17" s="132"/>
      <c r="AB17" s="240"/>
      <c r="AC17" s="241"/>
      <c r="AD17" s="241"/>
      <c r="AE17" s="243"/>
      <c r="AF17" s="205"/>
    </row>
    <row r="18" spans="1:32" ht="26.25" customHeight="1">
      <c r="A18" s="55" t="s">
        <v>104</v>
      </c>
      <c r="B18" s="128"/>
      <c r="C18" s="341"/>
      <c r="D18" s="342"/>
      <c r="E18" s="342"/>
      <c r="F18" s="342"/>
      <c r="G18" s="343"/>
      <c r="H18" s="165"/>
      <c r="I18" s="166"/>
      <c r="J18" s="166"/>
      <c r="K18" s="166"/>
      <c r="L18" s="167"/>
      <c r="M18" s="151"/>
      <c r="N18" s="152"/>
      <c r="O18" s="152"/>
      <c r="P18" s="152"/>
      <c r="Q18" s="153"/>
      <c r="R18" s="147"/>
      <c r="S18" s="148"/>
      <c r="T18" s="148"/>
      <c r="U18" s="148"/>
      <c r="V18" s="149"/>
      <c r="W18" s="151"/>
      <c r="X18" s="152"/>
      <c r="Y18" s="152"/>
      <c r="Z18" s="152"/>
      <c r="AA18" s="153"/>
      <c r="AB18" s="147"/>
      <c r="AC18" s="148"/>
      <c r="AD18" s="148"/>
      <c r="AE18" s="156"/>
      <c r="AF18" s="191"/>
    </row>
    <row r="19" spans="1:32" ht="26.25" customHeight="1">
      <c r="A19" s="203" t="s">
        <v>105</v>
      </c>
      <c r="B19" s="204"/>
      <c r="C19" s="344"/>
      <c r="D19" s="345"/>
      <c r="E19" s="345"/>
      <c r="F19" s="345"/>
      <c r="G19" s="346"/>
      <c r="H19" s="136"/>
      <c r="I19" s="137"/>
      <c r="J19" s="137"/>
      <c r="K19" s="137"/>
      <c r="L19" s="138"/>
      <c r="M19" s="154"/>
      <c r="N19" s="141"/>
      <c r="O19" s="141"/>
      <c r="P19" s="141"/>
      <c r="Q19" s="155"/>
      <c r="R19" s="139"/>
      <c r="S19" s="140"/>
      <c r="T19" s="140"/>
      <c r="U19" s="140"/>
      <c r="V19" s="143"/>
      <c r="W19" s="154"/>
      <c r="X19" s="141"/>
      <c r="Y19" s="141"/>
      <c r="Z19" s="141"/>
      <c r="AA19" s="155"/>
      <c r="AB19" s="139"/>
      <c r="AC19" s="140"/>
      <c r="AD19" s="140"/>
      <c r="AE19" s="142"/>
      <c r="AF19" s="205"/>
    </row>
    <row r="20" spans="1:32" ht="26.25" customHeight="1"/>
    <row r="21" spans="1:32" ht="26.25" customHeight="1"/>
    <row r="22" spans="1:32" ht="26.25" customHeight="1"/>
    <row r="23" spans="1:32" ht="39.6" customHeight="1">
      <c r="A23" s="183" t="s">
        <v>72</v>
      </c>
      <c r="B23" s="269"/>
      <c r="C23" s="315" t="s">
        <v>70</v>
      </c>
      <c r="D23" s="319"/>
      <c r="E23" s="319"/>
      <c r="F23" s="319"/>
      <c r="G23" s="316"/>
      <c r="H23" s="325" t="s">
        <v>70</v>
      </c>
      <c r="I23" s="314"/>
      <c r="J23" s="314"/>
      <c r="K23" s="314"/>
      <c r="L23" s="326"/>
      <c r="M23" s="315" t="s">
        <v>70</v>
      </c>
      <c r="N23" s="319"/>
      <c r="O23" s="319"/>
      <c r="P23" s="319"/>
      <c r="Q23" s="316"/>
      <c r="R23" s="325" t="s">
        <v>70</v>
      </c>
      <c r="S23" s="314"/>
      <c r="T23" s="314"/>
      <c r="U23" s="314"/>
      <c r="V23" s="326"/>
      <c r="W23" s="315" t="s">
        <v>70</v>
      </c>
      <c r="X23" s="319"/>
      <c r="Y23" s="319"/>
      <c r="Z23" s="319"/>
      <c r="AA23" s="316"/>
      <c r="AB23" s="325" t="s">
        <v>70</v>
      </c>
      <c r="AC23" s="314"/>
      <c r="AD23" s="314"/>
      <c r="AE23" s="314"/>
      <c r="AF23" s="326"/>
    </row>
    <row r="24" spans="1:32" ht="26.25" customHeight="1">
      <c r="A24" s="268"/>
      <c r="B24" s="270"/>
      <c r="C24" s="33" t="str">
        <f>IF(C23&lt;&gt;" ","A","")</f>
        <v/>
      </c>
      <c r="D24" s="34" t="str">
        <f>IF(C23&lt;&gt;" ","L","")</f>
        <v/>
      </c>
      <c r="E24" s="34" t="str">
        <f>IF(C23&lt;&gt;" ","V","")</f>
        <v/>
      </c>
      <c r="F24" s="34" t="str">
        <f>IF(C23&lt;&gt;" ","P","")</f>
        <v/>
      </c>
      <c r="G24" s="35" t="str">
        <f>IF(C23&lt;&gt;" ","I","")</f>
        <v/>
      </c>
      <c r="H24" s="31" t="str">
        <f>IF(H23&lt;&gt;" ","A","")</f>
        <v/>
      </c>
      <c r="I24" s="32" t="str">
        <f>IF(H23&lt;&gt;" ","L","")</f>
        <v/>
      </c>
      <c r="J24" s="32" t="str">
        <f>IF(H23&lt;&gt;" ","V","")</f>
        <v/>
      </c>
      <c r="K24" s="32" t="str">
        <f>IF(H23&lt;&gt;" ","P","")</f>
        <v/>
      </c>
      <c r="L24" s="37" t="str">
        <f>IF(H23&lt;&gt;" ","I","")</f>
        <v/>
      </c>
      <c r="M24" s="33" t="str">
        <f>IF(M23&lt;&gt;" ","A","")</f>
        <v/>
      </c>
      <c r="N24" s="34" t="str">
        <f>IF(M23&lt;&gt;" ","L","")</f>
        <v/>
      </c>
      <c r="O24" s="34" t="str">
        <f>IF(M23&lt;&gt;" ","V","")</f>
        <v/>
      </c>
      <c r="P24" s="34" t="str">
        <f>IF(M23&lt;&gt;" ","P","")</f>
        <v/>
      </c>
      <c r="Q24" s="35" t="str">
        <f>IF(M23&lt;&gt;" ","I","")</f>
        <v/>
      </c>
      <c r="R24" s="31" t="str">
        <f>IF(R23&lt;&gt;" ","A","")</f>
        <v/>
      </c>
      <c r="S24" s="32" t="str">
        <f>IF(R23&lt;&gt;" ","L","")</f>
        <v/>
      </c>
      <c r="T24" s="32" t="str">
        <f>IF(R23&lt;&gt;" ","V","")</f>
        <v/>
      </c>
      <c r="U24" s="32" t="str">
        <f>IF(R23&lt;&gt;" ","P","")</f>
        <v/>
      </c>
      <c r="V24" s="37" t="str">
        <f>IF(R23&lt;&gt;" ","I","")</f>
        <v/>
      </c>
      <c r="W24" s="33" t="str">
        <f>IF(W23&lt;&gt;" ","A","")</f>
        <v/>
      </c>
      <c r="X24" s="34" t="str">
        <f>IF(W23&lt;&gt;" ","L","")</f>
        <v/>
      </c>
      <c r="Y24" s="34" t="str">
        <f>IF(W23&lt;&gt;" ","V","")</f>
        <v/>
      </c>
      <c r="Z24" s="34" t="str">
        <f>IF(W23&lt;&gt;" ","P","")</f>
        <v/>
      </c>
      <c r="AA24" s="35" t="str">
        <f>IF(W23&lt;&gt;" ","I","")</f>
        <v/>
      </c>
      <c r="AB24" s="31" t="str">
        <f>IF(AB23&lt;&gt;" ","A","")</f>
        <v/>
      </c>
      <c r="AC24" s="32" t="str">
        <f>IF(AB23&lt;&gt;" ","L","")</f>
        <v/>
      </c>
      <c r="AD24" s="32" t="str">
        <f>IF(AB23&lt;&gt;" ","V","")</f>
        <v/>
      </c>
      <c r="AE24" s="32" t="str">
        <f>IF(AB23&lt;&gt;" ","P","")</f>
        <v/>
      </c>
      <c r="AF24" s="37" t="str">
        <f>IF(AB23&lt;&gt;" ","I","")</f>
        <v/>
      </c>
    </row>
    <row r="25" spans="1:32" ht="26.25" customHeight="1">
      <c r="A25" s="202" t="s">
        <v>78</v>
      </c>
      <c r="B25" s="127"/>
      <c r="C25" s="144"/>
      <c r="D25" s="145"/>
      <c r="E25" s="145"/>
      <c r="F25" s="145"/>
      <c r="G25" s="146"/>
      <c r="H25" s="194"/>
      <c r="I25" s="195"/>
      <c r="J25" s="195"/>
      <c r="K25" s="195"/>
      <c r="L25" s="196"/>
      <c r="M25" s="144"/>
      <c r="N25" s="145"/>
      <c r="O25" s="145"/>
      <c r="P25" s="145"/>
      <c r="Q25" s="146"/>
      <c r="R25" s="197"/>
      <c r="S25" s="198"/>
      <c r="T25" s="198"/>
      <c r="U25" s="198"/>
      <c r="V25" s="199"/>
      <c r="W25" s="144"/>
      <c r="X25" s="145"/>
      <c r="Y25" s="145"/>
      <c r="Z25" s="145"/>
      <c r="AA25" s="146"/>
      <c r="AB25" s="309"/>
      <c r="AC25" s="198"/>
      <c r="AD25" s="198"/>
      <c r="AE25" s="200"/>
      <c r="AF25" s="201"/>
    </row>
    <row r="26" spans="1:32" ht="26.25" customHeight="1">
      <c r="A26" s="206" t="s">
        <v>79</v>
      </c>
      <c r="B26" s="207"/>
      <c r="C26" s="212"/>
      <c r="D26" s="213"/>
      <c r="E26" s="213"/>
      <c r="F26" s="213"/>
      <c r="G26" s="214"/>
      <c r="H26" s="172"/>
      <c r="I26" s="166"/>
      <c r="J26" s="166"/>
      <c r="K26" s="166"/>
      <c r="L26" s="211"/>
      <c r="M26" s="212"/>
      <c r="N26" s="213"/>
      <c r="O26" s="213"/>
      <c r="P26" s="213"/>
      <c r="Q26" s="214"/>
      <c r="R26" s="215"/>
      <c r="S26" s="216"/>
      <c r="T26" s="216"/>
      <c r="U26" s="216"/>
      <c r="V26" s="217"/>
      <c r="W26" s="212"/>
      <c r="X26" s="213"/>
      <c r="Y26" s="213"/>
      <c r="Z26" s="213"/>
      <c r="AA26" s="214"/>
      <c r="AB26" s="311"/>
      <c r="AC26" s="216"/>
      <c r="AD26" s="216"/>
      <c r="AE26" s="218"/>
      <c r="AF26" s="191"/>
    </row>
    <row r="27" spans="1:32" ht="26.25" customHeight="1">
      <c r="A27" s="219" t="s">
        <v>80</v>
      </c>
      <c r="B27" s="220"/>
      <c r="C27" s="227"/>
      <c r="D27" s="228"/>
      <c r="E27" s="228"/>
      <c r="F27" s="228"/>
      <c r="G27" s="229"/>
      <c r="H27" s="224"/>
      <c r="I27" s="225"/>
      <c r="J27" s="225"/>
      <c r="K27" s="225"/>
      <c r="L27" s="226"/>
      <c r="M27" s="227"/>
      <c r="N27" s="228"/>
      <c r="O27" s="228"/>
      <c r="P27" s="228"/>
      <c r="Q27" s="229"/>
      <c r="R27" s="230"/>
      <c r="S27" s="231"/>
      <c r="T27" s="231"/>
      <c r="U27" s="231"/>
      <c r="V27" s="232"/>
      <c r="W27" s="227"/>
      <c r="X27" s="228"/>
      <c r="Y27" s="228"/>
      <c r="Z27" s="228"/>
      <c r="AA27" s="229"/>
      <c r="AB27" s="312"/>
      <c r="AC27" s="231"/>
      <c r="AD27" s="231"/>
      <c r="AE27" s="233"/>
      <c r="AF27" s="234"/>
    </row>
    <row r="28" spans="1:32" ht="26.25" customHeight="1">
      <c r="A28" s="206" t="s">
        <v>81</v>
      </c>
      <c r="B28" s="207"/>
      <c r="C28" s="212"/>
      <c r="D28" s="213"/>
      <c r="E28" s="213"/>
      <c r="F28" s="213"/>
      <c r="G28" s="214"/>
      <c r="H28" s="172"/>
      <c r="I28" s="166"/>
      <c r="J28" s="166"/>
      <c r="K28" s="166"/>
      <c r="L28" s="211"/>
      <c r="M28" s="212"/>
      <c r="N28" s="213"/>
      <c r="O28" s="213"/>
      <c r="P28" s="213"/>
      <c r="Q28" s="214"/>
      <c r="R28" s="215"/>
      <c r="S28" s="216"/>
      <c r="T28" s="216"/>
      <c r="U28" s="216"/>
      <c r="V28" s="217"/>
      <c r="W28" s="212"/>
      <c r="X28" s="213"/>
      <c r="Y28" s="213"/>
      <c r="Z28" s="213"/>
      <c r="AA28" s="214"/>
      <c r="AB28" s="311"/>
      <c r="AC28" s="216"/>
      <c r="AD28" s="216"/>
      <c r="AE28" s="218"/>
      <c r="AF28" s="191"/>
    </row>
    <row r="29" spans="1:32" ht="26.25" customHeight="1">
      <c r="A29" s="235" t="s">
        <v>82</v>
      </c>
      <c r="B29" s="236"/>
      <c r="C29" s="244"/>
      <c r="D29" s="242"/>
      <c r="E29" s="242"/>
      <c r="F29" s="242"/>
      <c r="G29" s="132"/>
      <c r="H29" s="136"/>
      <c r="I29" s="137"/>
      <c r="J29" s="137"/>
      <c r="K29" s="137"/>
      <c r="L29" s="131"/>
      <c r="M29" s="244"/>
      <c r="N29" s="242"/>
      <c r="O29" s="242"/>
      <c r="P29" s="242"/>
      <c r="Q29" s="132"/>
      <c r="R29" s="240"/>
      <c r="S29" s="241"/>
      <c r="T29" s="241"/>
      <c r="U29" s="241"/>
      <c r="V29" s="133"/>
      <c r="W29" s="244"/>
      <c r="X29" s="242"/>
      <c r="Y29" s="242"/>
      <c r="Z29" s="242"/>
      <c r="AA29" s="132"/>
      <c r="AB29" s="310"/>
      <c r="AC29" s="241"/>
      <c r="AD29" s="241"/>
      <c r="AE29" s="243"/>
      <c r="AF29" s="205"/>
    </row>
    <row r="30" spans="1:32" ht="26.25" customHeight="1">
      <c r="A30" s="55" t="s">
        <v>104</v>
      </c>
      <c r="B30" s="128"/>
      <c r="C30" s="151"/>
      <c r="D30" s="152"/>
      <c r="E30" s="152"/>
      <c r="F30" s="152"/>
      <c r="G30" s="153"/>
      <c r="H30" s="165"/>
      <c r="I30" s="166"/>
      <c r="J30" s="166"/>
      <c r="K30" s="166"/>
      <c r="L30" s="167"/>
      <c r="M30" s="151"/>
      <c r="N30" s="152"/>
      <c r="O30" s="152"/>
      <c r="P30" s="152"/>
      <c r="Q30" s="153"/>
      <c r="R30" s="147"/>
      <c r="S30" s="148"/>
      <c r="T30" s="148"/>
      <c r="U30" s="148"/>
      <c r="V30" s="149"/>
      <c r="W30" s="151"/>
      <c r="X30" s="152"/>
      <c r="Y30" s="152"/>
      <c r="Z30" s="152"/>
      <c r="AA30" s="153"/>
      <c r="AB30" s="147"/>
      <c r="AC30" s="148"/>
      <c r="AD30" s="148"/>
      <c r="AE30" s="156"/>
      <c r="AF30" s="191"/>
    </row>
    <row r="31" spans="1:32" ht="26.25" customHeight="1">
      <c r="A31" s="203" t="s">
        <v>105</v>
      </c>
      <c r="B31" s="204"/>
      <c r="C31" s="154"/>
      <c r="D31" s="141"/>
      <c r="E31" s="141"/>
      <c r="F31" s="141"/>
      <c r="G31" s="155"/>
      <c r="H31" s="136"/>
      <c r="I31" s="137"/>
      <c r="J31" s="137"/>
      <c r="K31" s="137"/>
      <c r="L31" s="138"/>
      <c r="M31" s="154"/>
      <c r="N31" s="141"/>
      <c r="O31" s="141"/>
      <c r="P31" s="141"/>
      <c r="Q31" s="155"/>
      <c r="R31" s="139"/>
      <c r="S31" s="140"/>
      <c r="T31" s="140"/>
      <c r="U31" s="140"/>
      <c r="V31" s="143"/>
      <c r="W31" s="154"/>
      <c r="X31" s="141"/>
      <c r="Y31" s="141"/>
      <c r="Z31" s="141"/>
      <c r="AA31" s="155"/>
      <c r="AB31" s="139"/>
      <c r="AC31" s="140"/>
      <c r="AD31" s="140"/>
      <c r="AE31" s="142"/>
      <c r="AF31" s="205"/>
    </row>
    <row r="32" spans="1:32" ht="39.6" customHeight="1">
      <c r="A32" s="183"/>
      <c r="B32" s="269"/>
      <c r="C32" s="320" t="s">
        <v>70</v>
      </c>
      <c r="D32" s="321"/>
      <c r="E32" s="321"/>
      <c r="F32" s="321"/>
      <c r="G32" s="322"/>
      <c r="H32" s="323" t="s">
        <v>70</v>
      </c>
      <c r="I32" s="324"/>
      <c r="J32" s="324"/>
      <c r="K32" s="324"/>
      <c r="L32" s="327"/>
      <c r="M32" s="320" t="s">
        <v>70</v>
      </c>
      <c r="N32" s="321"/>
      <c r="O32" s="321"/>
      <c r="P32" s="321"/>
      <c r="Q32" s="322"/>
      <c r="R32" s="323" t="s">
        <v>70</v>
      </c>
      <c r="S32" s="324"/>
      <c r="T32" s="324"/>
      <c r="U32" s="324"/>
      <c r="V32" s="327"/>
      <c r="W32" s="320" t="s">
        <v>70</v>
      </c>
      <c r="X32" s="321"/>
      <c r="Y32" s="321"/>
      <c r="Z32" s="321"/>
      <c r="AA32" s="322"/>
      <c r="AB32" s="323" t="s">
        <v>70</v>
      </c>
      <c r="AC32" s="324"/>
      <c r="AD32" s="324"/>
      <c r="AE32" s="324"/>
      <c r="AF32" s="327"/>
    </row>
    <row r="33" spans="1:32" ht="26.25" customHeight="1">
      <c r="A33" s="268"/>
      <c r="B33" s="270"/>
      <c r="C33" s="33" t="str">
        <f>IF(C32&lt;&gt;" ","A","")</f>
        <v/>
      </c>
      <c r="D33" s="34" t="str">
        <f>IF(C32&lt;&gt;" ","L","")</f>
        <v/>
      </c>
      <c r="E33" s="34" t="str">
        <f>IF(C32&lt;&gt;" ","V","")</f>
        <v/>
      </c>
      <c r="F33" s="34" t="str">
        <f>IF(C32&lt;&gt;" ","P","")</f>
        <v/>
      </c>
      <c r="G33" s="35" t="str">
        <f>IF(C32&lt;&gt;" ","I","")</f>
        <v/>
      </c>
      <c r="H33" s="31" t="str">
        <f>IF(H32&lt;&gt;" ","A","")</f>
        <v/>
      </c>
      <c r="I33" s="32" t="str">
        <f>IF(H32&lt;&gt;" ","L","")</f>
        <v/>
      </c>
      <c r="J33" s="32" t="str">
        <f>IF(H32&lt;&gt;" ","V","")</f>
        <v/>
      </c>
      <c r="K33" s="32" t="str">
        <f>IF(H32&lt;&gt;" ","P","")</f>
        <v/>
      </c>
      <c r="L33" s="37" t="str">
        <f>IF(H32&lt;&gt;" ","I","")</f>
        <v/>
      </c>
      <c r="M33" s="33" t="str">
        <f>IF(M32&lt;&gt;" ","A","")</f>
        <v/>
      </c>
      <c r="N33" s="34" t="str">
        <f>IF(M32&lt;&gt;" ","L","")</f>
        <v/>
      </c>
      <c r="O33" s="34" t="str">
        <f>IF(M32&lt;&gt;" ","V","")</f>
        <v/>
      </c>
      <c r="P33" s="34" t="str">
        <f>IF(M32&lt;&gt;" ","P","")</f>
        <v/>
      </c>
      <c r="Q33" s="35" t="str">
        <f>IF(M32&lt;&gt;" ","I","")</f>
        <v/>
      </c>
      <c r="R33" s="31" t="str">
        <f>IF(R32&lt;&gt;" ","A","")</f>
        <v/>
      </c>
      <c r="S33" s="32" t="str">
        <f>IF(R32&lt;&gt;" ","L","")</f>
        <v/>
      </c>
      <c r="T33" s="32" t="str">
        <f>IF(R32&lt;&gt;" ","V","")</f>
        <v/>
      </c>
      <c r="U33" s="32" t="str">
        <f>IF(R32&lt;&gt;" ","P","")</f>
        <v/>
      </c>
      <c r="V33" s="37" t="str">
        <f>IF(R32&lt;&gt;" ","I","")</f>
        <v/>
      </c>
      <c r="W33" s="33" t="str">
        <f>IF(W32&lt;&gt;" ","A","")</f>
        <v/>
      </c>
      <c r="X33" s="34" t="str">
        <f>IF(W32&lt;&gt;" ","L","")</f>
        <v/>
      </c>
      <c r="Y33" s="34" t="str">
        <f>IF(W32&lt;&gt;" ","V","")</f>
        <v/>
      </c>
      <c r="Z33" s="34" t="str">
        <f>IF(W32&lt;&gt;" ","P","")</f>
        <v/>
      </c>
      <c r="AA33" s="35" t="str">
        <f>IF(W32&lt;&gt;" ","I","")</f>
        <v/>
      </c>
      <c r="AB33" s="31" t="str">
        <f>IF(AB32&lt;&gt;" ","A","")</f>
        <v/>
      </c>
      <c r="AC33" s="32" t="str">
        <f>IF(AB32&lt;&gt;" ","L","")</f>
        <v/>
      </c>
      <c r="AD33" s="32" t="str">
        <f>IF(AB32&lt;&gt;" ","V","")</f>
        <v/>
      </c>
      <c r="AE33" s="32" t="str">
        <f>IF(AB32&lt;&gt;" ","P","")</f>
        <v/>
      </c>
      <c r="AF33" s="37" t="str">
        <f>IF(AB32&lt;&gt;" ","I","")</f>
        <v/>
      </c>
    </row>
    <row r="34" spans="1:32" ht="26.25" customHeight="1">
      <c r="A34" s="202" t="s">
        <v>78</v>
      </c>
      <c r="B34" s="127"/>
      <c r="C34" s="144"/>
      <c r="D34" s="145"/>
      <c r="E34" s="145"/>
      <c r="F34" s="145"/>
      <c r="G34" s="146"/>
      <c r="H34" s="194"/>
      <c r="I34" s="195"/>
      <c r="J34" s="195"/>
      <c r="K34" s="195"/>
      <c r="L34" s="196"/>
      <c r="M34" s="144"/>
      <c r="N34" s="145"/>
      <c r="O34" s="145"/>
      <c r="P34" s="145"/>
      <c r="Q34" s="146"/>
      <c r="R34" s="197"/>
      <c r="S34" s="198"/>
      <c r="T34" s="198"/>
      <c r="U34" s="198"/>
      <c r="V34" s="199"/>
      <c r="W34" s="144"/>
      <c r="X34" s="145"/>
      <c r="Y34" s="145"/>
      <c r="Z34" s="145"/>
      <c r="AA34" s="146"/>
      <c r="AB34" s="309"/>
      <c r="AC34" s="198"/>
      <c r="AD34" s="198"/>
      <c r="AE34" s="200"/>
      <c r="AF34" s="201"/>
    </row>
    <row r="35" spans="1:32" ht="26.25" customHeight="1">
      <c r="A35" s="206" t="s">
        <v>79</v>
      </c>
      <c r="B35" s="207"/>
      <c r="C35" s="212"/>
      <c r="D35" s="213"/>
      <c r="E35" s="213"/>
      <c r="F35" s="213"/>
      <c r="G35" s="214"/>
      <c r="H35" s="172"/>
      <c r="I35" s="166"/>
      <c r="J35" s="166"/>
      <c r="K35" s="166"/>
      <c r="L35" s="211"/>
      <c r="M35" s="212"/>
      <c r="N35" s="213"/>
      <c r="O35" s="213"/>
      <c r="P35" s="213"/>
      <c r="Q35" s="214"/>
      <c r="R35" s="215"/>
      <c r="S35" s="216"/>
      <c r="T35" s="216"/>
      <c r="U35" s="216"/>
      <c r="V35" s="217"/>
      <c r="W35" s="212"/>
      <c r="X35" s="213"/>
      <c r="Y35" s="213"/>
      <c r="Z35" s="213"/>
      <c r="AA35" s="214"/>
      <c r="AB35" s="311"/>
      <c r="AC35" s="216"/>
      <c r="AD35" s="216"/>
      <c r="AE35" s="218"/>
      <c r="AF35" s="191"/>
    </row>
    <row r="36" spans="1:32" ht="26.25" customHeight="1">
      <c r="A36" s="219" t="s">
        <v>80</v>
      </c>
      <c r="B36" s="220"/>
      <c r="C36" s="227"/>
      <c r="D36" s="228"/>
      <c r="E36" s="228"/>
      <c r="F36" s="228"/>
      <c r="G36" s="229"/>
      <c r="H36" s="224"/>
      <c r="I36" s="225"/>
      <c r="J36" s="225"/>
      <c r="K36" s="225"/>
      <c r="L36" s="226"/>
      <c r="M36" s="227"/>
      <c r="N36" s="228"/>
      <c r="O36" s="228"/>
      <c r="P36" s="228"/>
      <c r="Q36" s="229"/>
      <c r="R36" s="230"/>
      <c r="S36" s="231"/>
      <c r="T36" s="231"/>
      <c r="U36" s="231"/>
      <c r="V36" s="232"/>
      <c r="W36" s="227"/>
      <c r="X36" s="228"/>
      <c r="Y36" s="228"/>
      <c r="Z36" s="228"/>
      <c r="AA36" s="229"/>
      <c r="AB36" s="312"/>
      <c r="AC36" s="231"/>
      <c r="AD36" s="231"/>
      <c r="AE36" s="233"/>
      <c r="AF36" s="234"/>
    </row>
    <row r="37" spans="1:32" ht="26.25" customHeight="1">
      <c r="A37" s="206" t="s">
        <v>81</v>
      </c>
      <c r="B37" s="207"/>
      <c r="C37" s="212"/>
      <c r="D37" s="213"/>
      <c r="E37" s="213"/>
      <c r="F37" s="213"/>
      <c r="G37" s="214"/>
      <c r="H37" s="172"/>
      <c r="I37" s="166"/>
      <c r="J37" s="166"/>
      <c r="K37" s="166"/>
      <c r="L37" s="211"/>
      <c r="M37" s="212"/>
      <c r="N37" s="213"/>
      <c r="O37" s="213"/>
      <c r="P37" s="213"/>
      <c r="Q37" s="214"/>
      <c r="R37" s="215"/>
      <c r="S37" s="216"/>
      <c r="T37" s="216"/>
      <c r="U37" s="216"/>
      <c r="V37" s="217"/>
      <c r="W37" s="212"/>
      <c r="X37" s="213"/>
      <c r="Y37" s="213"/>
      <c r="Z37" s="213"/>
      <c r="AA37" s="214"/>
      <c r="AB37" s="311"/>
      <c r="AC37" s="216"/>
      <c r="AD37" s="216"/>
      <c r="AE37" s="218"/>
      <c r="AF37" s="191"/>
    </row>
    <row r="38" spans="1:32" ht="26.25" customHeight="1">
      <c r="A38" s="235" t="s">
        <v>82</v>
      </c>
      <c r="B38" s="236"/>
      <c r="C38" s="244"/>
      <c r="D38" s="242"/>
      <c r="E38" s="242"/>
      <c r="F38" s="242"/>
      <c r="G38" s="132"/>
      <c r="H38" s="136"/>
      <c r="I38" s="137"/>
      <c r="J38" s="137"/>
      <c r="K38" s="137"/>
      <c r="L38" s="131"/>
      <c r="M38" s="244"/>
      <c r="N38" s="242"/>
      <c r="O38" s="242"/>
      <c r="P38" s="242"/>
      <c r="Q38" s="132"/>
      <c r="R38" s="240"/>
      <c r="S38" s="241"/>
      <c r="T38" s="241"/>
      <c r="U38" s="241"/>
      <c r="V38" s="133"/>
      <c r="W38" s="244"/>
      <c r="X38" s="242"/>
      <c r="Y38" s="242"/>
      <c r="Z38" s="242"/>
      <c r="AA38" s="132"/>
      <c r="AB38" s="310"/>
      <c r="AC38" s="241"/>
      <c r="AD38" s="241"/>
      <c r="AE38" s="243"/>
      <c r="AF38" s="205"/>
    </row>
    <row r="39" spans="1:32" ht="26.25" customHeight="1">
      <c r="A39" s="55" t="s">
        <v>104</v>
      </c>
      <c r="B39" s="128"/>
      <c r="C39" s="151"/>
      <c r="D39" s="152"/>
      <c r="E39" s="152"/>
      <c r="F39" s="152"/>
      <c r="G39" s="153"/>
      <c r="H39" s="165"/>
      <c r="I39" s="166"/>
      <c r="J39" s="166"/>
      <c r="K39" s="166"/>
      <c r="L39" s="167"/>
      <c r="M39" s="151"/>
      <c r="N39" s="152"/>
      <c r="O39" s="152"/>
      <c r="P39" s="152"/>
      <c r="Q39" s="153"/>
      <c r="R39" s="147"/>
      <c r="S39" s="148"/>
      <c r="T39" s="148"/>
      <c r="U39" s="148"/>
      <c r="V39" s="149"/>
      <c r="W39" s="151"/>
      <c r="X39" s="152"/>
      <c r="Y39" s="152"/>
      <c r="Z39" s="152"/>
      <c r="AA39" s="153"/>
      <c r="AB39" s="147"/>
      <c r="AC39" s="148"/>
      <c r="AD39" s="148"/>
      <c r="AE39" s="156"/>
      <c r="AF39" s="191"/>
    </row>
    <row r="40" spans="1:32" ht="26.25" customHeight="1">
      <c r="A40" s="203" t="s">
        <v>105</v>
      </c>
      <c r="B40" s="204"/>
      <c r="C40" s="154"/>
      <c r="D40" s="141"/>
      <c r="E40" s="141"/>
      <c r="F40" s="141"/>
      <c r="G40" s="155"/>
      <c r="H40" s="136"/>
      <c r="I40" s="137"/>
      <c r="J40" s="137"/>
      <c r="K40" s="137"/>
      <c r="L40" s="138"/>
      <c r="M40" s="154"/>
      <c r="N40" s="141"/>
      <c r="O40" s="141"/>
      <c r="P40" s="141"/>
      <c r="Q40" s="155"/>
      <c r="R40" s="139"/>
      <c r="S40" s="140"/>
      <c r="T40" s="140"/>
      <c r="U40" s="140"/>
      <c r="V40" s="143"/>
      <c r="W40" s="154"/>
      <c r="X40" s="141"/>
      <c r="Y40" s="141"/>
      <c r="Z40" s="141"/>
      <c r="AA40" s="155"/>
      <c r="AB40" s="139"/>
      <c r="AC40" s="140"/>
      <c r="AD40" s="140"/>
      <c r="AE40" s="142"/>
      <c r="AF40" s="205"/>
    </row>
  </sheetData>
  <sheetProtection formatCells="0" formatColumns="0" formatRows="0"/>
  <mergeCells count="3">
    <mergeCell ref="C2:G2"/>
    <mergeCell ref="A1:B1"/>
    <mergeCell ref="D1:E1"/>
  </mergeCells>
  <printOptions horizontalCentered="1"/>
  <pageMargins left="0" right="0" top="0.23622047244094491" bottom="0" header="0.31496062992125984" footer="0.31496062992125984"/>
  <pageSetup paperSize="9" fitToHeight="0" orientation="landscape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9A13DE-B4C6-4620-A93A-2437AE0E95F4}">
  <sheetPr codeName="Taul29">
    <tabColor theme="5" tint="0.39997558519241921"/>
    <pageSetUpPr fitToPage="1"/>
  </sheetPr>
  <dimension ref="A1:F144"/>
  <sheetViews>
    <sheetView showGridLines="0" showZeros="0" zoomScale="115" zoomScaleNormal="115" workbookViewId="0"/>
  </sheetViews>
  <sheetFormatPr defaultColWidth="15.140625" defaultRowHeight="20.100000000000001" customHeight="1"/>
  <cols>
    <col min="1" max="1" width="14.85546875" style="76" customWidth="1"/>
    <col min="2" max="2" width="12.42578125" style="77" customWidth="1"/>
    <col min="3" max="3" width="12.42578125" style="3" customWidth="1"/>
    <col min="4" max="4" width="10.42578125" style="3" customWidth="1"/>
    <col min="5" max="5" width="82.140625" style="3" customWidth="1"/>
    <col min="6" max="6" width="12.5703125" style="3" customWidth="1"/>
    <col min="7" max="16384" width="15.140625" style="3"/>
  </cols>
  <sheetData>
    <row r="1" spans="1:6" s="85" customFormat="1" ht="30" customHeight="1">
      <c r="A1" s="83"/>
      <c r="B1" s="84"/>
    </row>
    <row r="2" spans="1:6" s="74" customFormat="1" ht="16.5" customHeight="1">
      <c r="A2" s="75"/>
      <c r="B2" s="79" t="s">
        <v>108</v>
      </c>
      <c r="C2" s="80" t="s">
        <v>109</v>
      </c>
      <c r="D2" s="78" t="s">
        <v>90</v>
      </c>
      <c r="E2" s="81" t="s">
        <v>110</v>
      </c>
      <c r="F2" s="82" t="s">
        <v>111</v>
      </c>
    </row>
    <row r="3" spans="1:6" s="88" customFormat="1" ht="26.1" customHeight="1">
      <c r="A3" s="86"/>
      <c r="B3" s="87"/>
      <c r="D3" s="89"/>
      <c r="F3" s="90"/>
    </row>
    <row r="4" spans="1:6" s="88" customFormat="1" ht="26.1" customHeight="1">
      <c r="A4" s="86"/>
      <c r="B4" s="87"/>
      <c r="D4" s="89"/>
      <c r="F4" s="90"/>
    </row>
    <row r="5" spans="1:6" s="88" customFormat="1" ht="26.1" customHeight="1">
      <c r="A5" s="86"/>
      <c r="B5" s="87"/>
      <c r="D5" s="89"/>
      <c r="F5" s="90"/>
    </row>
    <row r="6" spans="1:6" s="88" customFormat="1" ht="26.1" customHeight="1">
      <c r="A6" s="86"/>
      <c r="B6" s="87"/>
      <c r="D6" s="89"/>
      <c r="F6" s="90"/>
    </row>
    <row r="7" spans="1:6" s="88" customFormat="1" ht="26.1" customHeight="1">
      <c r="A7" s="86"/>
      <c r="B7" s="87"/>
      <c r="D7" s="89"/>
      <c r="F7" s="90"/>
    </row>
    <row r="8" spans="1:6" s="88" customFormat="1" ht="26.1" customHeight="1">
      <c r="A8" s="86"/>
      <c r="B8" s="87"/>
      <c r="D8" s="89"/>
      <c r="F8" s="90"/>
    </row>
    <row r="9" spans="1:6" s="88" customFormat="1" ht="26.1" customHeight="1">
      <c r="A9" s="86"/>
      <c r="B9" s="87"/>
      <c r="D9" s="89"/>
      <c r="F9" s="90"/>
    </row>
    <row r="10" spans="1:6" s="88" customFormat="1" ht="26.1" customHeight="1">
      <c r="A10" s="86"/>
      <c r="B10" s="87"/>
      <c r="D10" s="89"/>
      <c r="F10" s="90"/>
    </row>
    <row r="11" spans="1:6" s="88" customFormat="1" ht="26.1" customHeight="1">
      <c r="A11" s="86"/>
      <c r="B11" s="87"/>
      <c r="D11" s="89"/>
      <c r="F11" s="90"/>
    </row>
    <row r="12" spans="1:6" s="88" customFormat="1" ht="26.1" customHeight="1">
      <c r="A12" s="86"/>
      <c r="B12" s="87"/>
      <c r="D12" s="89"/>
      <c r="F12" s="90"/>
    </row>
    <row r="13" spans="1:6" s="88" customFormat="1" ht="26.1" customHeight="1">
      <c r="A13" s="86"/>
      <c r="B13" s="87"/>
      <c r="D13" s="89"/>
      <c r="F13" s="90"/>
    </row>
    <row r="14" spans="1:6" s="88" customFormat="1" ht="26.1" customHeight="1">
      <c r="A14" s="86"/>
      <c r="B14" s="87"/>
      <c r="D14" s="89"/>
      <c r="F14" s="90"/>
    </row>
    <row r="15" spans="1:6" ht="26.1" customHeight="1">
      <c r="A15" s="86"/>
      <c r="B15" s="87"/>
      <c r="C15" s="88"/>
      <c r="D15" s="89"/>
      <c r="E15" s="88"/>
      <c r="F15" s="90"/>
    </row>
    <row r="16" spans="1:6" ht="26.1" customHeight="1">
      <c r="A16" s="86"/>
      <c r="B16" s="87"/>
      <c r="C16" s="88"/>
      <c r="D16" s="89"/>
      <c r="E16" s="88"/>
      <c r="F16" s="90"/>
    </row>
    <row r="17" spans="1:6" ht="26.1" customHeight="1">
      <c r="A17" s="86"/>
      <c r="B17" s="87"/>
      <c r="C17" s="88"/>
      <c r="D17" s="89"/>
      <c r="E17" s="88"/>
      <c r="F17" s="90"/>
    </row>
    <row r="18" spans="1:6" ht="26.1" customHeight="1">
      <c r="A18" s="86"/>
      <c r="B18" s="87"/>
      <c r="C18" s="88"/>
      <c r="D18" s="89"/>
      <c r="E18" s="88"/>
      <c r="F18" s="90"/>
    </row>
    <row r="19" spans="1:6" ht="26.1" customHeight="1">
      <c r="A19" s="86"/>
      <c r="B19" s="87"/>
      <c r="C19" s="88"/>
      <c r="D19" s="89"/>
      <c r="E19" s="88"/>
      <c r="F19" s="90"/>
    </row>
    <row r="20" spans="1:6" ht="26.1" customHeight="1">
      <c r="A20" s="86"/>
      <c r="B20" s="87"/>
      <c r="C20" s="88"/>
      <c r="D20" s="89"/>
      <c r="E20" s="88"/>
      <c r="F20" s="90"/>
    </row>
    <row r="21" spans="1:6" ht="26.1" customHeight="1">
      <c r="A21" s="86"/>
      <c r="B21" s="87"/>
      <c r="C21" s="88"/>
      <c r="D21" s="89"/>
      <c r="E21" s="88"/>
      <c r="F21" s="90"/>
    </row>
    <row r="22" spans="1:6" ht="26.1" customHeight="1">
      <c r="A22" s="86"/>
      <c r="B22" s="87"/>
      <c r="C22" s="88"/>
      <c r="D22" s="89"/>
      <c r="E22" s="88"/>
      <c r="F22" s="90"/>
    </row>
    <row r="23" spans="1:6" ht="26.1" customHeight="1">
      <c r="A23" s="86"/>
      <c r="B23" s="87"/>
      <c r="C23" s="88"/>
      <c r="D23" s="89"/>
      <c r="E23" s="88"/>
      <c r="F23" s="90"/>
    </row>
    <row r="24" spans="1:6" ht="26.1" customHeight="1">
      <c r="A24" s="86"/>
      <c r="B24" s="87"/>
      <c r="C24" s="88"/>
      <c r="D24" s="89"/>
      <c r="E24" s="88"/>
      <c r="F24" s="90"/>
    </row>
    <row r="25" spans="1:6" ht="26.1" customHeight="1">
      <c r="A25" s="86"/>
      <c r="B25" s="87"/>
      <c r="C25" s="88"/>
      <c r="D25" s="89"/>
      <c r="E25" s="88"/>
      <c r="F25" s="90"/>
    </row>
    <row r="26" spans="1:6" ht="26.1" customHeight="1">
      <c r="A26" s="86"/>
      <c r="B26" s="87"/>
      <c r="C26" s="88"/>
      <c r="D26" s="89"/>
      <c r="E26" s="88"/>
      <c r="F26" s="90"/>
    </row>
    <row r="27" spans="1:6" ht="26.1" customHeight="1">
      <c r="A27" s="86"/>
      <c r="B27" s="87"/>
      <c r="C27" s="88"/>
      <c r="D27" s="89"/>
      <c r="E27" s="88"/>
      <c r="F27" s="90"/>
    </row>
    <row r="28" spans="1:6" ht="26.1" customHeight="1">
      <c r="A28" s="86"/>
      <c r="B28" s="87"/>
      <c r="C28" s="88"/>
      <c r="D28" s="89"/>
      <c r="E28" s="88"/>
      <c r="F28" s="90"/>
    </row>
    <row r="29" spans="1:6" ht="26.1" customHeight="1">
      <c r="A29" s="86"/>
      <c r="B29" s="87"/>
      <c r="C29" s="88"/>
      <c r="D29" s="89"/>
      <c r="E29" s="88"/>
      <c r="F29" s="90"/>
    </row>
    <row r="30" spans="1:6" ht="26.1" customHeight="1">
      <c r="A30" s="86"/>
      <c r="B30" s="87"/>
      <c r="C30" s="88"/>
      <c r="D30" s="89"/>
      <c r="E30" s="88"/>
      <c r="F30" s="90"/>
    </row>
    <row r="31" spans="1:6" ht="26.1" customHeight="1">
      <c r="A31" s="86"/>
      <c r="B31" s="87"/>
      <c r="C31" s="88"/>
      <c r="D31" s="89"/>
      <c r="E31" s="88"/>
      <c r="F31" s="90"/>
    </row>
    <row r="32" spans="1:6" ht="26.1" customHeight="1">
      <c r="A32" s="86"/>
      <c r="B32" s="87"/>
      <c r="C32" s="88"/>
      <c r="D32" s="89"/>
      <c r="E32" s="88"/>
      <c r="F32" s="90"/>
    </row>
    <row r="33" spans="1:6" ht="26.1" customHeight="1">
      <c r="A33" s="86"/>
      <c r="B33" s="87"/>
      <c r="C33" s="88"/>
      <c r="D33" s="89"/>
      <c r="E33" s="88"/>
      <c r="F33" s="90"/>
    </row>
    <row r="34" spans="1:6" ht="20.100000000000001" customHeight="1">
      <c r="A34" s="86"/>
      <c r="B34" s="87"/>
      <c r="C34" s="88"/>
      <c r="D34" s="89"/>
      <c r="E34" s="88"/>
      <c r="F34" s="90"/>
    </row>
    <row r="35" spans="1:6" ht="20.100000000000001" customHeight="1">
      <c r="A35" s="86"/>
      <c r="B35" s="87"/>
      <c r="C35" s="88"/>
      <c r="D35" s="89"/>
      <c r="E35" s="88"/>
      <c r="F35" s="90"/>
    </row>
    <row r="36" spans="1:6" ht="20.100000000000001" customHeight="1">
      <c r="A36" s="86"/>
      <c r="B36" s="87"/>
      <c r="C36" s="88"/>
      <c r="D36" s="89"/>
      <c r="E36" s="88"/>
      <c r="F36" s="90"/>
    </row>
    <row r="37" spans="1:6" ht="20.100000000000001" customHeight="1">
      <c r="A37" s="86"/>
      <c r="B37" s="87"/>
      <c r="C37" s="88"/>
      <c r="D37" s="89"/>
      <c r="E37" s="88"/>
      <c r="F37" s="90"/>
    </row>
    <row r="38" spans="1:6" ht="20.100000000000001" customHeight="1">
      <c r="A38" s="86"/>
      <c r="B38" s="87"/>
      <c r="C38" s="88"/>
      <c r="D38" s="89"/>
      <c r="E38" s="88"/>
      <c r="F38" s="90"/>
    </row>
    <row r="39" spans="1:6" ht="20.100000000000001" customHeight="1">
      <c r="B39" s="91"/>
    </row>
    <row r="40" spans="1:6" ht="20.100000000000001" customHeight="1">
      <c r="B40" s="91"/>
    </row>
    <row r="41" spans="1:6" ht="20.100000000000001" customHeight="1">
      <c r="B41" s="91"/>
    </row>
    <row r="42" spans="1:6" ht="20.100000000000001" customHeight="1">
      <c r="B42" s="91"/>
    </row>
    <row r="43" spans="1:6" ht="20.100000000000001" customHeight="1">
      <c r="B43" s="91"/>
    </row>
    <row r="44" spans="1:6" ht="20.100000000000001" customHeight="1">
      <c r="B44" s="91"/>
    </row>
    <row r="45" spans="1:6" ht="20.100000000000001" customHeight="1">
      <c r="B45" s="91"/>
    </row>
    <row r="46" spans="1:6" ht="20.100000000000001" customHeight="1">
      <c r="B46" s="91"/>
    </row>
    <row r="47" spans="1:6" ht="20.100000000000001" customHeight="1">
      <c r="B47" s="91"/>
    </row>
    <row r="48" spans="1:6" ht="20.100000000000001" customHeight="1">
      <c r="B48" s="91"/>
    </row>
    <row r="49" spans="2:2" ht="20.100000000000001" customHeight="1">
      <c r="B49" s="91"/>
    </row>
    <row r="50" spans="2:2" ht="20.100000000000001" customHeight="1">
      <c r="B50" s="91"/>
    </row>
    <row r="51" spans="2:2" ht="20.100000000000001" customHeight="1">
      <c r="B51" s="91"/>
    </row>
    <row r="52" spans="2:2" ht="20.100000000000001" customHeight="1">
      <c r="B52" s="91"/>
    </row>
    <row r="53" spans="2:2" ht="20.100000000000001" customHeight="1">
      <c r="B53" s="91"/>
    </row>
    <row r="54" spans="2:2" ht="20.100000000000001" customHeight="1">
      <c r="B54" s="91"/>
    </row>
    <row r="55" spans="2:2" ht="20.100000000000001" customHeight="1">
      <c r="B55" s="91"/>
    </row>
    <row r="56" spans="2:2" ht="20.100000000000001" customHeight="1">
      <c r="B56" s="91"/>
    </row>
    <row r="57" spans="2:2" ht="20.100000000000001" customHeight="1">
      <c r="B57" s="91"/>
    </row>
    <row r="58" spans="2:2" ht="20.100000000000001" customHeight="1">
      <c r="B58" s="91"/>
    </row>
    <row r="59" spans="2:2" ht="20.100000000000001" customHeight="1">
      <c r="B59" s="91"/>
    </row>
    <row r="60" spans="2:2" ht="20.100000000000001" customHeight="1">
      <c r="B60" s="91"/>
    </row>
    <row r="61" spans="2:2" ht="20.100000000000001" customHeight="1">
      <c r="B61" s="91"/>
    </row>
    <row r="62" spans="2:2" ht="20.100000000000001" customHeight="1">
      <c r="B62" s="91"/>
    </row>
    <row r="63" spans="2:2" ht="20.100000000000001" customHeight="1">
      <c r="B63" s="91"/>
    </row>
    <row r="64" spans="2:2" ht="20.100000000000001" customHeight="1">
      <c r="B64" s="91"/>
    </row>
    <row r="65" spans="2:2" ht="20.100000000000001" customHeight="1">
      <c r="B65" s="91"/>
    </row>
    <row r="66" spans="2:2" ht="20.100000000000001" customHeight="1">
      <c r="B66" s="91"/>
    </row>
    <row r="67" spans="2:2" ht="20.100000000000001" customHeight="1">
      <c r="B67" s="91"/>
    </row>
    <row r="68" spans="2:2" ht="20.100000000000001" customHeight="1">
      <c r="B68" s="91"/>
    </row>
    <row r="69" spans="2:2" ht="20.100000000000001" customHeight="1">
      <c r="B69" s="91"/>
    </row>
    <row r="70" spans="2:2" ht="20.100000000000001" customHeight="1">
      <c r="B70" s="91"/>
    </row>
    <row r="71" spans="2:2" ht="20.100000000000001" customHeight="1">
      <c r="B71" s="91"/>
    </row>
    <row r="72" spans="2:2" ht="20.100000000000001" customHeight="1">
      <c r="B72" s="91"/>
    </row>
    <row r="73" spans="2:2" ht="20.100000000000001" customHeight="1">
      <c r="B73" s="91"/>
    </row>
    <row r="74" spans="2:2" ht="20.100000000000001" customHeight="1">
      <c r="B74" s="91"/>
    </row>
    <row r="75" spans="2:2" ht="20.100000000000001" customHeight="1">
      <c r="B75" s="91"/>
    </row>
    <row r="76" spans="2:2" ht="20.100000000000001" customHeight="1">
      <c r="B76" s="91"/>
    </row>
    <row r="77" spans="2:2" ht="20.100000000000001" customHeight="1">
      <c r="B77" s="91"/>
    </row>
    <row r="78" spans="2:2" ht="20.100000000000001" customHeight="1">
      <c r="B78" s="91"/>
    </row>
    <row r="79" spans="2:2" ht="20.100000000000001" customHeight="1">
      <c r="B79" s="91"/>
    </row>
    <row r="80" spans="2:2" ht="20.100000000000001" customHeight="1">
      <c r="B80" s="91"/>
    </row>
    <row r="81" spans="2:2" ht="20.100000000000001" customHeight="1">
      <c r="B81" s="91"/>
    </row>
    <row r="82" spans="2:2" ht="20.100000000000001" customHeight="1">
      <c r="B82" s="91"/>
    </row>
    <row r="83" spans="2:2" ht="20.100000000000001" customHeight="1">
      <c r="B83" s="91"/>
    </row>
    <row r="84" spans="2:2" ht="20.100000000000001" customHeight="1">
      <c r="B84" s="91"/>
    </row>
    <row r="85" spans="2:2" ht="20.100000000000001" customHeight="1">
      <c r="B85" s="91"/>
    </row>
    <row r="86" spans="2:2" ht="20.100000000000001" customHeight="1">
      <c r="B86" s="91"/>
    </row>
    <row r="87" spans="2:2" ht="20.100000000000001" customHeight="1">
      <c r="B87" s="91"/>
    </row>
    <row r="88" spans="2:2" ht="20.100000000000001" customHeight="1">
      <c r="B88" s="91"/>
    </row>
    <row r="89" spans="2:2" ht="20.100000000000001" customHeight="1">
      <c r="B89" s="91"/>
    </row>
    <row r="90" spans="2:2" ht="20.100000000000001" customHeight="1">
      <c r="B90" s="91"/>
    </row>
    <row r="91" spans="2:2" ht="20.100000000000001" customHeight="1">
      <c r="B91" s="91"/>
    </row>
    <row r="92" spans="2:2" ht="20.100000000000001" customHeight="1">
      <c r="B92" s="91"/>
    </row>
    <row r="93" spans="2:2" ht="20.100000000000001" customHeight="1">
      <c r="B93" s="91"/>
    </row>
    <row r="94" spans="2:2" ht="20.100000000000001" customHeight="1">
      <c r="B94" s="91"/>
    </row>
    <row r="95" spans="2:2" ht="20.100000000000001" customHeight="1">
      <c r="B95" s="91"/>
    </row>
    <row r="96" spans="2:2" ht="20.100000000000001" customHeight="1">
      <c r="B96" s="91"/>
    </row>
    <row r="97" spans="2:2" ht="20.100000000000001" customHeight="1">
      <c r="B97" s="91"/>
    </row>
    <row r="98" spans="2:2" ht="20.100000000000001" customHeight="1">
      <c r="B98" s="91"/>
    </row>
    <row r="99" spans="2:2" ht="5.0999999999999996" customHeight="1">
      <c r="B99" s="91"/>
    </row>
    <row r="100" spans="2:2" ht="5.0999999999999996" customHeight="1">
      <c r="B100" s="91"/>
    </row>
    <row r="101" spans="2:2" ht="5.0999999999999996" customHeight="1">
      <c r="B101" s="91"/>
    </row>
    <row r="102" spans="2:2" ht="5.0999999999999996" customHeight="1">
      <c r="B102" s="91"/>
    </row>
    <row r="103" spans="2:2" ht="5.0999999999999996" customHeight="1">
      <c r="B103" s="91"/>
    </row>
    <row r="104" spans="2:2" ht="5.0999999999999996" customHeight="1">
      <c r="B104" s="91"/>
    </row>
    <row r="105" spans="2:2" ht="5.0999999999999996" customHeight="1">
      <c r="B105" s="91"/>
    </row>
    <row r="106" spans="2:2" ht="5.0999999999999996" customHeight="1">
      <c r="B106" s="91"/>
    </row>
    <row r="107" spans="2:2" ht="5.0999999999999996" customHeight="1">
      <c r="B107" s="91"/>
    </row>
    <row r="108" spans="2:2" ht="5.0999999999999996" customHeight="1">
      <c r="B108" s="91"/>
    </row>
    <row r="109" spans="2:2" ht="5.0999999999999996" customHeight="1">
      <c r="B109" s="91"/>
    </row>
    <row r="110" spans="2:2" ht="5.0999999999999996" customHeight="1">
      <c r="B110" s="91"/>
    </row>
    <row r="111" spans="2:2" ht="5.0999999999999996" customHeight="1">
      <c r="B111" s="91"/>
    </row>
    <row r="112" spans="2:2" ht="5.0999999999999996" customHeight="1">
      <c r="B112" s="91"/>
    </row>
    <row r="113" spans="2:2" ht="5.0999999999999996" customHeight="1">
      <c r="B113" s="91"/>
    </row>
    <row r="114" spans="2:2" ht="5.0999999999999996" customHeight="1">
      <c r="B114" s="91"/>
    </row>
    <row r="115" spans="2:2" ht="5.0999999999999996" customHeight="1">
      <c r="B115" s="91"/>
    </row>
    <row r="116" spans="2:2" ht="5.0999999999999996" customHeight="1">
      <c r="B116" s="91"/>
    </row>
    <row r="117" spans="2:2" ht="5.0999999999999996" customHeight="1">
      <c r="B117" s="91"/>
    </row>
    <row r="118" spans="2:2" ht="5.0999999999999996" customHeight="1">
      <c r="B118" s="91"/>
    </row>
    <row r="119" spans="2:2" ht="5.0999999999999996" customHeight="1">
      <c r="B119" s="91"/>
    </row>
    <row r="120" spans="2:2" ht="5.0999999999999996" customHeight="1">
      <c r="B120" s="91"/>
    </row>
    <row r="121" spans="2:2" ht="5.0999999999999996" customHeight="1">
      <c r="B121" s="91"/>
    </row>
    <row r="122" spans="2:2" ht="5.0999999999999996" customHeight="1">
      <c r="B122" s="91"/>
    </row>
    <row r="123" spans="2:2" ht="5.0999999999999996" customHeight="1">
      <c r="B123" s="91"/>
    </row>
    <row r="124" spans="2:2" ht="5.0999999999999996" customHeight="1">
      <c r="B124" s="91"/>
    </row>
    <row r="125" spans="2:2" ht="5.0999999999999996" customHeight="1">
      <c r="B125" s="91"/>
    </row>
    <row r="126" spans="2:2" ht="5.0999999999999996" customHeight="1">
      <c r="B126" s="91"/>
    </row>
    <row r="127" spans="2:2" ht="5.0999999999999996" customHeight="1">
      <c r="B127" s="91"/>
    </row>
    <row r="128" spans="2:2" ht="5.0999999999999996" customHeight="1">
      <c r="B128" s="91"/>
    </row>
    <row r="129" spans="2:2" ht="5.0999999999999996" customHeight="1">
      <c r="B129" s="91"/>
    </row>
    <row r="130" spans="2:2" ht="5.0999999999999996" customHeight="1">
      <c r="B130" s="91"/>
    </row>
    <row r="131" spans="2:2" ht="5.0999999999999996" customHeight="1">
      <c r="B131" s="91"/>
    </row>
    <row r="132" spans="2:2" ht="5.0999999999999996" customHeight="1">
      <c r="B132" s="91"/>
    </row>
    <row r="133" spans="2:2" ht="5.0999999999999996" customHeight="1">
      <c r="B133" s="91"/>
    </row>
    <row r="134" spans="2:2" ht="5.0999999999999996" customHeight="1">
      <c r="B134" s="91"/>
    </row>
    <row r="135" spans="2:2" ht="5.0999999999999996" customHeight="1">
      <c r="B135" s="91"/>
    </row>
    <row r="136" spans="2:2" ht="5.0999999999999996" customHeight="1">
      <c r="B136" s="91"/>
    </row>
    <row r="137" spans="2:2" ht="5.0999999999999996" customHeight="1">
      <c r="B137" s="91"/>
    </row>
    <row r="138" spans="2:2" ht="5.0999999999999996" customHeight="1">
      <c r="B138" s="91"/>
    </row>
    <row r="139" spans="2:2" ht="5.0999999999999996" customHeight="1">
      <c r="B139" s="91"/>
    </row>
    <row r="140" spans="2:2" ht="5.0999999999999996" customHeight="1">
      <c r="B140" s="91"/>
    </row>
    <row r="141" spans="2:2" ht="5.0999999999999996" customHeight="1">
      <c r="B141" s="91"/>
    </row>
    <row r="142" spans="2:2" ht="5.0999999999999996" customHeight="1">
      <c r="B142" s="91"/>
    </row>
    <row r="143" spans="2:2" ht="20.100000000000001" customHeight="1">
      <c r="B143" s="91"/>
    </row>
    <row r="144" spans="2:2" ht="20.100000000000001" customHeight="1">
      <c r="B144" s="91"/>
    </row>
  </sheetData>
  <sheetProtection formatCells="0" formatColumns="0" formatRows="0"/>
  <printOptions horizontalCentered="1"/>
  <pageMargins left="0" right="0" top="0" bottom="0" header="0" footer="0"/>
  <pageSetup paperSize="9" scale="99" fitToHeight="0" orientation="landscape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ECF621-FAF3-4B9A-8DE9-8DD98198E2DA}">
  <sheetPr codeName="Taul30">
    <tabColor theme="5" tint="0.39997558519241921"/>
    <pageSetUpPr fitToPage="1"/>
  </sheetPr>
  <dimension ref="A1:A48"/>
  <sheetViews>
    <sheetView showGridLines="0" showZeros="0" zoomScaleNormal="100" workbookViewId="0">
      <selection sqref="A1:J1"/>
    </sheetView>
  </sheetViews>
  <sheetFormatPr defaultColWidth="15.140625" defaultRowHeight="20.100000000000001" customHeight="1"/>
  <cols>
    <col min="1" max="1" width="117.5703125" style="3" customWidth="1"/>
    <col min="2" max="2" width="5.42578125" style="3" customWidth="1"/>
    <col min="3" max="3" width="7.140625" style="3" customWidth="1"/>
    <col min="4" max="4" width="2.42578125" style="3" customWidth="1"/>
    <col min="5" max="16384" width="15.140625" style="3"/>
  </cols>
  <sheetData>
    <row r="1" spans="1:1" ht="30" customHeight="1">
      <c r="A1" s="60"/>
    </row>
    <row r="2" spans="1:1" ht="50.1" customHeight="1">
      <c r="A2" s="61"/>
    </row>
    <row r="3" spans="1:1" s="59" customFormat="1" ht="19.350000000000001" customHeight="1">
      <c r="A3" s="62"/>
    </row>
    <row r="4" spans="1:1" s="59" customFormat="1" ht="19.350000000000001" customHeight="1">
      <c r="A4" s="67"/>
    </row>
    <row r="5" spans="1:1" s="59" customFormat="1" ht="19.350000000000001" customHeight="1">
      <c r="A5" s="63"/>
    </row>
    <row r="6" spans="1:1" s="59" customFormat="1" ht="19.350000000000001" customHeight="1">
      <c r="A6" s="68"/>
    </row>
    <row r="7" spans="1:1" s="59" customFormat="1" ht="19.350000000000001" customHeight="1">
      <c r="A7" s="62"/>
    </row>
    <row r="8" spans="1:1" s="59" customFormat="1" ht="19.350000000000001" customHeight="1">
      <c r="A8" s="67"/>
    </row>
    <row r="9" spans="1:1" s="59" customFormat="1" ht="19.350000000000001" customHeight="1">
      <c r="A9" s="63"/>
    </row>
    <row r="10" spans="1:1" s="59" customFormat="1" ht="19.350000000000001" customHeight="1">
      <c r="A10" s="68"/>
    </row>
    <row r="11" spans="1:1" s="59" customFormat="1" ht="19.350000000000001" customHeight="1">
      <c r="A11" s="62"/>
    </row>
    <row r="12" spans="1:1" s="59" customFormat="1" ht="19.350000000000001" customHeight="1">
      <c r="A12" s="67"/>
    </row>
    <row r="13" spans="1:1" s="59" customFormat="1" ht="19.350000000000001" customHeight="1">
      <c r="A13" s="63"/>
    </row>
    <row r="14" spans="1:1" s="59" customFormat="1" ht="19.350000000000001" customHeight="1">
      <c r="A14" s="68"/>
    </row>
    <row r="15" spans="1:1" s="59" customFormat="1" ht="19.350000000000001" customHeight="1">
      <c r="A15" s="62"/>
    </row>
    <row r="16" spans="1:1" s="59" customFormat="1" ht="19.350000000000001" customHeight="1">
      <c r="A16" s="67"/>
    </row>
    <row r="17" spans="1:1" s="59" customFormat="1" ht="19.350000000000001" customHeight="1">
      <c r="A17" s="63"/>
    </row>
    <row r="18" spans="1:1" s="59" customFormat="1" ht="19.350000000000001" customHeight="1">
      <c r="A18" s="68"/>
    </row>
    <row r="19" spans="1:1" s="59" customFormat="1" ht="19.350000000000001" customHeight="1">
      <c r="A19" s="62"/>
    </row>
    <row r="20" spans="1:1" s="59" customFormat="1" ht="19.350000000000001" customHeight="1">
      <c r="A20" s="67"/>
    </row>
    <row r="21" spans="1:1" s="59" customFormat="1" ht="19.350000000000001" customHeight="1">
      <c r="A21" s="63"/>
    </row>
    <row r="22" spans="1:1" s="59" customFormat="1" ht="19.350000000000001" customHeight="1">
      <c r="A22" s="68"/>
    </row>
    <row r="23" spans="1:1" s="59" customFormat="1" ht="19.350000000000001" customHeight="1">
      <c r="A23" s="62"/>
    </row>
    <row r="24" spans="1:1" s="59" customFormat="1" ht="19.350000000000001" customHeight="1">
      <c r="A24" s="67"/>
    </row>
    <row r="25" spans="1:1" s="59" customFormat="1" ht="19.350000000000001" customHeight="1">
      <c r="A25" s="63"/>
    </row>
    <row r="26" spans="1:1" s="58" customFormat="1" ht="19.350000000000001" customHeight="1">
      <c r="A26" s="69"/>
    </row>
    <row r="27" spans="1:1" ht="19.350000000000001" customHeight="1">
      <c r="A27" s="64"/>
    </row>
    <row r="28" spans="1:1" ht="19.350000000000001" customHeight="1">
      <c r="A28" s="70"/>
    </row>
    <row r="29" spans="1:1" ht="19.350000000000001" customHeight="1">
      <c r="A29" s="65"/>
    </row>
    <row r="30" spans="1:1" ht="19.350000000000001" customHeight="1">
      <c r="A30" s="69"/>
    </row>
    <row r="31" spans="1:1" ht="19.350000000000001" customHeight="1">
      <c r="A31" s="64"/>
    </row>
    <row r="32" spans="1:1" ht="19.350000000000001" customHeight="1">
      <c r="A32" s="70"/>
    </row>
    <row r="33" spans="1:1" ht="19.350000000000001" customHeight="1">
      <c r="A33" s="65"/>
    </row>
    <row r="34" spans="1:1" ht="19.350000000000001" customHeight="1">
      <c r="A34" s="69"/>
    </row>
    <row r="35" spans="1:1" ht="19.350000000000001" customHeight="1">
      <c r="A35" s="64"/>
    </row>
    <row r="36" spans="1:1" ht="19.350000000000001" customHeight="1">
      <c r="A36" s="70"/>
    </row>
    <row r="37" spans="1:1" ht="19.350000000000001" customHeight="1">
      <c r="A37" s="65"/>
    </row>
    <row r="38" spans="1:1" ht="19.350000000000001" customHeight="1">
      <c r="A38" s="71"/>
    </row>
    <row r="39" spans="1:1" ht="19.350000000000001" customHeight="1">
      <c r="A39" s="64"/>
    </row>
    <row r="40" spans="1:1" ht="19.350000000000001" customHeight="1">
      <c r="A40" s="70"/>
    </row>
    <row r="41" spans="1:1" ht="19.350000000000001" customHeight="1">
      <c r="A41" s="66"/>
    </row>
    <row r="42" spans="1:1" ht="19.350000000000001" customHeight="1">
      <c r="A42" s="71"/>
    </row>
    <row r="43" spans="1:1" ht="19.350000000000001" customHeight="1">
      <c r="A43" s="64"/>
    </row>
    <row r="44" spans="1:1" ht="19.350000000000001" customHeight="1">
      <c r="A44" s="70"/>
    </row>
    <row r="45" spans="1:1" ht="19.350000000000001" customHeight="1">
      <c r="A45" s="66"/>
    </row>
    <row r="46" spans="1:1" ht="19.350000000000001" customHeight="1">
      <c r="A46" s="71"/>
    </row>
    <row r="47" spans="1:1" ht="19.350000000000001" customHeight="1">
      <c r="A47" s="64"/>
    </row>
    <row r="48" spans="1:1" ht="19.350000000000001" customHeight="1">
      <c r="A48" s="70"/>
    </row>
  </sheetData>
  <sheetProtection formatCells="0" formatColumns="0" formatRows="0"/>
  <printOptions horizontalCentered="1"/>
  <pageMargins left="0.23622047244094488" right="0.23622047244094488" top="0.11811023622047244" bottom="0.11811023622047244" header="0" footer="0"/>
  <pageSetup paperSize="9" scale="84" fitToHeight="0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9CF2C1-ABB0-49FC-A713-0A75C515EE83}">
  <sheetPr codeName="Sheet17">
    <tabColor rgb="FF31FDF8"/>
  </sheetPr>
  <dimension ref="A1:J686"/>
  <sheetViews>
    <sheetView zoomScale="235" zoomScaleNormal="235" zoomScalePageLayoutView="85" workbookViewId="0">
      <selection sqref="A1:J1"/>
    </sheetView>
  </sheetViews>
  <sheetFormatPr defaultColWidth="9.140625" defaultRowHeight="15.75"/>
  <cols>
    <col min="1" max="1" width="7.42578125" style="21" customWidth="1"/>
    <col min="2" max="2" width="21.140625" style="18" customWidth="1"/>
    <col min="3" max="3" width="7.42578125" style="459" customWidth="1"/>
    <col min="4" max="4" width="21.140625" style="454" customWidth="1"/>
    <col min="5" max="5" width="7.42578125" style="459" customWidth="1"/>
    <col min="6" max="6" width="21.140625" style="454" customWidth="1"/>
    <col min="7" max="7" width="7.42578125" style="459" customWidth="1"/>
    <col min="8" max="8" width="21.140625" style="454" customWidth="1"/>
    <col min="9" max="9" width="7.42578125" style="459" customWidth="1"/>
    <col min="10" max="10" width="21.140625" style="454" customWidth="1"/>
  </cols>
  <sheetData>
    <row r="1" spans="1:10" ht="36.75" customHeight="1">
      <c r="A1" s="620"/>
      <c r="B1" s="620"/>
      <c r="C1" s="620"/>
      <c r="D1" s="620"/>
      <c r="E1" s="620"/>
      <c r="F1" s="620"/>
      <c r="G1" s="620"/>
      <c r="H1" s="620"/>
      <c r="I1" s="620"/>
      <c r="J1" s="620"/>
    </row>
    <row r="2" spans="1:10" s="20" customFormat="1" ht="19.5" customHeight="1">
      <c r="A2" s="621"/>
      <c r="B2" s="621"/>
      <c r="C2" s="622"/>
      <c r="D2" s="622"/>
      <c r="E2" s="623"/>
      <c r="F2" s="623"/>
      <c r="G2" s="622"/>
      <c r="H2" s="622"/>
      <c r="I2" s="623"/>
      <c r="J2" s="623"/>
    </row>
    <row r="3" spans="1:10" s="19" customFormat="1">
      <c r="A3" s="499"/>
      <c r="B3" s="21"/>
      <c r="C3" s="504"/>
      <c r="D3" s="449"/>
      <c r="E3" s="499"/>
      <c r="F3" s="21"/>
      <c r="G3" s="504"/>
      <c r="H3" s="449"/>
      <c r="I3" s="499"/>
      <c r="J3" s="21"/>
    </row>
    <row r="4" spans="1:10" s="19" customFormat="1">
      <c r="A4" s="500"/>
      <c r="B4" s="448"/>
      <c r="C4" s="505"/>
      <c r="D4" s="450"/>
      <c r="E4" s="500"/>
      <c r="F4" s="448"/>
      <c r="G4" s="505"/>
      <c r="H4" s="450"/>
      <c r="I4" s="500"/>
      <c r="J4" s="448"/>
    </row>
    <row r="5" spans="1:10" s="19" customFormat="1">
      <c r="A5" s="500"/>
      <c r="B5" s="448"/>
      <c r="C5" s="505"/>
      <c r="D5" s="450"/>
      <c r="E5" s="500"/>
      <c r="F5" s="448"/>
      <c r="G5" s="505"/>
      <c r="H5" s="450"/>
      <c r="I5" s="500"/>
      <c r="J5" s="448"/>
    </row>
    <row r="6" spans="1:10" s="19" customFormat="1">
      <c r="A6" s="500"/>
      <c r="B6" s="448"/>
      <c r="C6" s="505"/>
      <c r="D6" s="450"/>
      <c r="E6" s="500"/>
      <c r="F6" s="448"/>
      <c r="G6" s="505"/>
      <c r="H6" s="450"/>
      <c r="I6" s="500"/>
      <c r="J6" s="448"/>
    </row>
    <row r="7" spans="1:10" s="19" customFormat="1">
      <c r="A7" s="500"/>
      <c r="B7" s="448"/>
      <c r="C7" s="505"/>
      <c r="D7" s="450"/>
      <c r="E7" s="500"/>
      <c r="F7" s="448"/>
      <c r="G7" s="505"/>
      <c r="H7" s="450"/>
      <c r="I7" s="500"/>
      <c r="J7" s="448"/>
    </row>
    <row r="8" spans="1:10" s="19" customFormat="1">
      <c r="A8" s="501"/>
      <c r="B8" s="448"/>
      <c r="C8" s="506"/>
      <c r="D8" s="450"/>
      <c r="E8" s="501"/>
      <c r="F8" s="448"/>
      <c r="G8" s="506"/>
      <c r="H8" s="450"/>
      <c r="I8" s="501"/>
      <c r="J8" s="448"/>
    </row>
    <row r="9" spans="1:10" s="19" customFormat="1">
      <c r="A9" s="500"/>
      <c r="B9" s="448"/>
      <c r="C9" s="505"/>
      <c r="D9" s="450"/>
      <c r="E9" s="500"/>
      <c r="F9" s="448"/>
      <c r="G9" s="505"/>
      <c r="H9" s="450"/>
      <c r="I9" s="500"/>
      <c r="J9" s="448"/>
    </row>
    <row r="10" spans="1:10" s="19" customFormat="1">
      <c r="A10" s="500"/>
      <c r="B10" s="448"/>
      <c r="C10" s="505"/>
      <c r="D10" s="450"/>
      <c r="E10" s="500"/>
      <c r="F10" s="448"/>
      <c r="G10" s="505"/>
      <c r="H10" s="450"/>
      <c r="I10" s="500"/>
      <c r="J10" s="448"/>
    </row>
    <row r="11" spans="1:10" s="19" customFormat="1">
      <c r="A11" s="500"/>
      <c r="B11" s="448"/>
      <c r="C11" s="505"/>
      <c r="D11" s="450"/>
      <c r="E11" s="500"/>
      <c r="F11" s="448"/>
      <c r="G11" s="505"/>
      <c r="H11" s="450"/>
      <c r="I11" s="500"/>
      <c r="J11" s="448"/>
    </row>
    <row r="12" spans="1:10" s="19" customFormat="1">
      <c r="A12" s="500"/>
      <c r="B12" s="448"/>
      <c r="C12" s="505"/>
      <c r="D12" s="450"/>
      <c r="E12" s="500"/>
      <c r="F12" s="448"/>
      <c r="G12" s="505"/>
      <c r="H12" s="450"/>
      <c r="I12" s="500"/>
      <c r="J12" s="448"/>
    </row>
    <row r="13" spans="1:10" s="19" customFormat="1">
      <c r="A13" s="500"/>
      <c r="B13" s="448"/>
      <c r="C13" s="505"/>
      <c r="D13" s="450"/>
      <c r="E13" s="500"/>
      <c r="F13" s="448"/>
      <c r="G13" s="505"/>
      <c r="H13" s="450"/>
      <c r="I13" s="500"/>
      <c r="J13" s="448"/>
    </row>
    <row r="14" spans="1:10" s="19" customFormat="1">
      <c r="A14" s="500"/>
      <c r="B14" s="448"/>
      <c r="C14" s="507"/>
      <c r="D14" s="451"/>
      <c r="E14" s="513"/>
      <c r="F14" s="455"/>
      <c r="G14" s="507"/>
      <c r="H14" s="451"/>
      <c r="I14" s="513"/>
      <c r="J14" s="455"/>
    </row>
    <row r="15" spans="1:10" s="19" customFormat="1">
      <c r="A15" s="500"/>
      <c r="B15" s="448"/>
      <c r="C15" s="507"/>
      <c r="D15" s="451"/>
      <c r="E15" s="513"/>
      <c r="F15" s="455"/>
      <c r="G15" s="507"/>
      <c r="H15" s="451"/>
      <c r="I15" s="513"/>
      <c r="J15" s="455"/>
    </row>
    <row r="16" spans="1:10" s="19" customFormat="1">
      <c r="A16" s="500"/>
      <c r="B16" s="448"/>
      <c r="C16" s="507"/>
      <c r="D16" s="451"/>
      <c r="E16" s="513"/>
      <c r="F16" s="455"/>
      <c r="G16" s="507"/>
      <c r="H16" s="451"/>
      <c r="I16" s="513"/>
      <c r="J16" s="455"/>
    </row>
    <row r="17" spans="1:10" s="19" customFormat="1">
      <c r="A17" s="500"/>
      <c r="B17" s="448"/>
      <c r="C17" s="507"/>
      <c r="D17" s="451"/>
      <c r="E17" s="513"/>
      <c r="F17" s="455"/>
      <c r="G17" s="507"/>
      <c r="H17" s="451"/>
      <c r="I17" s="513"/>
      <c r="J17" s="455"/>
    </row>
    <row r="18" spans="1:10" s="19" customFormat="1">
      <c r="A18" s="500"/>
      <c r="B18" s="448"/>
      <c r="C18" s="507"/>
      <c r="D18" s="451"/>
      <c r="E18" s="513"/>
      <c r="F18" s="455"/>
      <c r="G18" s="507"/>
      <c r="H18" s="451"/>
      <c r="I18" s="513"/>
      <c r="J18" s="455"/>
    </row>
    <row r="19" spans="1:10" s="19" customFormat="1">
      <c r="A19" s="500"/>
      <c r="B19" s="448"/>
      <c r="C19" s="507"/>
      <c r="D19" s="451"/>
      <c r="E19" s="513"/>
      <c r="F19" s="455"/>
      <c r="G19" s="507"/>
      <c r="H19" s="451"/>
      <c r="I19" s="513"/>
      <c r="J19" s="455"/>
    </row>
    <row r="20" spans="1:10" s="19" customFormat="1">
      <c r="A20" s="500"/>
      <c r="B20" s="448"/>
      <c r="C20" s="507"/>
      <c r="D20" s="451"/>
      <c r="E20" s="513"/>
      <c r="F20" s="455"/>
      <c r="G20" s="507"/>
      <c r="H20" s="451"/>
      <c r="I20" s="513"/>
      <c r="J20" s="455"/>
    </row>
    <row r="21" spans="1:10" s="19" customFormat="1">
      <c r="A21" s="500"/>
      <c r="B21" s="448"/>
      <c r="C21" s="507"/>
      <c r="D21" s="451"/>
      <c r="E21" s="513"/>
      <c r="F21" s="455"/>
      <c r="G21" s="507"/>
      <c r="H21" s="451"/>
      <c r="I21" s="513"/>
      <c r="J21" s="455"/>
    </row>
    <row r="22" spans="1:10" s="19" customFormat="1">
      <c r="A22" s="500"/>
      <c r="B22" s="448"/>
      <c r="C22" s="507"/>
      <c r="D22" s="451"/>
      <c r="E22" s="513"/>
      <c r="F22" s="455"/>
      <c r="G22" s="507"/>
      <c r="H22" s="451"/>
      <c r="I22" s="513"/>
      <c r="J22" s="455"/>
    </row>
    <row r="23" spans="1:10" s="19" customFormat="1">
      <c r="A23" s="500"/>
      <c r="B23" s="448"/>
      <c r="C23" s="507"/>
      <c r="D23" s="451"/>
      <c r="E23" s="513"/>
      <c r="F23" s="455"/>
      <c r="G23" s="507"/>
      <c r="H23" s="451"/>
      <c r="I23" s="513"/>
      <c r="J23" s="455"/>
    </row>
    <row r="24" spans="1:10" s="19" customFormat="1">
      <c r="A24" s="500"/>
      <c r="B24" s="448"/>
      <c r="C24" s="507"/>
      <c r="D24" s="451"/>
      <c r="E24" s="513"/>
      <c r="F24" s="455"/>
      <c r="G24" s="507"/>
      <c r="H24" s="451"/>
      <c r="I24" s="513"/>
      <c r="J24" s="455"/>
    </row>
    <row r="25" spans="1:10" s="19" customFormat="1">
      <c r="A25" s="500"/>
      <c r="B25" s="448"/>
      <c r="C25" s="507"/>
      <c r="D25" s="451"/>
      <c r="E25" s="513"/>
      <c r="F25" s="455"/>
      <c r="G25" s="507"/>
      <c r="H25" s="451"/>
      <c r="I25" s="513"/>
      <c r="J25" s="455"/>
    </row>
    <row r="26" spans="1:10" s="19" customFormat="1">
      <c r="A26" s="500"/>
      <c r="B26" s="448"/>
      <c r="C26" s="507"/>
      <c r="D26" s="451"/>
      <c r="E26" s="513"/>
      <c r="F26" s="455"/>
      <c r="G26" s="507"/>
      <c r="H26" s="451"/>
      <c r="I26" s="513"/>
      <c r="J26" s="455"/>
    </row>
    <row r="27" spans="1:10" s="19" customFormat="1">
      <c r="A27" s="500"/>
      <c r="B27" s="448"/>
      <c r="C27" s="507"/>
      <c r="D27" s="451"/>
      <c r="E27" s="513"/>
      <c r="F27" s="455"/>
      <c r="G27" s="507"/>
      <c r="H27" s="451"/>
      <c r="I27" s="513"/>
      <c r="J27" s="455"/>
    </row>
    <row r="28" spans="1:10" s="19" customFormat="1">
      <c r="A28" s="500"/>
      <c r="B28" s="448"/>
      <c r="C28" s="507"/>
      <c r="D28" s="451"/>
      <c r="E28" s="513"/>
      <c r="F28" s="455"/>
      <c r="G28" s="507"/>
      <c r="H28" s="451"/>
      <c r="I28" s="513"/>
      <c r="J28" s="455"/>
    </row>
    <row r="29" spans="1:10" s="19" customFormat="1">
      <c r="A29" s="500"/>
      <c r="B29" s="448"/>
      <c r="C29" s="507"/>
      <c r="D29" s="451"/>
      <c r="E29" s="513"/>
      <c r="F29" s="455"/>
      <c r="G29" s="507"/>
      <c r="H29" s="451"/>
      <c r="I29" s="513"/>
      <c r="J29" s="455"/>
    </row>
    <row r="30" spans="1:10" s="19" customFormat="1">
      <c r="A30" s="500"/>
      <c r="B30" s="448"/>
      <c r="C30" s="507"/>
      <c r="D30" s="451"/>
      <c r="E30" s="513"/>
      <c r="F30" s="455"/>
      <c r="G30" s="507"/>
      <c r="H30" s="451"/>
      <c r="I30" s="513"/>
      <c r="J30" s="455"/>
    </row>
    <row r="31" spans="1:10" s="19" customFormat="1">
      <c r="A31" s="500"/>
      <c r="B31" s="448"/>
      <c r="C31" s="507"/>
      <c r="D31" s="451"/>
      <c r="E31" s="513"/>
      <c r="F31" s="455"/>
      <c r="G31" s="507"/>
      <c r="H31" s="451"/>
      <c r="I31" s="513"/>
      <c r="J31" s="455"/>
    </row>
    <row r="32" spans="1:10" s="19" customFormat="1">
      <c r="A32" s="500"/>
      <c r="B32" s="448"/>
      <c r="C32" s="507"/>
      <c r="D32" s="451"/>
      <c r="E32" s="513"/>
      <c r="F32" s="455"/>
      <c r="G32" s="507"/>
      <c r="H32" s="451"/>
      <c r="I32" s="513"/>
      <c r="J32" s="455"/>
    </row>
    <row r="33" spans="1:10" s="19" customFormat="1">
      <c r="A33" s="500"/>
      <c r="B33" s="448"/>
      <c r="C33" s="507"/>
      <c r="D33" s="451"/>
      <c r="E33" s="513"/>
      <c r="F33" s="455"/>
      <c r="G33" s="507"/>
      <c r="H33" s="451"/>
      <c r="I33" s="513"/>
      <c r="J33" s="455"/>
    </row>
    <row r="34" spans="1:10" s="19" customFormat="1">
      <c r="A34" s="500"/>
      <c r="B34" s="448"/>
      <c r="C34" s="507"/>
      <c r="D34" s="451"/>
      <c r="E34" s="513"/>
      <c r="F34" s="455"/>
      <c r="G34" s="507"/>
      <c r="H34" s="451"/>
      <c r="I34" s="513"/>
      <c r="J34" s="455"/>
    </row>
    <row r="35" spans="1:10" s="19" customFormat="1">
      <c r="A35" s="502"/>
      <c r="B35" s="22"/>
      <c r="C35" s="508"/>
      <c r="D35" s="458"/>
      <c r="E35" s="509"/>
      <c r="F35" s="24"/>
      <c r="G35" s="508"/>
      <c r="H35" s="458"/>
      <c r="I35" s="509"/>
      <c r="J35" s="24"/>
    </row>
    <row r="36" spans="1:10" s="19" customFormat="1">
      <c r="A36" s="502"/>
      <c r="B36" s="22"/>
      <c r="C36" s="509"/>
      <c r="D36" s="24"/>
      <c r="E36" s="509"/>
      <c r="F36" s="24"/>
      <c r="G36" s="514"/>
      <c r="H36" s="23"/>
      <c r="I36" s="509"/>
      <c r="J36" s="24"/>
    </row>
    <row r="37" spans="1:10" s="19" customFormat="1">
      <c r="A37" s="502"/>
      <c r="B37" s="22"/>
      <c r="C37" s="509"/>
      <c r="D37" s="24"/>
      <c r="E37" s="509"/>
      <c r="F37" s="24"/>
      <c r="G37" s="509"/>
      <c r="H37" s="24"/>
      <c r="I37" s="509"/>
      <c r="J37" s="24"/>
    </row>
    <row r="38" spans="1:10" s="19" customFormat="1">
      <c r="A38" s="502"/>
      <c r="B38" s="22"/>
      <c r="C38" s="509"/>
      <c r="D38" s="24"/>
      <c r="E38" s="509"/>
      <c r="F38" s="24"/>
      <c r="G38" s="509"/>
      <c r="H38" s="24"/>
      <c r="I38" s="509"/>
      <c r="J38" s="24"/>
    </row>
    <row r="39" spans="1:10" s="19" customFormat="1">
      <c r="A39" s="502"/>
      <c r="B39" s="22"/>
      <c r="C39" s="509"/>
      <c r="D39" s="24"/>
      <c r="E39" s="509"/>
      <c r="F39" s="24"/>
      <c r="G39" s="509"/>
      <c r="H39" s="24"/>
      <c r="I39" s="509"/>
      <c r="J39" s="24"/>
    </row>
    <row r="40" spans="1:10" s="19" customFormat="1">
      <c r="A40" s="502"/>
      <c r="B40" s="22"/>
      <c r="C40" s="509"/>
      <c r="D40" s="24"/>
      <c r="E40" s="509"/>
      <c r="F40" s="24"/>
      <c r="G40" s="509"/>
      <c r="H40" s="24"/>
      <c r="I40" s="509"/>
      <c r="J40" s="24"/>
    </row>
    <row r="41" spans="1:10" s="19" customFormat="1">
      <c r="A41" s="502"/>
      <c r="B41" s="22"/>
      <c r="C41" s="509"/>
      <c r="D41" s="24"/>
      <c r="E41" s="509"/>
      <c r="F41" s="24"/>
      <c r="G41" s="509"/>
      <c r="H41" s="24"/>
      <c r="I41" s="509"/>
      <c r="J41" s="24"/>
    </row>
    <row r="42" spans="1:10" s="19" customFormat="1">
      <c r="A42" s="502"/>
      <c r="B42" s="22"/>
      <c r="C42" s="509"/>
      <c r="D42" s="24"/>
      <c r="E42" s="509"/>
      <c r="F42" s="24"/>
      <c r="G42" s="509"/>
      <c r="H42" s="24"/>
      <c r="I42" s="509"/>
      <c r="J42" s="24"/>
    </row>
    <row r="43" spans="1:10" s="19" customFormat="1">
      <c r="A43" s="502"/>
      <c r="B43" s="22"/>
      <c r="C43" s="509"/>
      <c r="D43" s="24"/>
      <c r="E43" s="509"/>
      <c r="F43" s="24"/>
      <c r="G43" s="509"/>
      <c r="H43" s="24"/>
      <c r="I43" s="509"/>
      <c r="J43" s="24"/>
    </row>
    <row r="44" spans="1:10" s="19" customFormat="1">
      <c r="A44" s="502"/>
      <c r="B44" s="22"/>
      <c r="C44" s="509"/>
      <c r="D44" s="24"/>
      <c r="E44" s="509"/>
      <c r="F44" s="24"/>
      <c r="G44" s="509"/>
      <c r="H44" s="24"/>
      <c r="I44" s="509"/>
      <c r="J44" s="24"/>
    </row>
    <row r="45" spans="1:10" s="19" customFormat="1">
      <c r="A45" s="502"/>
      <c r="B45" s="22"/>
      <c r="C45" s="509"/>
      <c r="D45" s="24"/>
      <c r="E45" s="509"/>
      <c r="F45" s="24"/>
      <c r="G45" s="509"/>
      <c r="H45" s="24"/>
      <c r="I45" s="509"/>
      <c r="J45" s="24"/>
    </row>
    <row r="46" spans="1:10" s="19" customFormat="1">
      <c r="A46" s="502"/>
      <c r="B46" s="22"/>
      <c r="C46" s="509"/>
      <c r="D46" s="24"/>
      <c r="E46" s="509"/>
      <c r="F46" s="24"/>
      <c r="G46" s="509"/>
      <c r="H46" s="24"/>
      <c r="I46" s="509"/>
      <c r="J46" s="24"/>
    </row>
    <row r="47" spans="1:10" s="19" customFormat="1">
      <c r="A47" s="502"/>
      <c r="B47" s="22"/>
      <c r="C47" s="509"/>
      <c r="D47" s="24"/>
      <c r="E47" s="509"/>
      <c r="F47" s="24"/>
      <c r="G47" s="509"/>
      <c r="H47" s="24"/>
      <c r="I47" s="509"/>
      <c r="J47" s="24"/>
    </row>
    <row r="48" spans="1:10" s="19" customFormat="1">
      <c r="A48" s="502"/>
      <c r="B48" s="22"/>
      <c r="C48" s="509"/>
      <c r="D48" s="24"/>
      <c r="E48" s="509"/>
      <c r="F48" s="24"/>
      <c r="G48" s="509"/>
      <c r="H48" s="24"/>
      <c r="I48" s="509"/>
      <c r="J48" s="24"/>
    </row>
    <row r="49" spans="1:10" s="19" customFormat="1">
      <c r="A49" s="502"/>
      <c r="B49" s="22"/>
      <c r="C49" s="509"/>
      <c r="D49" s="24"/>
      <c r="E49" s="509"/>
      <c r="F49" s="24"/>
      <c r="G49" s="509"/>
      <c r="H49" s="24"/>
      <c r="I49" s="509"/>
      <c r="J49" s="24"/>
    </row>
    <row r="50" spans="1:10" s="19" customFormat="1">
      <c r="A50" s="502"/>
      <c r="B50" s="22"/>
      <c r="C50" s="509"/>
      <c r="D50" s="24"/>
      <c r="E50" s="509"/>
      <c r="F50" s="24"/>
      <c r="G50" s="509"/>
      <c r="H50" s="24"/>
      <c r="I50" s="509"/>
      <c r="J50" s="24"/>
    </row>
    <row r="51" spans="1:10" s="19" customFormat="1">
      <c r="A51" s="502"/>
      <c r="B51" s="22"/>
      <c r="C51" s="509"/>
      <c r="D51" s="24"/>
      <c r="E51" s="509"/>
      <c r="F51" s="24"/>
      <c r="G51" s="509"/>
      <c r="H51" s="24"/>
      <c r="I51" s="509"/>
      <c r="J51" s="24"/>
    </row>
    <row r="52" spans="1:10" s="19" customFormat="1">
      <c r="A52" s="502"/>
      <c r="B52" s="22"/>
      <c r="C52" s="509"/>
      <c r="D52" s="24"/>
      <c r="E52" s="509"/>
      <c r="F52" s="24"/>
      <c r="G52" s="509"/>
      <c r="H52" s="24"/>
      <c r="I52" s="509"/>
      <c r="J52" s="24"/>
    </row>
    <row r="53" spans="1:10" s="19" customFormat="1">
      <c r="A53" s="502"/>
      <c r="B53" s="22"/>
      <c r="C53" s="509"/>
      <c r="D53" s="24"/>
      <c r="E53" s="509"/>
      <c r="F53" s="24"/>
      <c r="G53" s="509"/>
      <c r="H53" s="24"/>
      <c r="I53" s="509"/>
      <c r="J53" s="24"/>
    </row>
    <row r="54" spans="1:10" s="19" customFormat="1">
      <c r="A54" s="502"/>
      <c r="B54" s="22"/>
      <c r="C54" s="509"/>
      <c r="D54" s="24"/>
      <c r="E54" s="509"/>
      <c r="F54" s="24"/>
      <c r="G54" s="509"/>
      <c r="H54" s="24"/>
      <c r="I54" s="509"/>
      <c r="J54" s="24"/>
    </row>
    <row r="55" spans="1:10" s="19" customFormat="1">
      <c r="A55" s="502"/>
      <c r="B55" s="22"/>
      <c r="C55" s="509"/>
      <c r="D55" s="24"/>
      <c r="E55" s="509"/>
      <c r="F55" s="24"/>
      <c r="G55" s="509"/>
      <c r="H55" s="24"/>
      <c r="I55" s="509"/>
      <c r="J55" s="24"/>
    </row>
    <row r="56" spans="1:10" s="19" customFormat="1">
      <c r="A56" s="502"/>
      <c r="B56" s="22"/>
      <c r="C56" s="509"/>
      <c r="D56" s="24"/>
      <c r="E56" s="509"/>
      <c r="F56" s="24"/>
      <c r="G56" s="509"/>
      <c r="H56" s="24"/>
      <c r="I56" s="509"/>
      <c r="J56" s="24"/>
    </row>
    <row r="57" spans="1:10" s="19" customFormat="1">
      <c r="A57" s="502"/>
      <c r="B57" s="22"/>
      <c r="C57" s="509"/>
      <c r="D57" s="24"/>
      <c r="E57" s="509"/>
      <c r="F57" s="24"/>
      <c r="G57" s="509"/>
      <c r="H57" s="24"/>
      <c r="I57" s="509"/>
      <c r="J57" s="24"/>
    </row>
    <row r="58" spans="1:10" s="19" customFormat="1">
      <c r="A58" s="502"/>
      <c r="B58" s="22"/>
      <c r="C58" s="509"/>
      <c r="D58" s="24"/>
      <c r="E58" s="509"/>
      <c r="F58" s="24"/>
      <c r="G58" s="509"/>
      <c r="H58" s="24"/>
      <c r="I58" s="509"/>
      <c r="J58" s="24"/>
    </row>
    <row r="59" spans="1:10" s="19" customFormat="1">
      <c r="A59" s="502"/>
      <c r="B59" s="22"/>
      <c r="C59" s="509"/>
      <c r="D59" s="24"/>
      <c r="E59" s="509"/>
      <c r="F59" s="24"/>
      <c r="G59" s="509"/>
      <c r="H59" s="24"/>
      <c r="I59" s="509"/>
      <c r="J59" s="24"/>
    </row>
    <row r="60" spans="1:10" s="19" customFormat="1">
      <c r="A60" s="502"/>
      <c r="B60" s="22"/>
      <c r="C60" s="510"/>
      <c r="D60" s="24"/>
      <c r="E60" s="510"/>
      <c r="F60" s="24"/>
      <c r="G60" s="510"/>
      <c r="H60" s="24"/>
      <c r="I60" s="510"/>
      <c r="J60" s="24"/>
    </row>
    <row r="61" spans="1:10" s="19" customFormat="1">
      <c r="A61" s="502"/>
      <c r="B61" s="22"/>
      <c r="C61" s="510"/>
      <c r="D61" s="24"/>
      <c r="E61" s="510"/>
      <c r="F61" s="24"/>
      <c r="G61" s="510"/>
      <c r="H61" s="24"/>
      <c r="I61" s="510"/>
      <c r="J61" s="24"/>
    </row>
    <row r="62" spans="1:10" s="19" customFormat="1">
      <c r="A62" s="502"/>
      <c r="B62" s="22"/>
      <c r="C62" s="510"/>
      <c r="D62" s="24"/>
      <c r="E62" s="510"/>
      <c r="F62" s="24"/>
      <c r="G62" s="510"/>
      <c r="H62" s="24"/>
      <c r="I62" s="510"/>
      <c r="J62" s="24"/>
    </row>
    <row r="63" spans="1:10" s="19" customFormat="1">
      <c r="A63" s="502"/>
      <c r="B63" s="22"/>
      <c r="C63" s="510"/>
      <c r="D63" s="24"/>
      <c r="E63" s="510"/>
      <c r="F63" s="24"/>
      <c r="G63" s="510"/>
      <c r="H63" s="24"/>
      <c r="I63" s="510"/>
      <c r="J63" s="24"/>
    </row>
    <row r="64" spans="1:10" s="19" customFormat="1">
      <c r="A64" s="502"/>
      <c r="B64" s="22"/>
      <c r="C64" s="510"/>
      <c r="D64" s="24"/>
      <c r="E64" s="510"/>
      <c r="F64" s="24"/>
      <c r="G64" s="510"/>
      <c r="H64" s="24"/>
      <c r="I64" s="510"/>
      <c r="J64" s="24"/>
    </row>
    <row r="65" spans="1:10" s="19" customFormat="1">
      <c r="A65" s="502"/>
      <c r="B65" s="22"/>
      <c r="C65" s="510"/>
      <c r="D65" s="24"/>
      <c r="E65" s="510"/>
      <c r="F65" s="24"/>
      <c r="G65" s="510"/>
      <c r="H65" s="24"/>
      <c r="I65" s="510"/>
      <c r="J65" s="24"/>
    </row>
    <row r="66" spans="1:10" s="19" customFormat="1">
      <c r="A66" s="502"/>
      <c r="B66" s="22"/>
      <c r="C66" s="510"/>
      <c r="D66" s="24"/>
      <c r="E66" s="510"/>
      <c r="F66" s="24"/>
      <c r="G66" s="510"/>
      <c r="H66" s="24"/>
      <c r="I66" s="510"/>
      <c r="J66" s="24"/>
    </row>
    <row r="67" spans="1:10" s="19" customFormat="1">
      <c r="A67" s="502"/>
      <c r="B67" s="22"/>
      <c r="C67" s="510"/>
      <c r="D67" s="24"/>
      <c r="E67" s="510"/>
      <c r="F67" s="24"/>
      <c r="G67" s="510"/>
      <c r="H67" s="24"/>
      <c r="I67" s="510"/>
      <c r="J67" s="24"/>
    </row>
    <row r="68" spans="1:10" s="19" customFormat="1">
      <c r="A68" s="502"/>
      <c r="B68" s="22"/>
      <c r="C68" s="510"/>
      <c r="D68" s="24"/>
      <c r="E68" s="510"/>
      <c r="F68" s="24"/>
      <c r="G68" s="510"/>
      <c r="H68" s="24"/>
      <c r="I68" s="510"/>
      <c r="J68" s="24"/>
    </row>
    <row r="69" spans="1:10" s="19" customFormat="1">
      <c r="A69" s="502"/>
      <c r="B69" s="22"/>
      <c r="C69" s="510"/>
      <c r="D69" s="24"/>
      <c r="E69" s="510"/>
      <c r="F69" s="24"/>
      <c r="G69" s="510"/>
      <c r="H69" s="24"/>
      <c r="I69" s="510"/>
      <c r="J69" s="24"/>
    </row>
    <row r="70" spans="1:10" s="19" customFormat="1">
      <c r="A70" s="502"/>
      <c r="B70" s="22"/>
      <c r="C70" s="510"/>
      <c r="D70" s="24"/>
      <c r="E70" s="510"/>
      <c r="F70" s="24"/>
      <c r="G70" s="510"/>
      <c r="H70" s="24"/>
      <c r="I70" s="510"/>
      <c r="J70" s="24"/>
    </row>
    <row r="71" spans="1:10" s="19" customFormat="1">
      <c r="A71" s="502"/>
      <c r="B71" s="22"/>
      <c r="C71" s="510"/>
      <c r="D71" s="24"/>
      <c r="E71" s="510"/>
      <c r="F71" s="24"/>
      <c r="G71" s="510"/>
      <c r="H71" s="24"/>
      <c r="I71" s="510"/>
      <c r="J71" s="24"/>
    </row>
    <row r="72" spans="1:10" s="19" customFormat="1">
      <c r="A72" s="502"/>
      <c r="B72" s="22"/>
      <c r="C72" s="510"/>
      <c r="D72" s="24"/>
      <c r="E72" s="510"/>
      <c r="F72" s="24"/>
      <c r="G72" s="510"/>
      <c r="H72" s="24"/>
      <c r="I72" s="510"/>
      <c r="J72" s="24"/>
    </row>
    <row r="73" spans="1:10" s="19" customFormat="1">
      <c r="A73" s="502"/>
      <c r="B73" s="22"/>
      <c r="C73" s="510"/>
      <c r="D73" s="24"/>
      <c r="E73" s="510"/>
      <c r="F73" s="24"/>
      <c r="G73" s="510"/>
      <c r="H73" s="24"/>
      <c r="I73" s="510"/>
      <c r="J73" s="24"/>
    </row>
    <row r="74" spans="1:10" s="19" customFormat="1">
      <c r="A74" s="502"/>
      <c r="B74" s="22"/>
      <c r="C74" s="510"/>
      <c r="D74" s="24"/>
      <c r="E74" s="510"/>
      <c r="F74" s="24"/>
      <c r="G74" s="510"/>
      <c r="H74" s="24"/>
      <c r="I74" s="510"/>
      <c r="J74" s="24"/>
    </row>
    <row r="75" spans="1:10" s="19" customFormat="1">
      <c r="A75" s="502"/>
      <c r="B75" s="22"/>
      <c r="C75" s="510"/>
      <c r="D75" s="24"/>
      <c r="E75" s="510"/>
      <c r="F75" s="24"/>
      <c r="G75" s="510"/>
      <c r="H75" s="24"/>
      <c r="I75" s="510"/>
      <c r="J75" s="24"/>
    </row>
    <row r="76" spans="1:10" s="19" customFormat="1">
      <c r="A76" s="502"/>
      <c r="B76" s="22"/>
      <c r="C76" s="510"/>
      <c r="D76" s="24"/>
      <c r="E76" s="510"/>
      <c r="F76" s="24"/>
      <c r="G76" s="510"/>
      <c r="H76" s="24"/>
      <c r="I76" s="510"/>
      <c r="J76" s="24"/>
    </row>
    <row r="77" spans="1:10" s="19" customFormat="1">
      <c r="A77" s="502"/>
      <c r="B77" s="22"/>
      <c r="C77" s="510"/>
      <c r="D77" s="24"/>
      <c r="E77" s="510"/>
      <c r="F77" s="24"/>
      <c r="G77" s="510"/>
      <c r="H77" s="24"/>
      <c r="I77" s="510"/>
      <c r="J77" s="24"/>
    </row>
    <row r="78" spans="1:10" s="19" customFormat="1">
      <c r="A78" s="502"/>
      <c r="B78" s="22"/>
      <c r="C78" s="510"/>
      <c r="D78" s="24"/>
      <c r="E78" s="510"/>
      <c r="F78" s="24"/>
      <c r="G78" s="510"/>
      <c r="H78" s="24"/>
      <c r="I78" s="510"/>
      <c r="J78" s="24"/>
    </row>
    <row r="79" spans="1:10" s="19" customFormat="1">
      <c r="A79" s="502"/>
      <c r="B79" s="22"/>
      <c r="C79" s="510"/>
      <c r="D79" s="24"/>
      <c r="E79" s="510"/>
      <c r="F79" s="24"/>
      <c r="G79" s="510"/>
      <c r="H79" s="24"/>
      <c r="I79" s="510"/>
      <c r="J79" s="24"/>
    </row>
    <row r="80" spans="1:10" s="19" customFormat="1">
      <c r="A80" s="502"/>
      <c r="B80" s="22"/>
      <c r="C80" s="510"/>
      <c r="D80" s="24"/>
      <c r="E80" s="510"/>
      <c r="F80" s="24"/>
      <c r="G80" s="510"/>
      <c r="H80" s="24"/>
      <c r="I80" s="510"/>
      <c r="J80" s="24"/>
    </row>
    <row r="81" spans="1:10" s="19" customFormat="1">
      <c r="A81" s="502"/>
      <c r="B81" s="22"/>
      <c r="C81" s="510"/>
      <c r="D81" s="24"/>
      <c r="E81" s="510"/>
      <c r="F81" s="24"/>
      <c r="G81" s="510"/>
      <c r="H81" s="24"/>
      <c r="I81" s="510"/>
      <c r="J81" s="24"/>
    </row>
    <row r="82" spans="1:10" s="19" customFormat="1">
      <c r="A82" s="502"/>
      <c r="B82" s="22"/>
      <c r="C82" s="510"/>
      <c r="D82" s="24"/>
      <c r="E82" s="510"/>
      <c r="F82" s="24"/>
      <c r="G82" s="510"/>
      <c r="H82" s="24"/>
      <c r="I82" s="510"/>
      <c r="J82" s="24"/>
    </row>
    <row r="83" spans="1:10" s="19" customFormat="1">
      <c r="A83" s="502"/>
      <c r="B83" s="22"/>
      <c r="C83" s="510"/>
      <c r="D83" s="24"/>
      <c r="E83" s="510"/>
      <c r="F83" s="24"/>
      <c r="G83" s="510"/>
      <c r="H83" s="24"/>
      <c r="I83" s="510"/>
      <c r="J83" s="24"/>
    </row>
    <row r="84" spans="1:10" s="19" customFormat="1">
      <c r="A84" s="502"/>
      <c r="B84" s="22"/>
      <c r="C84" s="510"/>
      <c r="D84" s="24"/>
      <c r="E84" s="510"/>
      <c r="F84" s="24"/>
      <c r="G84" s="510"/>
      <c r="H84" s="24"/>
      <c r="I84" s="510"/>
      <c r="J84" s="24"/>
    </row>
    <row r="85" spans="1:10" s="19" customFormat="1">
      <c r="A85" s="502"/>
      <c r="B85" s="22"/>
      <c r="C85" s="510"/>
      <c r="D85" s="24"/>
      <c r="E85" s="510"/>
      <c r="F85" s="24"/>
      <c r="G85" s="510"/>
      <c r="H85" s="24"/>
      <c r="I85" s="510"/>
      <c r="J85" s="24"/>
    </row>
    <row r="86" spans="1:10" s="19" customFormat="1">
      <c r="A86" s="502"/>
      <c r="B86" s="22"/>
      <c r="C86" s="510"/>
      <c r="D86" s="24"/>
      <c r="E86" s="510"/>
      <c r="F86" s="24"/>
      <c r="G86" s="510"/>
      <c r="H86" s="24"/>
      <c r="I86" s="510"/>
      <c r="J86" s="24"/>
    </row>
    <row r="87" spans="1:10" s="19" customFormat="1">
      <c r="A87" s="502"/>
      <c r="B87" s="22"/>
      <c r="C87" s="510"/>
      <c r="D87" s="24"/>
      <c r="E87" s="510"/>
      <c r="F87" s="24"/>
      <c r="G87" s="510"/>
      <c r="H87" s="24"/>
      <c r="I87" s="510"/>
      <c r="J87" s="24"/>
    </row>
    <row r="88" spans="1:10" s="19" customFormat="1">
      <c r="A88" s="502"/>
      <c r="B88" s="22"/>
      <c r="C88" s="510"/>
      <c r="D88" s="24"/>
      <c r="E88" s="510"/>
      <c r="F88" s="24"/>
      <c r="G88" s="510"/>
      <c r="H88" s="24"/>
      <c r="I88" s="510"/>
      <c r="J88" s="24"/>
    </row>
    <row r="89" spans="1:10" s="19" customFormat="1">
      <c r="A89" s="502"/>
      <c r="B89" s="22"/>
      <c r="C89" s="510"/>
      <c r="D89" s="24"/>
      <c r="E89" s="510"/>
      <c r="F89" s="24"/>
      <c r="G89" s="510"/>
      <c r="H89" s="24"/>
      <c r="I89" s="510"/>
      <c r="J89" s="24"/>
    </row>
    <row r="90" spans="1:10" s="19" customFormat="1">
      <c r="A90" s="502"/>
      <c r="B90" s="22"/>
      <c r="C90" s="510"/>
      <c r="D90" s="24"/>
      <c r="E90" s="510"/>
      <c r="F90" s="24"/>
      <c r="G90" s="510"/>
      <c r="H90" s="24"/>
      <c r="I90" s="510"/>
      <c r="J90" s="24"/>
    </row>
    <row r="91" spans="1:10" s="19" customFormat="1">
      <c r="A91" s="502"/>
      <c r="B91" s="22"/>
      <c r="C91" s="510"/>
      <c r="D91" s="24"/>
      <c r="E91" s="510"/>
      <c r="F91" s="24"/>
      <c r="G91" s="510"/>
      <c r="H91" s="24"/>
      <c r="I91" s="510"/>
      <c r="J91" s="24"/>
    </row>
    <row r="92" spans="1:10" s="19" customFormat="1">
      <c r="A92" s="502"/>
      <c r="B92" s="22"/>
      <c r="C92" s="510"/>
      <c r="D92" s="24"/>
      <c r="E92" s="510"/>
      <c r="F92" s="24"/>
      <c r="G92" s="510"/>
      <c r="H92" s="24"/>
      <c r="I92" s="510"/>
      <c r="J92" s="24"/>
    </row>
    <row r="93" spans="1:10" s="19" customFormat="1">
      <c r="A93" s="502"/>
      <c r="B93" s="22"/>
      <c r="C93" s="510"/>
      <c r="D93" s="24"/>
      <c r="E93" s="510"/>
      <c r="F93" s="24"/>
      <c r="G93" s="510"/>
      <c r="H93" s="24"/>
      <c r="I93" s="510"/>
      <c r="J93" s="24"/>
    </row>
    <row r="94" spans="1:10" s="19" customFormat="1">
      <c r="A94" s="502"/>
      <c r="B94" s="22"/>
      <c r="C94" s="510"/>
      <c r="D94" s="24"/>
      <c r="E94" s="510"/>
      <c r="F94" s="24"/>
      <c r="G94" s="510"/>
      <c r="H94" s="24"/>
      <c r="I94" s="510"/>
      <c r="J94" s="24"/>
    </row>
    <row r="95" spans="1:10" s="19" customFormat="1">
      <c r="A95" s="502"/>
      <c r="B95" s="22"/>
      <c r="C95" s="510"/>
      <c r="D95" s="24"/>
      <c r="E95" s="510"/>
      <c r="F95" s="24"/>
      <c r="G95" s="510"/>
      <c r="H95" s="24"/>
      <c r="I95" s="510"/>
      <c r="J95" s="24"/>
    </row>
    <row r="96" spans="1:10" s="19" customFormat="1">
      <c r="A96" s="502"/>
      <c r="B96" s="22"/>
      <c r="C96" s="510"/>
      <c r="D96" s="24"/>
      <c r="E96" s="510"/>
      <c r="F96" s="24"/>
      <c r="G96" s="510"/>
      <c r="H96" s="24"/>
      <c r="I96" s="510"/>
      <c r="J96" s="24"/>
    </row>
    <row r="97" spans="1:10" s="19" customFormat="1">
      <c r="A97" s="502"/>
      <c r="B97" s="22"/>
      <c r="C97" s="510"/>
      <c r="D97" s="24"/>
      <c r="E97" s="510"/>
      <c r="F97" s="24"/>
      <c r="G97" s="510"/>
      <c r="H97" s="24"/>
      <c r="I97" s="510"/>
      <c r="J97" s="24"/>
    </row>
    <row r="98" spans="1:10" s="19" customFormat="1">
      <c r="A98" s="502"/>
      <c r="B98" s="22"/>
      <c r="C98" s="510"/>
      <c r="D98" s="24"/>
      <c r="E98" s="510"/>
      <c r="F98" s="24"/>
      <c r="G98" s="510"/>
      <c r="H98" s="24"/>
      <c r="I98" s="510"/>
      <c r="J98" s="24"/>
    </row>
    <row r="99" spans="1:10" s="19" customFormat="1">
      <c r="A99" s="502"/>
      <c r="B99" s="22"/>
      <c r="C99" s="510"/>
      <c r="D99" s="24"/>
      <c r="E99" s="510"/>
      <c r="F99" s="24"/>
      <c r="G99" s="510"/>
      <c r="H99" s="24"/>
      <c r="I99" s="510"/>
      <c r="J99" s="24"/>
    </row>
    <row r="100" spans="1:10" s="19" customFormat="1">
      <c r="A100" s="502"/>
      <c r="B100" s="22"/>
      <c r="C100" s="510"/>
      <c r="D100" s="24"/>
      <c r="E100" s="510"/>
      <c r="F100" s="24"/>
      <c r="G100" s="510"/>
      <c r="H100" s="24"/>
      <c r="I100" s="510"/>
      <c r="J100" s="24"/>
    </row>
    <row r="101" spans="1:10" s="19" customFormat="1">
      <c r="A101" s="502"/>
      <c r="B101" s="22"/>
      <c r="C101" s="510"/>
      <c r="D101" s="24"/>
      <c r="E101" s="510"/>
      <c r="F101" s="24"/>
      <c r="G101" s="510"/>
      <c r="H101" s="24"/>
      <c r="I101" s="510"/>
      <c r="J101" s="24"/>
    </row>
    <row r="102" spans="1:10" s="19" customFormat="1">
      <c r="A102" s="502"/>
      <c r="B102" s="22"/>
      <c r="C102" s="510"/>
      <c r="D102" s="24"/>
      <c r="E102" s="510"/>
      <c r="F102" s="24"/>
      <c r="G102" s="510"/>
      <c r="H102" s="24"/>
      <c r="I102" s="510"/>
      <c r="J102" s="24"/>
    </row>
    <row r="103" spans="1:10" s="19" customFormat="1">
      <c r="A103" s="502"/>
      <c r="B103" s="22"/>
      <c r="C103" s="510"/>
      <c r="D103" s="24"/>
      <c r="E103" s="510"/>
      <c r="F103" s="24"/>
      <c r="G103" s="510"/>
      <c r="H103" s="24"/>
      <c r="I103" s="510"/>
      <c r="J103" s="24"/>
    </row>
    <row r="104" spans="1:10" s="19" customFormat="1">
      <c r="A104" s="502"/>
      <c r="B104" s="22"/>
      <c r="C104" s="510"/>
      <c r="D104" s="24"/>
      <c r="E104" s="510"/>
      <c r="F104" s="24"/>
      <c r="G104" s="510"/>
      <c r="H104" s="24"/>
      <c r="I104" s="510"/>
      <c r="J104" s="24"/>
    </row>
    <row r="105" spans="1:10" s="19" customFormat="1">
      <c r="A105" s="502"/>
      <c r="B105" s="22"/>
      <c r="C105" s="510"/>
      <c r="D105" s="24"/>
      <c r="E105" s="510"/>
      <c r="F105" s="24"/>
      <c r="G105" s="510"/>
      <c r="H105" s="24"/>
      <c r="I105" s="510"/>
      <c r="J105" s="24"/>
    </row>
    <row r="106" spans="1:10" s="19" customFormat="1">
      <c r="A106" s="502"/>
      <c r="B106" s="22"/>
      <c r="C106" s="510"/>
      <c r="D106" s="24"/>
      <c r="E106" s="510"/>
      <c r="F106" s="24"/>
      <c r="G106" s="510"/>
      <c r="H106" s="24"/>
      <c r="I106" s="510"/>
      <c r="J106" s="24"/>
    </row>
    <row r="107" spans="1:10" s="19" customFormat="1">
      <c r="A107" s="502"/>
      <c r="B107" s="22"/>
      <c r="C107" s="510"/>
      <c r="D107" s="24"/>
      <c r="E107" s="510"/>
      <c r="F107" s="24"/>
      <c r="G107" s="510"/>
      <c r="H107" s="24"/>
      <c r="I107" s="510"/>
      <c r="J107" s="24"/>
    </row>
    <row r="108" spans="1:10" s="19" customFormat="1">
      <c r="A108" s="502"/>
      <c r="B108" s="22"/>
      <c r="C108" s="510"/>
      <c r="D108" s="24"/>
      <c r="E108" s="510"/>
      <c r="F108" s="24"/>
      <c r="G108" s="510"/>
      <c r="H108" s="24"/>
      <c r="I108" s="510"/>
      <c r="J108" s="24"/>
    </row>
    <row r="109" spans="1:10" s="19" customFormat="1">
      <c r="A109" s="502"/>
      <c r="B109" s="22"/>
      <c r="C109" s="510"/>
      <c r="D109" s="24"/>
      <c r="E109" s="510"/>
      <c r="F109" s="24"/>
      <c r="G109" s="510"/>
      <c r="H109" s="24"/>
      <c r="I109" s="510"/>
      <c r="J109" s="24"/>
    </row>
    <row r="110" spans="1:10" s="19" customFormat="1">
      <c r="A110" s="502"/>
      <c r="B110" s="22"/>
      <c r="C110" s="510"/>
      <c r="D110" s="24"/>
      <c r="E110" s="510"/>
      <c r="F110" s="24"/>
      <c r="G110" s="510"/>
      <c r="H110" s="24"/>
      <c r="I110" s="510"/>
      <c r="J110" s="24"/>
    </row>
    <row r="111" spans="1:10" s="19" customFormat="1">
      <c r="A111" s="502"/>
      <c r="B111" s="22"/>
      <c r="C111" s="510"/>
      <c r="D111" s="24"/>
      <c r="E111" s="510"/>
      <c r="F111" s="24"/>
      <c r="G111" s="510"/>
      <c r="H111" s="24"/>
      <c r="I111" s="510"/>
      <c r="J111" s="24"/>
    </row>
    <row r="112" spans="1:10" s="19" customFormat="1">
      <c r="A112" s="502"/>
      <c r="B112" s="22"/>
      <c r="C112" s="510"/>
      <c r="D112" s="24"/>
      <c r="E112" s="510"/>
      <c r="F112" s="24"/>
      <c r="G112" s="510"/>
      <c r="H112" s="24"/>
      <c r="I112" s="510"/>
      <c r="J112" s="24"/>
    </row>
    <row r="113" spans="1:10" s="19" customFormat="1">
      <c r="A113" s="502"/>
      <c r="B113" s="22"/>
      <c r="C113" s="510"/>
      <c r="D113" s="24"/>
      <c r="E113" s="510"/>
      <c r="F113" s="24"/>
      <c r="G113" s="510"/>
      <c r="H113" s="24"/>
      <c r="I113" s="510"/>
      <c r="J113" s="24"/>
    </row>
    <row r="114" spans="1:10" s="19" customFormat="1">
      <c r="A114" s="502"/>
      <c r="B114" s="22"/>
      <c r="C114" s="510"/>
      <c r="D114" s="24"/>
      <c r="E114" s="510"/>
      <c r="F114" s="24"/>
      <c r="G114" s="510"/>
      <c r="H114" s="24"/>
      <c r="I114" s="510"/>
      <c r="J114" s="24"/>
    </row>
    <row r="115" spans="1:10" s="19" customFormat="1">
      <c r="A115" s="502"/>
      <c r="B115" s="22"/>
      <c r="C115" s="510"/>
      <c r="D115" s="24"/>
      <c r="E115" s="510"/>
      <c r="F115" s="24"/>
      <c r="G115" s="510"/>
      <c r="H115" s="24"/>
      <c r="I115" s="510"/>
      <c r="J115" s="24"/>
    </row>
    <row r="116" spans="1:10" s="19" customFormat="1">
      <c r="A116" s="502"/>
      <c r="B116" s="22"/>
      <c r="C116" s="510"/>
      <c r="D116" s="24"/>
      <c r="E116" s="510"/>
      <c r="F116" s="24"/>
      <c r="G116" s="510"/>
      <c r="H116" s="24"/>
      <c r="I116" s="510"/>
      <c r="J116" s="24"/>
    </row>
    <row r="117" spans="1:10" s="19" customFormat="1">
      <c r="A117" s="502"/>
      <c r="B117" s="22"/>
      <c r="C117" s="510"/>
      <c r="D117" s="24"/>
      <c r="E117" s="510"/>
      <c r="F117" s="24"/>
      <c r="G117" s="510"/>
      <c r="H117" s="24"/>
      <c r="I117" s="510"/>
      <c r="J117" s="24"/>
    </row>
    <row r="118" spans="1:10" s="19" customFormat="1">
      <c r="A118" s="502"/>
      <c r="B118" s="22"/>
      <c r="C118" s="510"/>
      <c r="D118" s="24"/>
      <c r="E118" s="510"/>
      <c r="F118" s="24"/>
      <c r="G118" s="510"/>
      <c r="H118" s="24"/>
      <c r="I118" s="510"/>
      <c r="J118" s="24"/>
    </row>
    <row r="119" spans="1:10" s="19" customFormat="1">
      <c r="A119" s="502"/>
      <c r="B119" s="22"/>
      <c r="C119" s="510"/>
      <c r="D119" s="24"/>
      <c r="E119" s="510"/>
      <c r="F119" s="24"/>
      <c r="G119" s="510"/>
      <c r="H119" s="24"/>
      <c r="I119" s="510"/>
      <c r="J119" s="24"/>
    </row>
    <row r="120" spans="1:10" s="19" customFormat="1">
      <c r="A120" s="502"/>
      <c r="B120" s="22"/>
      <c r="C120" s="510"/>
      <c r="D120" s="24"/>
      <c r="E120" s="510"/>
      <c r="F120" s="24"/>
      <c r="G120" s="510"/>
      <c r="H120" s="24"/>
      <c r="I120" s="510"/>
      <c r="J120" s="24"/>
    </row>
    <row r="121" spans="1:10" s="19" customFormat="1">
      <c r="A121" s="502"/>
      <c r="B121" s="22"/>
      <c r="C121" s="510"/>
      <c r="D121" s="24"/>
      <c r="E121" s="510"/>
      <c r="F121" s="24"/>
      <c r="G121" s="510"/>
      <c r="H121" s="24"/>
      <c r="I121" s="510"/>
      <c r="J121" s="24"/>
    </row>
    <row r="122" spans="1:10" s="19" customFormat="1">
      <c r="A122" s="502"/>
      <c r="B122" s="22"/>
      <c r="C122" s="510"/>
      <c r="D122" s="24"/>
      <c r="E122" s="510"/>
      <c r="F122" s="24"/>
      <c r="G122" s="510"/>
      <c r="H122" s="24"/>
      <c r="I122" s="510"/>
      <c r="J122" s="24"/>
    </row>
    <row r="123" spans="1:10" s="19" customFormat="1">
      <c r="A123" s="502"/>
      <c r="B123" s="22"/>
      <c r="C123" s="510"/>
      <c r="D123" s="24"/>
      <c r="E123" s="510"/>
      <c r="F123" s="24"/>
      <c r="G123" s="510"/>
      <c r="H123" s="24"/>
      <c r="I123" s="510"/>
      <c r="J123" s="24"/>
    </row>
    <row r="124" spans="1:10" s="19" customFormat="1">
      <c r="A124" s="502"/>
      <c r="B124" s="22"/>
      <c r="C124" s="510"/>
      <c r="D124" s="24"/>
      <c r="E124" s="510"/>
      <c r="F124" s="24"/>
      <c r="G124" s="510"/>
      <c r="H124" s="24"/>
      <c r="I124" s="510"/>
      <c r="J124" s="24"/>
    </row>
    <row r="125" spans="1:10" s="19" customFormat="1">
      <c r="A125" s="502"/>
      <c r="B125" s="22"/>
      <c r="C125" s="510"/>
      <c r="D125" s="24"/>
      <c r="E125" s="510"/>
      <c r="F125" s="24"/>
      <c r="G125" s="510"/>
      <c r="H125" s="24"/>
      <c r="I125" s="510"/>
      <c r="J125" s="24"/>
    </row>
    <row r="126" spans="1:10" s="19" customFormat="1">
      <c r="A126" s="502"/>
      <c r="B126" s="22"/>
      <c r="C126" s="510"/>
      <c r="D126" s="24"/>
      <c r="E126" s="510"/>
      <c r="F126" s="24"/>
      <c r="G126" s="510"/>
      <c r="H126" s="24"/>
      <c r="I126" s="510"/>
      <c r="J126" s="24"/>
    </row>
    <row r="127" spans="1:10" s="19" customFormat="1">
      <c r="A127" s="502"/>
      <c r="B127" s="22"/>
      <c r="C127" s="510"/>
      <c r="D127" s="24"/>
      <c r="E127" s="510"/>
      <c r="F127" s="24"/>
      <c r="G127" s="510"/>
      <c r="H127" s="24"/>
      <c r="I127" s="510"/>
      <c r="J127" s="24"/>
    </row>
    <row r="128" spans="1:10" s="19" customFormat="1">
      <c r="A128" s="502"/>
      <c r="B128" s="22"/>
      <c r="C128" s="510"/>
      <c r="D128" s="24"/>
      <c r="E128" s="510"/>
      <c r="F128" s="24"/>
      <c r="G128" s="510"/>
      <c r="H128" s="24"/>
      <c r="I128" s="510"/>
      <c r="J128" s="24"/>
    </row>
    <row r="129" spans="1:10" s="19" customFormat="1">
      <c r="A129" s="502"/>
      <c r="B129" s="22"/>
      <c r="C129" s="510"/>
      <c r="D129" s="24"/>
      <c r="E129" s="510"/>
      <c r="F129" s="24"/>
      <c r="G129" s="510"/>
      <c r="H129" s="24"/>
      <c r="I129" s="510"/>
      <c r="J129" s="24"/>
    </row>
    <row r="130" spans="1:10" s="19" customFormat="1">
      <c r="A130" s="502"/>
      <c r="B130" s="22"/>
      <c r="C130" s="510"/>
      <c r="D130" s="24"/>
      <c r="E130" s="510"/>
      <c r="F130" s="24"/>
      <c r="G130" s="510"/>
      <c r="H130" s="24"/>
      <c r="I130" s="510"/>
      <c r="J130" s="24"/>
    </row>
    <row r="131" spans="1:10" s="19" customFormat="1">
      <c r="A131" s="502"/>
      <c r="B131" s="22"/>
      <c r="C131" s="510"/>
      <c r="D131" s="24"/>
      <c r="E131" s="510"/>
      <c r="F131" s="24"/>
      <c r="G131" s="510"/>
      <c r="H131" s="24"/>
      <c r="I131" s="510"/>
      <c r="J131" s="24"/>
    </row>
    <row r="132" spans="1:10" s="19" customFormat="1">
      <c r="A132" s="502"/>
      <c r="B132" s="22"/>
      <c r="C132" s="510"/>
      <c r="D132" s="24"/>
      <c r="E132" s="510"/>
      <c r="F132" s="24"/>
      <c r="G132" s="510"/>
      <c r="H132" s="24"/>
      <c r="I132" s="510"/>
      <c r="J132" s="24"/>
    </row>
    <row r="133" spans="1:10" s="19" customFormat="1">
      <c r="A133" s="502"/>
      <c r="B133" s="22"/>
      <c r="C133" s="510"/>
      <c r="D133" s="24"/>
      <c r="E133" s="510"/>
      <c r="F133" s="24"/>
      <c r="G133" s="510"/>
      <c r="H133" s="24"/>
      <c r="I133" s="510"/>
      <c r="J133" s="24"/>
    </row>
    <row r="134" spans="1:10" s="19" customFormat="1">
      <c r="A134" s="502"/>
      <c r="B134" s="22"/>
      <c r="C134" s="510"/>
      <c r="D134" s="24"/>
      <c r="E134" s="510"/>
      <c r="F134" s="24"/>
      <c r="G134" s="510"/>
      <c r="H134" s="24"/>
      <c r="I134" s="510"/>
      <c r="J134" s="24"/>
    </row>
    <row r="135" spans="1:10" s="19" customFormat="1">
      <c r="A135" s="502"/>
      <c r="B135" s="22"/>
      <c r="C135" s="510"/>
      <c r="D135" s="24"/>
      <c r="E135" s="510"/>
      <c r="F135" s="24"/>
      <c r="G135" s="510"/>
      <c r="H135" s="24"/>
      <c r="I135" s="510"/>
      <c r="J135" s="24"/>
    </row>
    <row r="136" spans="1:10" s="19" customFormat="1">
      <c r="A136" s="502"/>
      <c r="B136" s="22"/>
      <c r="C136" s="510"/>
      <c r="D136" s="24"/>
      <c r="E136" s="510"/>
      <c r="F136" s="24"/>
      <c r="G136" s="510"/>
      <c r="H136" s="24"/>
      <c r="I136" s="510"/>
      <c r="J136" s="24"/>
    </row>
    <row r="137" spans="1:10" s="19" customFormat="1">
      <c r="A137" s="502"/>
      <c r="B137" s="22"/>
      <c r="C137" s="510"/>
      <c r="D137" s="24"/>
      <c r="E137" s="510"/>
      <c r="F137" s="24"/>
      <c r="G137" s="510"/>
      <c r="H137" s="24"/>
      <c r="I137" s="510"/>
      <c r="J137" s="24"/>
    </row>
    <row r="138" spans="1:10" s="19" customFormat="1">
      <c r="A138" s="502"/>
      <c r="B138" s="22"/>
      <c r="C138" s="510"/>
      <c r="D138" s="24"/>
      <c r="E138" s="510"/>
      <c r="F138" s="24"/>
      <c r="G138" s="510"/>
      <c r="H138" s="24"/>
      <c r="I138" s="510"/>
      <c r="J138" s="24"/>
    </row>
    <row r="139" spans="1:10" s="19" customFormat="1">
      <c r="A139" s="503"/>
      <c r="B139" s="21"/>
      <c r="C139" s="511"/>
      <c r="D139" s="452"/>
      <c r="E139" s="511"/>
      <c r="F139" s="452"/>
      <c r="G139" s="511"/>
      <c r="H139" s="452"/>
      <c r="I139" s="511"/>
      <c r="J139" s="452"/>
    </row>
    <row r="140" spans="1:10" s="19" customFormat="1">
      <c r="A140" s="503"/>
      <c r="B140" s="21"/>
      <c r="C140" s="511"/>
      <c r="D140" s="452"/>
      <c r="E140" s="511"/>
      <c r="F140" s="452"/>
      <c r="G140" s="511"/>
      <c r="H140" s="452"/>
      <c r="I140" s="511"/>
      <c r="J140" s="452"/>
    </row>
    <row r="141" spans="1:10" s="19" customFormat="1">
      <c r="A141" s="503"/>
      <c r="B141" s="21"/>
      <c r="C141" s="511"/>
      <c r="D141" s="452"/>
      <c r="E141" s="511"/>
      <c r="F141" s="452"/>
      <c r="G141" s="511"/>
      <c r="H141" s="452"/>
      <c r="I141" s="511"/>
      <c r="J141" s="452"/>
    </row>
    <row r="142" spans="1:10" s="19" customFormat="1">
      <c r="A142" s="503"/>
      <c r="B142" s="21"/>
      <c r="C142" s="511"/>
      <c r="D142" s="452"/>
      <c r="E142" s="511"/>
      <c r="F142" s="452"/>
      <c r="G142" s="511"/>
      <c r="H142" s="452"/>
      <c r="I142" s="511"/>
      <c r="J142" s="452"/>
    </row>
    <row r="143" spans="1:10" s="19" customFormat="1">
      <c r="A143" s="503"/>
      <c r="B143" s="21"/>
      <c r="C143" s="511"/>
      <c r="D143" s="452"/>
      <c r="E143" s="511"/>
      <c r="F143" s="452"/>
      <c r="G143" s="511"/>
      <c r="H143" s="452"/>
      <c r="I143" s="511"/>
      <c r="J143" s="452"/>
    </row>
    <row r="144" spans="1:10" s="19" customFormat="1">
      <c r="A144" s="503"/>
      <c r="B144" s="21"/>
      <c r="C144" s="511"/>
      <c r="D144" s="452"/>
      <c r="E144" s="511"/>
      <c r="F144" s="452"/>
      <c r="G144" s="511"/>
      <c r="H144" s="452"/>
      <c r="I144" s="511"/>
      <c r="J144" s="452"/>
    </row>
    <row r="145" spans="1:10" s="19" customFormat="1">
      <c r="A145" s="503"/>
      <c r="B145" s="21"/>
      <c r="C145" s="511"/>
      <c r="D145" s="452"/>
      <c r="E145" s="511"/>
      <c r="F145" s="452"/>
      <c r="G145" s="511"/>
      <c r="H145" s="452"/>
      <c r="I145" s="511"/>
      <c r="J145" s="452"/>
    </row>
    <row r="146" spans="1:10" s="19" customFormat="1">
      <c r="A146" s="503"/>
      <c r="B146" s="21"/>
      <c r="C146" s="511"/>
      <c r="D146" s="452"/>
      <c r="E146" s="511"/>
      <c r="F146" s="452"/>
      <c r="G146" s="511"/>
      <c r="H146" s="452"/>
      <c r="I146" s="511"/>
      <c r="J146" s="452"/>
    </row>
    <row r="147" spans="1:10" s="19" customFormat="1">
      <c r="A147" s="503"/>
      <c r="B147" s="21"/>
      <c r="C147" s="511"/>
      <c r="D147" s="452"/>
      <c r="E147" s="511"/>
      <c r="F147" s="452"/>
      <c r="G147" s="511"/>
      <c r="H147" s="452"/>
      <c r="I147" s="511"/>
      <c r="J147" s="452"/>
    </row>
    <row r="148" spans="1:10" s="19" customFormat="1">
      <c r="A148" s="503"/>
      <c r="B148" s="21"/>
      <c r="C148" s="511"/>
      <c r="D148" s="452"/>
      <c r="E148" s="511"/>
      <c r="F148" s="452"/>
      <c r="G148" s="511"/>
      <c r="H148" s="452"/>
      <c r="I148" s="511"/>
      <c r="J148" s="452"/>
    </row>
    <row r="149" spans="1:10" s="19" customFormat="1">
      <c r="A149" s="503"/>
      <c r="B149" s="21"/>
      <c r="C149" s="511"/>
      <c r="D149" s="452"/>
      <c r="E149" s="511"/>
      <c r="F149" s="452"/>
      <c r="G149" s="511"/>
      <c r="H149" s="452"/>
      <c r="I149" s="511"/>
      <c r="J149" s="452"/>
    </row>
    <row r="150" spans="1:10" s="19" customFormat="1">
      <c r="A150" s="503"/>
      <c r="B150" s="21"/>
      <c r="C150" s="511"/>
      <c r="D150" s="452"/>
      <c r="E150" s="511"/>
      <c r="F150" s="452"/>
      <c r="G150" s="511"/>
      <c r="H150" s="452"/>
      <c r="I150" s="511"/>
      <c r="J150" s="452"/>
    </row>
    <row r="151" spans="1:10" s="19" customFormat="1">
      <c r="A151" s="503"/>
      <c r="B151" s="21"/>
      <c r="C151" s="511"/>
      <c r="D151" s="452"/>
      <c r="E151" s="511"/>
      <c r="F151" s="452"/>
      <c r="G151" s="511"/>
      <c r="H151" s="452"/>
      <c r="I151" s="511"/>
      <c r="J151" s="452"/>
    </row>
    <row r="152" spans="1:10" s="19" customFormat="1">
      <c r="A152" s="503"/>
      <c r="B152" s="21"/>
      <c r="C152" s="511"/>
      <c r="D152" s="452"/>
      <c r="E152" s="511"/>
      <c r="F152" s="452"/>
      <c r="G152" s="511"/>
      <c r="H152" s="452"/>
      <c r="I152" s="511"/>
      <c r="J152" s="452"/>
    </row>
    <row r="153" spans="1:10" s="19" customFormat="1">
      <c r="A153" s="503"/>
      <c r="B153" s="21"/>
      <c r="C153" s="511"/>
      <c r="D153" s="452"/>
      <c r="E153" s="511"/>
      <c r="F153" s="452"/>
      <c r="G153" s="511"/>
      <c r="H153" s="452"/>
      <c r="I153" s="511"/>
      <c r="J153" s="452"/>
    </row>
    <row r="154" spans="1:10" s="19" customFormat="1">
      <c r="A154" s="503"/>
      <c r="B154" s="21"/>
      <c r="C154" s="511"/>
      <c r="D154" s="452"/>
      <c r="E154" s="511"/>
      <c r="F154" s="452"/>
      <c r="G154" s="511"/>
      <c r="H154" s="452"/>
      <c r="I154" s="511"/>
      <c r="J154" s="452"/>
    </row>
    <row r="155" spans="1:10" s="19" customFormat="1">
      <c r="A155" s="503"/>
      <c r="B155" s="21"/>
      <c r="C155" s="511"/>
      <c r="D155" s="452"/>
      <c r="E155" s="511"/>
      <c r="F155" s="452"/>
      <c r="G155" s="511"/>
      <c r="H155" s="452"/>
      <c r="I155" s="511"/>
      <c r="J155" s="452"/>
    </row>
    <row r="156" spans="1:10" s="19" customFormat="1">
      <c r="A156" s="503"/>
      <c r="B156" s="21"/>
      <c r="C156" s="511"/>
      <c r="D156" s="452"/>
      <c r="E156" s="511"/>
      <c r="F156" s="452"/>
      <c r="G156" s="511"/>
      <c r="H156" s="452"/>
      <c r="I156" s="511"/>
      <c r="J156" s="452"/>
    </row>
    <row r="157" spans="1:10" s="19" customFormat="1">
      <c r="A157" s="503"/>
      <c r="B157" s="21"/>
      <c r="C157" s="511"/>
      <c r="D157" s="452"/>
      <c r="E157" s="511"/>
      <c r="F157" s="452"/>
      <c r="G157" s="511"/>
      <c r="H157" s="452"/>
      <c r="I157" s="511"/>
      <c r="J157" s="452"/>
    </row>
    <row r="158" spans="1:10" s="19" customFormat="1">
      <c r="A158" s="503"/>
      <c r="B158" s="21"/>
      <c r="C158" s="511"/>
      <c r="D158" s="452"/>
      <c r="E158" s="511"/>
      <c r="F158" s="452"/>
      <c r="G158" s="511"/>
      <c r="H158" s="452"/>
      <c r="I158" s="511"/>
      <c r="J158" s="452"/>
    </row>
    <row r="159" spans="1:10" s="19" customFormat="1">
      <c r="A159" s="503"/>
      <c r="B159" s="21"/>
      <c r="C159" s="511"/>
      <c r="D159" s="452"/>
      <c r="E159" s="511"/>
      <c r="F159" s="452"/>
      <c r="G159" s="511"/>
      <c r="H159" s="452"/>
      <c r="I159" s="511"/>
      <c r="J159" s="452"/>
    </row>
    <row r="160" spans="1:10" s="19" customFormat="1">
      <c r="A160" s="503"/>
      <c r="B160" s="21"/>
      <c r="C160" s="511"/>
      <c r="D160" s="452"/>
      <c r="E160" s="511"/>
      <c r="F160" s="452"/>
      <c r="G160" s="511"/>
      <c r="H160" s="452"/>
      <c r="I160" s="511"/>
      <c r="J160" s="452"/>
    </row>
    <row r="161" spans="1:10" s="19" customFormat="1">
      <c r="A161" s="503"/>
      <c r="B161" s="21"/>
      <c r="C161" s="511"/>
      <c r="D161" s="452"/>
      <c r="E161" s="511"/>
      <c r="F161" s="452"/>
      <c r="G161" s="511"/>
      <c r="H161" s="452"/>
      <c r="I161" s="511"/>
      <c r="J161" s="452"/>
    </row>
    <row r="162" spans="1:10" s="19" customFormat="1">
      <c r="A162" s="503"/>
      <c r="B162" s="21"/>
      <c r="C162" s="511"/>
      <c r="D162" s="452"/>
      <c r="E162" s="511"/>
      <c r="F162" s="452"/>
      <c r="G162" s="511"/>
      <c r="H162" s="452"/>
      <c r="I162" s="511"/>
      <c r="J162" s="452"/>
    </row>
    <row r="163" spans="1:10" s="19" customFormat="1">
      <c r="A163" s="503"/>
      <c r="B163" s="21"/>
      <c r="C163" s="511"/>
      <c r="D163" s="452"/>
      <c r="E163" s="511"/>
      <c r="F163" s="452"/>
      <c r="G163" s="511"/>
      <c r="H163" s="452"/>
      <c r="I163" s="511"/>
      <c r="J163" s="452"/>
    </row>
    <row r="164" spans="1:10" s="19" customFormat="1">
      <c r="A164" s="503"/>
      <c r="B164" s="21"/>
      <c r="C164" s="511"/>
      <c r="D164" s="452"/>
      <c r="E164" s="511"/>
      <c r="F164" s="452"/>
      <c r="G164" s="511"/>
      <c r="H164" s="452"/>
      <c r="I164" s="511"/>
      <c r="J164" s="452"/>
    </row>
    <row r="165" spans="1:10" s="19" customFormat="1">
      <c r="A165" s="503"/>
      <c r="B165" s="21"/>
      <c r="C165" s="511"/>
      <c r="D165" s="452"/>
      <c r="E165" s="511"/>
      <c r="F165" s="452"/>
      <c r="G165" s="511"/>
      <c r="H165" s="452"/>
      <c r="I165" s="511"/>
      <c r="J165" s="452"/>
    </row>
    <row r="166" spans="1:10" s="19" customFormat="1">
      <c r="A166" s="503"/>
      <c r="B166" s="21"/>
      <c r="C166" s="511"/>
      <c r="D166" s="452"/>
      <c r="E166" s="511"/>
      <c r="F166" s="452"/>
      <c r="G166" s="511"/>
      <c r="H166" s="452"/>
      <c r="I166" s="511"/>
      <c r="J166" s="452"/>
    </row>
    <row r="167" spans="1:10" s="19" customFormat="1">
      <c r="A167" s="503"/>
      <c r="B167" s="21"/>
      <c r="C167" s="511"/>
      <c r="D167" s="452"/>
      <c r="E167" s="511"/>
      <c r="F167" s="452"/>
      <c r="G167" s="511"/>
      <c r="H167" s="452"/>
      <c r="I167" s="511"/>
      <c r="J167" s="452"/>
    </row>
    <row r="168" spans="1:10" s="19" customFormat="1">
      <c r="A168" s="503"/>
      <c r="B168" s="21"/>
      <c r="C168" s="511"/>
      <c r="D168" s="452"/>
      <c r="E168" s="511"/>
      <c r="F168" s="452"/>
      <c r="G168" s="511"/>
      <c r="H168" s="452"/>
      <c r="I168" s="511"/>
      <c r="J168" s="452"/>
    </row>
    <row r="169" spans="1:10" s="19" customFormat="1">
      <c r="A169" s="503"/>
      <c r="B169" s="21"/>
      <c r="C169" s="511"/>
      <c r="D169" s="452"/>
      <c r="E169" s="511"/>
      <c r="F169" s="452"/>
      <c r="G169" s="511"/>
      <c r="H169" s="452"/>
      <c r="I169" s="511"/>
      <c r="J169" s="452"/>
    </row>
    <row r="170" spans="1:10" s="19" customFormat="1">
      <c r="A170" s="503"/>
      <c r="B170" s="21"/>
      <c r="C170" s="511"/>
      <c r="D170" s="452"/>
      <c r="E170" s="511"/>
      <c r="F170" s="452"/>
      <c r="G170" s="511"/>
      <c r="H170" s="452"/>
      <c r="I170" s="511"/>
      <c r="J170" s="452"/>
    </row>
    <row r="171" spans="1:10" s="19" customFormat="1">
      <c r="A171" s="503"/>
      <c r="B171" s="21"/>
      <c r="C171" s="511"/>
      <c r="D171" s="452"/>
      <c r="E171" s="511"/>
      <c r="F171" s="452"/>
      <c r="G171" s="511"/>
      <c r="H171" s="452"/>
      <c r="I171" s="511"/>
      <c r="J171" s="452"/>
    </row>
    <row r="172" spans="1:10" s="19" customFormat="1">
      <c r="A172" s="503"/>
      <c r="B172" s="21"/>
      <c r="C172" s="511"/>
      <c r="D172" s="452"/>
      <c r="E172" s="511"/>
      <c r="F172" s="452"/>
      <c r="G172" s="511"/>
      <c r="H172" s="452"/>
      <c r="I172" s="511"/>
      <c r="J172" s="452"/>
    </row>
    <row r="173" spans="1:10" s="19" customFormat="1">
      <c r="A173" s="503"/>
      <c r="B173" s="21"/>
      <c r="C173" s="511"/>
      <c r="D173" s="452"/>
      <c r="E173" s="511"/>
      <c r="F173" s="452"/>
      <c r="G173" s="511"/>
      <c r="H173" s="452"/>
      <c r="I173" s="511"/>
      <c r="J173" s="452"/>
    </row>
    <row r="174" spans="1:10" s="19" customFormat="1">
      <c r="A174" s="503"/>
      <c r="B174" s="21"/>
      <c r="C174" s="511"/>
      <c r="D174" s="452"/>
      <c r="E174" s="511"/>
      <c r="F174" s="452"/>
      <c r="G174" s="511"/>
      <c r="H174" s="452"/>
      <c r="I174" s="511"/>
      <c r="J174" s="452"/>
    </row>
    <row r="175" spans="1:10" s="19" customFormat="1">
      <c r="A175" s="503"/>
      <c r="B175" s="21"/>
      <c r="C175" s="511"/>
      <c r="D175" s="452"/>
      <c r="E175" s="511"/>
      <c r="F175" s="452"/>
      <c r="G175" s="511"/>
      <c r="H175" s="452"/>
      <c r="I175" s="511"/>
      <c r="J175" s="452"/>
    </row>
    <row r="176" spans="1:10" s="19" customFormat="1">
      <c r="A176" s="503"/>
      <c r="B176" s="21"/>
      <c r="C176" s="511"/>
      <c r="D176" s="452"/>
      <c r="E176" s="511"/>
      <c r="F176" s="452"/>
      <c r="G176" s="511"/>
      <c r="H176" s="452"/>
      <c r="I176" s="511"/>
      <c r="J176" s="452"/>
    </row>
    <row r="177" spans="1:10" s="19" customFormat="1">
      <c r="A177" s="503"/>
      <c r="B177" s="21"/>
      <c r="C177" s="511"/>
      <c r="D177" s="452"/>
      <c r="E177" s="511"/>
      <c r="F177" s="452"/>
      <c r="G177" s="511"/>
      <c r="H177" s="452"/>
      <c r="I177" s="511"/>
      <c r="J177" s="452"/>
    </row>
    <row r="178" spans="1:10" s="19" customFormat="1">
      <c r="A178" s="503"/>
      <c r="B178" s="21"/>
      <c r="C178" s="511"/>
      <c r="D178" s="452"/>
      <c r="E178" s="511"/>
      <c r="F178" s="452"/>
      <c r="G178" s="511"/>
      <c r="H178" s="452"/>
      <c r="I178" s="511"/>
      <c r="J178" s="452"/>
    </row>
    <row r="179" spans="1:10" s="19" customFormat="1">
      <c r="A179" s="503"/>
      <c r="B179" s="21"/>
      <c r="C179" s="511"/>
      <c r="D179" s="452"/>
      <c r="E179" s="511"/>
      <c r="F179" s="452"/>
      <c r="G179" s="511"/>
      <c r="H179" s="452"/>
      <c r="I179" s="511"/>
      <c r="J179" s="452"/>
    </row>
    <row r="180" spans="1:10" s="19" customFormat="1">
      <c r="A180" s="503"/>
      <c r="B180" s="21"/>
      <c r="C180" s="511"/>
      <c r="D180" s="452"/>
      <c r="E180" s="511"/>
      <c r="F180" s="452"/>
      <c r="G180" s="511"/>
      <c r="H180" s="452"/>
      <c r="I180" s="511"/>
      <c r="J180" s="452"/>
    </row>
    <row r="181" spans="1:10" s="19" customFormat="1">
      <c r="A181" s="503"/>
      <c r="B181" s="21"/>
      <c r="C181" s="511"/>
      <c r="D181" s="452"/>
      <c r="E181" s="511"/>
      <c r="F181" s="452"/>
      <c r="G181" s="511"/>
      <c r="H181" s="452"/>
      <c r="I181" s="511"/>
      <c r="J181" s="452"/>
    </row>
    <row r="182" spans="1:10" s="19" customFormat="1">
      <c r="A182" s="503"/>
      <c r="B182" s="21"/>
      <c r="C182" s="511"/>
      <c r="D182" s="452"/>
      <c r="E182" s="511"/>
      <c r="F182" s="452"/>
      <c r="G182" s="511"/>
      <c r="H182" s="452"/>
      <c r="I182" s="511"/>
      <c r="J182" s="452"/>
    </row>
    <row r="183" spans="1:10" s="19" customFormat="1">
      <c r="A183" s="503"/>
      <c r="B183" s="21"/>
      <c r="C183" s="511"/>
      <c r="D183" s="452"/>
      <c r="E183" s="511"/>
      <c r="F183" s="452"/>
      <c r="G183" s="511"/>
      <c r="H183" s="452"/>
      <c r="I183" s="511"/>
      <c r="J183" s="452"/>
    </row>
    <row r="184" spans="1:10" s="19" customFormat="1">
      <c r="A184" s="503"/>
      <c r="B184" s="21"/>
      <c r="C184" s="511"/>
      <c r="D184" s="452"/>
      <c r="E184" s="511"/>
      <c r="F184" s="452"/>
      <c r="G184" s="511"/>
      <c r="H184" s="452"/>
      <c r="I184" s="511"/>
      <c r="J184" s="452"/>
    </row>
    <row r="185" spans="1:10" s="19" customFormat="1">
      <c r="A185" s="503"/>
      <c r="B185" s="21"/>
      <c r="C185" s="511"/>
      <c r="D185" s="452"/>
      <c r="E185" s="511"/>
      <c r="F185" s="452"/>
      <c r="G185" s="511"/>
      <c r="H185" s="452"/>
      <c r="I185" s="511"/>
      <c r="J185" s="452"/>
    </row>
    <row r="186" spans="1:10" s="19" customFormat="1">
      <c r="A186" s="503"/>
      <c r="B186" s="21"/>
      <c r="C186" s="511"/>
      <c r="D186" s="452"/>
      <c r="E186" s="511"/>
      <c r="F186" s="452"/>
      <c r="G186" s="511"/>
      <c r="H186" s="452"/>
      <c r="I186" s="511"/>
      <c r="J186" s="452"/>
    </row>
    <row r="187" spans="1:10" s="19" customFormat="1">
      <c r="A187" s="503"/>
      <c r="B187" s="21"/>
      <c r="C187" s="511"/>
      <c r="D187" s="452"/>
      <c r="E187" s="511"/>
      <c r="F187" s="452"/>
      <c r="G187" s="511"/>
      <c r="H187" s="452"/>
      <c r="I187" s="511"/>
      <c r="J187" s="452"/>
    </row>
    <row r="188" spans="1:10" s="19" customFormat="1">
      <c r="A188" s="503"/>
      <c r="B188" s="21"/>
      <c r="C188" s="511"/>
      <c r="D188" s="452"/>
      <c r="E188" s="511"/>
      <c r="F188" s="452"/>
      <c r="G188" s="511"/>
      <c r="H188" s="452"/>
      <c r="I188" s="511"/>
      <c r="J188" s="452"/>
    </row>
    <row r="189" spans="1:10" s="19" customFormat="1">
      <c r="A189" s="503"/>
      <c r="B189" s="21"/>
      <c r="C189" s="511"/>
      <c r="D189" s="452"/>
      <c r="E189" s="511"/>
      <c r="F189" s="452"/>
      <c r="G189" s="511"/>
      <c r="H189" s="452"/>
      <c r="I189" s="511"/>
      <c r="J189" s="452"/>
    </row>
    <row r="190" spans="1:10" s="19" customFormat="1">
      <c r="A190" s="503"/>
      <c r="B190" s="21"/>
      <c r="C190" s="511"/>
      <c r="D190" s="452"/>
      <c r="E190" s="511"/>
      <c r="F190" s="452"/>
      <c r="G190" s="511"/>
      <c r="H190" s="452"/>
      <c r="I190" s="511"/>
      <c r="J190" s="452"/>
    </row>
    <row r="191" spans="1:10" s="19" customFormat="1">
      <c r="A191" s="503"/>
      <c r="B191" s="21"/>
      <c r="C191" s="511"/>
      <c r="D191" s="452"/>
      <c r="E191" s="511"/>
      <c r="F191" s="452"/>
      <c r="G191" s="511"/>
      <c r="H191" s="452"/>
      <c r="I191" s="511"/>
      <c r="J191" s="452"/>
    </row>
    <row r="192" spans="1:10" s="19" customFormat="1">
      <c r="A192" s="503"/>
      <c r="B192" s="21"/>
      <c r="C192" s="511"/>
      <c r="D192" s="452"/>
      <c r="E192" s="511"/>
      <c r="F192" s="452"/>
      <c r="G192" s="511"/>
      <c r="H192" s="452"/>
      <c r="I192" s="511"/>
      <c r="J192" s="452"/>
    </row>
    <row r="193" spans="1:10" s="19" customFormat="1">
      <c r="A193" s="503"/>
      <c r="B193" s="21"/>
      <c r="C193" s="511"/>
      <c r="D193" s="452"/>
      <c r="E193" s="511"/>
      <c r="F193" s="452"/>
      <c r="G193" s="511"/>
      <c r="H193" s="452"/>
      <c r="I193" s="511"/>
      <c r="J193" s="452"/>
    </row>
    <row r="194" spans="1:10" s="19" customFormat="1">
      <c r="A194" s="503"/>
      <c r="B194" s="21"/>
      <c r="C194" s="511"/>
      <c r="D194" s="452"/>
      <c r="E194" s="511"/>
      <c r="F194" s="452"/>
      <c r="G194" s="511"/>
      <c r="H194" s="452"/>
      <c r="I194" s="511"/>
      <c r="J194" s="452"/>
    </row>
    <row r="195" spans="1:10" s="19" customFormat="1">
      <c r="A195" s="503"/>
      <c r="B195" s="21"/>
      <c r="C195" s="511"/>
      <c r="D195" s="452"/>
      <c r="E195" s="511"/>
      <c r="F195" s="452"/>
      <c r="G195" s="511"/>
      <c r="H195" s="452"/>
      <c r="I195" s="511"/>
      <c r="J195" s="452"/>
    </row>
    <row r="196" spans="1:10" s="19" customFormat="1">
      <c r="A196" s="503"/>
      <c r="B196" s="21"/>
      <c r="C196" s="511"/>
      <c r="D196" s="452"/>
      <c r="E196" s="511"/>
      <c r="F196" s="452"/>
      <c r="G196" s="511"/>
      <c r="H196" s="452"/>
      <c r="I196" s="511"/>
      <c r="J196" s="452"/>
    </row>
    <row r="197" spans="1:10" s="19" customFormat="1">
      <c r="A197" s="503"/>
      <c r="B197" s="21"/>
      <c r="C197" s="511"/>
      <c r="D197" s="452"/>
      <c r="E197" s="511"/>
      <c r="F197" s="452"/>
      <c r="G197" s="511"/>
      <c r="H197" s="452"/>
      <c r="I197" s="511"/>
      <c r="J197" s="452"/>
    </row>
    <row r="198" spans="1:10" s="19" customFormat="1">
      <c r="A198" s="503"/>
      <c r="B198" s="21"/>
      <c r="C198" s="511"/>
      <c r="D198" s="452"/>
      <c r="E198" s="511"/>
      <c r="F198" s="452"/>
      <c r="G198" s="511"/>
      <c r="H198" s="452"/>
      <c r="I198" s="511"/>
      <c r="J198" s="452"/>
    </row>
    <row r="199" spans="1:10" s="19" customFormat="1">
      <c r="A199" s="503"/>
      <c r="B199" s="21"/>
      <c r="C199" s="511"/>
      <c r="D199" s="452"/>
      <c r="E199" s="511"/>
      <c r="F199" s="452"/>
      <c r="G199" s="511"/>
      <c r="H199" s="452"/>
      <c r="I199" s="511"/>
      <c r="J199" s="452"/>
    </row>
    <row r="200" spans="1:10" s="19" customFormat="1">
      <c r="A200" s="503"/>
      <c r="B200" s="21"/>
      <c r="C200" s="511"/>
      <c r="D200" s="452"/>
      <c r="E200" s="511"/>
      <c r="F200" s="452"/>
      <c r="G200" s="511"/>
      <c r="H200" s="452"/>
      <c r="I200" s="511"/>
      <c r="J200" s="452"/>
    </row>
    <row r="201" spans="1:10" s="19" customFormat="1">
      <c r="A201" s="503"/>
      <c r="B201" s="21"/>
      <c r="C201" s="511"/>
      <c r="D201" s="452"/>
      <c r="E201" s="511"/>
      <c r="F201" s="452"/>
      <c r="G201" s="511"/>
      <c r="H201" s="452"/>
      <c r="I201" s="511"/>
      <c r="J201" s="452"/>
    </row>
    <row r="202" spans="1:10" s="19" customFormat="1">
      <c r="A202" s="503"/>
      <c r="B202" s="21"/>
      <c r="C202" s="511"/>
      <c r="D202" s="452"/>
      <c r="E202" s="511"/>
      <c r="F202" s="452"/>
      <c r="G202" s="511"/>
      <c r="H202" s="452"/>
      <c r="I202" s="511"/>
      <c r="J202" s="452"/>
    </row>
    <row r="203" spans="1:10" s="19" customFormat="1">
      <c r="A203" s="503"/>
      <c r="B203" s="21"/>
      <c r="C203" s="511"/>
      <c r="D203" s="452"/>
      <c r="E203" s="511"/>
      <c r="F203" s="452"/>
      <c r="G203" s="511"/>
      <c r="H203" s="452"/>
      <c r="I203" s="511"/>
      <c r="J203" s="452"/>
    </row>
    <row r="204" spans="1:10" s="19" customFormat="1">
      <c r="A204" s="503"/>
      <c r="B204" s="21"/>
      <c r="C204" s="511"/>
      <c r="D204" s="452"/>
      <c r="E204" s="511"/>
      <c r="F204" s="452"/>
      <c r="G204" s="511"/>
      <c r="H204" s="452"/>
      <c r="I204" s="511"/>
      <c r="J204" s="452"/>
    </row>
    <row r="205" spans="1:10" s="19" customFormat="1">
      <c r="A205" s="503"/>
      <c r="B205" s="21"/>
      <c r="C205" s="511"/>
      <c r="D205" s="452"/>
      <c r="E205" s="511"/>
      <c r="F205" s="452"/>
      <c r="G205" s="511"/>
      <c r="H205" s="452"/>
      <c r="I205" s="511"/>
      <c r="J205" s="452"/>
    </row>
    <row r="206" spans="1:10" s="19" customFormat="1">
      <c r="A206" s="503"/>
      <c r="B206" s="21"/>
      <c r="C206" s="511"/>
      <c r="D206" s="452"/>
      <c r="E206" s="511"/>
      <c r="F206" s="452"/>
      <c r="G206" s="511"/>
      <c r="H206" s="452"/>
      <c r="I206" s="511"/>
      <c r="J206" s="452"/>
    </row>
    <row r="207" spans="1:10" s="19" customFormat="1">
      <c r="A207" s="503"/>
      <c r="B207" s="21"/>
      <c r="C207" s="511"/>
      <c r="D207" s="452"/>
      <c r="E207" s="511"/>
      <c r="F207" s="452"/>
      <c r="G207" s="511"/>
      <c r="H207" s="452"/>
      <c r="I207" s="511"/>
      <c r="J207" s="452"/>
    </row>
    <row r="208" spans="1:10" s="19" customFormat="1">
      <c r="A208" s="503"/>
      <c r="B208" s="21"/>
      <c r="C208" s="511"/>
      <c r="D208" s="452"/>
      <c r="E208" s="511"/>
      <c r="F208" s="452"/>
      <c r="G208" s="511"/>
      <c r="H208" s="452"/>
      <c r="I208" s="511"/>
      <c r="J208" s="452"/>
    </row>
    <row r="209" spans="1:10" s="19" customFormat="1">
      <c r="A209" s="503"/>
      <c r="B209" s="21"/>
      <c r="C209" s="511"/>
      <c r="D209" s="452"/>
      <c r="E209" s="511"/>
      <c r="F209" s="452"/>
      <c r="G209" s="511"/>
      <c r="H209" s="452"/>
      <c r="I209" s="511"/>
      <c r="J209" s="452"/>
    </row>
    <row r="210" spans="1:10" s="19" customFormat="1">
      <c r="A210" s="503"/>
      <c r="B210" s="21"/>
      <c r="C210" s="511"/>
      <c r="D210" s="452"/>
      <c r="E210" s="511"/>
      <c r="F210" s="452"/>
      <c r="G210" s="511"/>
      <c r="H210" s="452"/>
      <c r="I210" s="511"/>
      <c r="J210" s="452"/>
    </row>
    <row r="211" spans="1:10" s="19" customFormat="1">
      <c r="A211" s="503"/>
      <c r="B211" s="21"/>
      <c r="C211" s="511"/>
      <c r="D211" s="452"/>
      <c r="E211" s="511"/>
      <c r="F211" s="452"/>
      <c r="G211" s="511"/>
      <c r="H211" s="452"/>
      <c r="I211" s="511"/>
      <c r="J211" s="452"/>
    </row>
    <row r="212" spans="1:10" s="19" customFormat="1">
      <c r="A212" s="503"/>
      <c r="B212" s="21"/>
      <c r="C212" s="511"/>
      <c r="D212" s="452"/>
      <c r="E212" s="511"/>
      <c r="F212" s="452"/>
      <c r="G212" s="511"/>
      <c r="H212" s="452"/>
      <c r="I212" s="511"/>
      <c r="J212" s="452"/>
    </row>
    <row r="213" spans="1:10" s="19" customFormat="1">
      <c r="A213" s="503"/>
      <c r="B213" s="21"/>
      <c r="C213" s="511"/>
      <c r="D213" s="452"/>
      <c r="E213" s="511"/>
      <c r="F213" s="452"/>
      <c r="G213" s="511"/>
      <c r="H213" s="452"/>
      <c r="I213" s="511"/>
      <c r="J213" s="452"/>
    </row>
    <row r="214" spans="1:10" s="19" customFormat="1">
      <c r="A214" s="503"/>
      <c r="B214" s="21"/>
      <c r="C214" s="511"/>
      <c r="D214" s="452"/>
      <c r="E214" s="511"/>
      <c r="F214" s="452"/>
      <c r="G214" s="511"/>
      <c r="H214" s="452"/>
      <c r="I214" s="511"/>
      <c r="J214" s="452"/>
    </row>
    <row r="215" spans="1:10" s="19" customFormat="1">
      <c r="A215" s="503"/>
      <c r="B215" s="21"/>
      <c r="C215" s="511"/>
      <c r="D215" s="452"/>
      <c r="E215" s="511"/>
      <c r="F215" s="452"/>
      <c r="G215" s="511"/>
      <c r="H215" s="452"/>
      <c r="I215" s="511"/>
      <c r="J215" s="452"/>
    </row>
    <row r="216" spans="1:10" s="19" customFormat="1">
      <c r="A216" s="503"/>
      <c r="B216" s="21"/>
      <c r="C216" s="511"/>
      <c r="D216" s="452"/>
      <c r="E216" s="511"/>
      <c r="F216" s="452"/>
      <c r="G216" s="511"/>
      <c r="H216" s="452"/>
      <c r="I216" s="511"/>
      <c r="J216" s="452"/>
    </row>
    <row r="217" spans="1:10" s="19" customFormat="1">
      <c r="A217" s="503"/>
      <c r="B217" s="21"/>
      <c r="C217" s="511"/>
      <c r="D217" s="452"/>
      <c r="E217" s="511"/>
      <c r="F217" s="452"/>
      <c r="G217" s="511"/>
      <c r="H217" s="452"/>
      <c r="I217" s="511"/>
      <c r="J217" s="452"/>
    </row>
    <row r="218" spans="1:10" s="19" customFormat="1">
      <c r="A218" s="503"/>
      <c r="B218" s="21"/>
      <c r="C218" s="511"/>
      <c r="D218" s="452"/>
      <c r="E218" s="511"/>
      <c r="F218" s="452"/>
      <c r="G218" s="511"/>
      <c r="H218" s="452"/>
      <c r="I218" s="511"/>
      <c r="J218" s="452"/>
    </row>
    <row r="219" spans="1:10" s="19" customFormat="1">
      <c r="A219" s="503"/>
      <c r="B219" s="21"/>
      <c r="C219" s="511"/>
      <c r="D219" s="452"/>
      <c r="E219" s="511"/>
      <c r="F219" s="452"/>
      <c r="G219" s="511"/>
      <c r="H219" s="452"/>
      <c r="I219" s="511"/>
      <c r="J219" s="452"/>
    </row>
    <row r="220" spans="1:10" s="19" customFormat="1">
      <c r="A220" s="503"/>
      <c r="B220" s="21"/>
      <c r="C220" s="511"/>
      <c r="D220" s="452"/>
      <c r="E220" s="511"/>
      <c r="F220" s="452"/>
      <c r="G220" s="511"/>
      <c r="H220" s="452"/>
      <c r="I220" s="511"/>
      <c r="J220" s="452"/>
    </row>
    <row r="221" spans="1:10" s="19" customFormat="1">
      <c r="A221" s="503"/>
      <c r="B221" s="21"/>
      <c r="C221" s="511"/>
      <c r="D221" s="452"/>
      <c r="E221" s="511"/>
      <c r="F221" s="452"/>
      <c r="G221" s="511"/>
      <c r="H221" s="452"/>
      <c r="I221" s="511"/>
      <c r="J221" s="452"/>
    </row>
    <row r="222" spans="1:10" s="19" customFormat="1">
      <c r="A222" s="503"/>
      <c r="B222" s="21"/>
      <c r="C222" s="511"/>
      <c r="D222" s="452"/>
      <c r="E222" s="511"/>
      <c r="F222" s="452"/>
      <c r="G222" s="511"/>
      <c r="H222" s="452"/>
      <c r="I222" s="511"/>
      <c r="J222" s="452"/>
    </row>
    <row r="223" spans="1:10" s="19" customFormat="1">
      <c r="A223" s="503"/>
      <c r="B223" s="21"/>
      <c r="C223" s="511"/>
      <c r="D223" s="452"/>
      <c r="E223" s="511"/>
      <c r="F223" s="452"/>
      <c r="G223" s="511"/>
      <c r="H223" s="452"/>
      <c r="I223" s="511"/>
      <c r="J223" s="452"/>
    </row>
    <row r="224" spans="1:10" s="19" customFormat="1">
      <c r="A224" s="503"/>
      <c r="B224" s="21"/>
      <c r="C224" s="511"/>
      <c r="D224" s="452"/>
      <c r="E224" s="511"/>
      <c r="F224" s="452"/>
      <c r="G224" s="511"/>
      <c r="H224" s="452"/>
      <c r="I224" s="511"/>
      <c r="J224" s="452"/>
    </row>
    <row r="225" spans="1:10" s="19" customFormat="1">
      <c r="A225" s="503"/>
      <c r="B225" s="21"/>
      <c r="C225" s="511"/>
      <c r="D225" s="452"/>
      <c r="E225" s="511"/>
      <c r="F225" s="452"/>
      <c r="G225" s="511"/>
      <c r="H225" s="452"/>
      <c r="I225" s="511"/>
      <c r="J225" s="452"/>
    </row>
    <row r="226" spans="1:10" s="19" customFormat="1">
      <c r="A226" s="503"/>
      <c r="B226" s="21"/>
      <c r="C226" s="511"/>
      <c r="D226" s="452"/>
      <c r="E226" s="511"/>
      <c r="F226" s="452"/>
      <c r="G226" s="511"/>
      <c r="H226" s="452"/>
      <c r="I226" s="511"/>
      <c r="J226" s="452"/>
    </row>
    <row r="227" spans="1:10" s="19" customFormat="1">
      <c r="A227" s="503"/>
      <c r="B227" s="21"/>
      <c r="C227" s="511"/>
      <c r="D227" s="452"/>
      <c r="E227" s="511"/>
      <c r="F227" s="452"/>
      <c r="G227" s="511"/>
      <c r="H227" s="452"/>
      <c r="I227" s="511"/>
      <c r="J227" s="452"/>
    </row>
    <row r="228" spans="1:10" s="19" customFormat="1">
      <c r="A228" s="503"/>
      <c r="B228" s="21"/>
      <c r="C228" s="511"/>
      <c r="D228" s="452"/>
      <c r="E228" s="511"/>
      <c r="F228" s="452"/>
      <c r="G228" s="511"/>
      <c r="H228" s="452"/>
      <c r="I228" s="511"/>
      <c r="J228" s="452"/>
    </row>
    <row r="229" spans="1:10" s="19" customFormat="1">
      <c r="A229" s="503"/>
      <c r="B229" s="21"/>
      <c r="C229" s="511"/>
      <c r="D229" s="452"/>
      <c r="E229" s="511"/>
      <c r="F229" s="452"/>
      <c r="G229" s="511"/>
      <c r="H229" s="452"/>
      <c r="I229" s="511"/>
      <c r="J229" s="452"/>
    </row>
    <row r="230" spans="1:10" s="19" customFormat="1">
      <c r="A230" s="503"/>
      <c r="B230" s="21"/>
      <c r="C230" s="511"/>
      <c r="D230" s="452"/>
      <c r="E230" s="511"/>
      <c r="F230" s="452"/>
      <c r="G230" s="511"/>
      <c r="H230" s="452"/>
      <c r="I230" s="511"/>
      <c r="J230" s="452"/>
    </row>
    <row r="231" spans="1:10" s="19" customFormat="1">
      <c r="A231" s="503"/>
      <c r="B231" s="21"/>
      <c r="C231" s="511"/>
      <c r="D231" s="452"/>
      <c r="E231" s="511"/>
      <c r="F231" s="452"/>
      <c r="G231" s="511"/>
      <c r="H231" s="452"/>
      <c r="I231" s="511"/>
      <c r="J231" s="452"/>
    </row>
    <row r="232" spans="1:10" s="19" customFormat="1">
      <c r="A232" s="503"/>
      <c r="B232" s="21"/>
      <c r="C232" s="511"/>
      <c r="D232" s="452"/>
      <c r="E232" s="511"/>
      <c r="F232" s="452"/>
      <c r="G232" s="511"/>
      <c r="H232" s="452"/>
      <c r="I232" s="511"/>
      <c r="J232" s="452"/>
    </row>
    <row r="233" spans="1:10" s="19" customFormat="1">
      <c r="A233" s="503"/>
      <c r="B233" s="21"/>
      <c r="C233" s="511"/>
      <c r="D233" s="452"/>
      <c r="E233" s="511"/>
      <c r="F233" s="452"/>
      <c r="G233" s="511"/>
      <c r="H233" s="452"/>
      <c r="I233" s="511"/>
      <c r="J233" s="452"/>
    </row>
    <row r="234" spans="1:10" s="19" customFormat="1">
      <c r="A234" s="503"/>
      <c r="B234" s="21"/>
      <c r="C234" s="511"/>
      <c r="D234" s="452"/>
      <c r="E234" s="511"/>
      <c r="F234" s="452"/>
      <c r="G234" s="511"/>
      <c r="H234" s="452"/>
      <c r="I234" s="511"/>
      <c r="J234" s="452"/>
    </row>
    <row r="235" spans="1:10" s="19" customFormat="1">
      <c r="A235" s="503"/>
      <c r="B235" s="21"/>
      <c r="C235" s="511"/>
      <c r="D235" s="452"/>
      <c r="E235" s="511"/>
      <c r="F235" s="452"/>
      <c r="G235" s="511"/>
      <c r="H235" s="452"/>
      <c r="I235" s="511"/>
      <c r="J235" s="452"/>
    </row>
    <row r="236" spans="1:10" s="19" customFormat="1">
      <c r="A236" s="503"/>
      <c r="B236" s="21"/>
      <c r="C236" s="511"/>
      <c r="D236" s="452"/>
      <c r="E236" s="511"/>
      <c r="F236" s="452"/>
      <c r="G236" s="511"/>
      <c r="H236" s="452"/>
      <c r="I236" s="511"/>
      <c r="J236" s="452"/>
    </row>
    <row r="237" spans="1:10" s="19" customFormat="1">
      <c r="A237" s="503"/>
      <c r="B237" s="21"/>
      <c r="C237" s="511"/>
      <c r="D237" s="452"/>
      <c r="E237" s="511"/>
      <c r="F237" s="452"/>
      <c r="G237" s="511"/>
      <c r="H237" s="452"/>
      <c r="I237" s="511"/>
      <c r="J237" s="452"/>
    </row>
    <row r="238" spans="1:10" s="19" customFormat="1">
      <c r="A238" s="503"/>
      <c r="B238" s="21"/>
      <c r="C238" s="511"/>
      <c r="D238" s="452"/>
      <c r="E238" s="511"/>
      <c r="F238" s="452"/>
      <c r="G238" s="511"/>
      <c r="H238" s="452"/>
      <c r="I238" s="511"/>
      <c r="J238" s="452"/>
    </row>
    <row r="239" spans="1:10" s="19" customFormat="1">
      <c r="A239" s="503"/>
      <c r="B239" s="21"/>
      <c r="C239" s="511"/>
      <c r="D239" s="452"/>
      <c r="E239" s="511"/>
      <c r="F239" s="452"/>
      <c r="G239" s="511"/>
      <c r="H239" s="452"/>
      <c r="I239" s="511"/>
      <c r="J239" s="452"/>
    </row>
    <row r="240" spans="1:10" s="19" customFormat="1">
      <c r="A240" s="503"/>
      <c r="B240" s="21"/>
      <c r="C240" s="511"/>
      <c r="D240" s="452"/>
      <c r="E240" s="511"/>
      <c r="F240" s="452"/>
      <c r="G240" s="511"/>
      <c r="H240" s="452"/>
      <c r="I240" s="511"/>
      <c r="J240" s="452"/>
    </row>
    <row r="241" spans="1:10" s="19" customFormat="1">
      <c r="A241" s="503"/>
      <c r="B241" s="21"/>
      <c r="C241" s="511"/>
      <c r="D241" s="452"/>
      <c r="E241" s="511"/>
      <c r="F241" s="452"/>
      <c r="G241" s="511"/>
      <c r="H241" s="452"/>
      <c r="I241" s="511"/>
      <c r="J241" s="452"/>
    </row>
    <row r="242" spans="1:10" s="19" customFormat="1">
      <c r="A242" s="503"/>
      <c r="B242" s="21"/>
      <c r="C242" s="511"/>
      <c r="D242" s="452"/>
      <c r="E242" s="511"/>
      <c r="F242" s="452"/>
      <c r="G242" s="511"/>
      <c r="H242" s="452"/>
      <c r="I242" s="511"/>
      <c r="J242" s="452"/>
    </row>
    <row r="243" spans="1:10" s="19" customFormat="1">
      <c r="A243" s="503"/>
      <c r="B243" s="21"/>
      <c r="C243" s="511"/>
      <c r="D243" s="452"/>
      <c r="E243" s="511"/>
      <c r="F243" s="452"/>
      <c r="G243" s="511"/>
      <c r="H243" s="452"/>
      <c r="I243" s="511"/>
      <c r="J243" s="452"/>
    </row>
    <row r="244" spans="1:10" s="19" customFormat="1">
      <c r="A244" s="503"/>
      <c r="B244" s="21"/>
      <c r="C244" s="511"/>
      <c r="D244" s="452"/>
      <c r="E244" s="511"/>
      <c r="F244" s="452"/>
      <c r="G244" s="511"/>
      <c r="H244" s="452"/>
      <c r="I244" s="511"/>
      <c r="J244" s="452"/>
    </row>
    <row r="245" spans="1:10" s="19" customFormat="1">
      <c r="A245" s="503"/>
      <c r="B245" s="21"/>
      <c r="C245" s="511"/>
      <c r="D245" s="452"/>
      <c r="E245" s="511"/>
      <c r="F245" s="452"/>
      <c r="G245" s="511"/>
      <c r="H245" s="452"/>
      <c r="I245" s="511"/>
      <c r="J245" s="452"/>
    </row>
    <row r="246" spans="1:10" s="19" customFormat="1">
      <c r="A246" s="503"/>
      <c r="B246" s="21"/>
      <c r="C246" s="511"/>
      <c r="D246" s="452"/>
      <c r="E246" s="511"/>
      <c r="F246" s="452"/>
      <c r="G246" s="511"/>
      <c r="H246" s="452"/>
      <c r="I246" s="511"/>
      <c r="J246" s="452"/>
    </row>
    <row r="247" spans="1:10" s="19" customFormat="1">
      <c r="A247" s="503"/>
      <c r="B247" s="21"/>
      <c r="C247" s="511"/>
      <c r="D247" s="452"/>
      <c r="E247" s="511"/>
      <c r="F247" s="452"/>
      <c r="G247" s="511"/>
      <c r="H247" s="452"/>
      <c r="I247" s="511"/>
      <c r="J247" s="452"/>
    </row>
    <row r="248" spans="1:10" s="19" customFormat="1">
      <c r="A248" s="503"/>
      <c r="B248" s="21"/>
      <c r="C248" s="511"/>
      <c r="D248" s="452"/>
      <c r="E248" s="511"/>
      <c r="F248" s="452"/>
      <c r="G248" s="511"/>
      <c r="H248" s="452"/>
      <c r="I248" s="511"/>
      <c r="J248" s="452"/>
    </row>
    <row r="249" spans="1:10" s="19" customFormat="1">
      <c r="A249" s="503"/>
      <c r="B249" s="21"/>
      <c r="C249" s="511"/>
      <c r="D249" s="452"/>
      <c r="E249" s="511"/>
      <c r="F249" s="452"/>
      <c r="G249" s="511"/>
      <c r="H249" s="452"/>
      <c r="I249" s="511"/>
      <c r="J249" s="452"/>
    </row>
    <row r="250" spans="1:10" s="19" customFormat="1">
      <c r="A250" s="503"/>
      <c r="B250" s="21"/>
      <c r="C250" s="511"/>
      <c r="D250" s="452"/>
      <c r="E250" s="511"/>
      <c r="F250" s="452"/>
      <c r="G250" s="511"/>
      <c r="H250" s="452"/>
      <c r="I250" s="511"/>
      <c r="J250" s="452"/>
    </row>
    <row r="251" spans="1:10" s="19" customFormat="1">
      <c r="A251" s="503"/>
      <c r="B251" s="21"/>
      <c r="C251" s="511"/>
      <c r="D251" s="452"/>
      <c r="E251" s="511"/>
      <c r="F251" s="452"/>
      <c r="G251" s="511"/>
      <c r="H251" s="452"/>
      <c r="I251" s="511"/>
      <c r="J251" s="452"/>
    </row>
    <row r="252" spans="1:10" s="19" customFormat="1">
      <c r="A252" s="503"/>
      <c r="B252" s="21"/>
      <c r="C252" s="511"/>
      <c r="D252" s="452"/>
      <c r="E252" s="511"/>
      <c r="F252" s="452"/>
      <c r="G252" s="511"/>
      <c r="H252" s="452"/>
      <c r="I252" s="511"/>
      <c r="J252" s="452"/>
    </row>
    <row r="253" spans="1:10" s="19" customFormat="1">
      <c r="A253" s="503"/>
      <c r="B253" s="21"/>
      <c r="C253" s="511"/>
      <c r="D253" s="452"/>
      <c r="E253" s="511"/>
      <c r="F253" s="452"/>
      <c r="G253" s="511"/>
      <c r="H253" s="452"/>
      <c r="I253" s="511"/>
      <c r="J253" s="452"/>
    </row>
    <row r="254" spans="1:10" s="19" customFormat="1">
      <c r="A254" s="503"/>
      <c r="B254" s="21"/>
      <c r="C254" s="511"/>
      <c r="D254" s="452"/>
      <c r="E254" s="511"/>
      <c r="F254" s="452"/>
      <c r="G254" s="511"/>
      <c r="H254" s="452"/>
      <c r="I254" s="511"/>
      <c r="J254" s="452"/>
    </row>
    <row r="255" spans="1:10" s="19" customFormat="1">
      <c r="A255" s="503"/>
      <c r="B255" s="21"/>
      <c r="C255" s="511"/>
      <c r="D255" s="452"/>
      <c r="E255" s="511"/>
      <c r="F255" s="452"/>
      <c r="G255" s="511"/>
      <c r="H255" s="452"/>
      <c r="I255" s="511"/>
      <c r="J255" s="452"/>
    </row>
    <row r="256" spans="1:10" s="19" customFormat="1">
      <c r="A256" s="503"/>
      <c r="B256" s="21"/>
      <c r="C256" s="511"/>
      <c r="D256" s="452"/>
      <c r="E256" s="511"/>
      <c r="F256" s="452"/>
      <c r="G256" s="511"/>
      <c r="H256" s="452"/>
      <c r="I256" s="511"/>
      <c r="J256" s="452"/>
    </row>
    <row r="257" spans="1:10" s="19" customFormat="1">
      <c r="A257" s="503"/>
      <c r="B257" s="21"/>
      <c r="C257" s="511"/>
      <c r="D257" s="452"/>
      <c r="E257" s="511"/>
      <c r="F257" s="452"/>
      <c r="G257" s="511"/>
      <c r="H257" s="452"/>
      <c r="I257" s="511"/>
      <c r="J257" s="452"/>
    </row>
    <row r="258" spans="1:10" s="19" customFormat="1">
      <c r="A258" s="503"/>
      <c r="B258" s="21"/>
      <c r="C258" s="511"/>
      <c r="D258" s="452"/>
      <c r="E258" s="511"/>
      <c r="F258" s="452"/>
      <c r="G258" s="511"/>
      <c r="H258" s="452"/>
      <c r="I258" s="511"/>
      <c r="J258" s="452"/>
    </row>
    <row r="259" spans="1:10" s="19" customFormat="1">
      <c r="A259" s="503"/>
      <c r="B259" s="21"/>
      <c r="C259" s="511"/>
      <c r="D259" s="452"/>
      <c r="E259" s="511"/>
      <c r="F259" s="452"/>
      <c r="G259" s="511"/>
      <c r="H259" s="452"/>
      <c r="I259" s="511"/>
      <c r="J259" s="452"/>
    </row>
    <row r="260" spans="1:10" s="19" customFormat="1">
      <c r="A260" s="503"/>
      <c r="B260" s="21"/>
      <c r="C260" s="511"/>
      <c r="D260" s="452"/>
      <c r="E260" s="511"/>
      <c r="F260" s="452"/>
      <c r="G260" s="511"/>
      <c r="H260" s="452"/>
      <c r="I260" s="511"/>
      <c r="J260" s="452"/>
    </row>
    <row r="261" spans="1:10" s="19" customFormat="1">
      <c r="A261" s="503"/>
      <c r="B261" s="21"/>
      <c r="C261" s="511"/>
      <c r="D261" s="452"/>
      <c r="E261" s="511"/>
      <c r="F261" s="452"/>
      <c r="G261" s="511"/>
      <c r="H261" s="452"/>
      <c r="I261" s="511"/>
      <c r="J261" s="452"/>
    </row>
    <row r="262" spans="1:10" s="19" customFormat="1">
      <c r="A262" s="503"/>
      <c r="B262" s="21"/>
      <c r="C262" s="511"/>
      <c r="D262" s="452"/>
      <c r="E262" s="511"/>
      <c r="F262" s="452"/>
      <c r="G262" s="511"/>
      <c r="H262" s="452"/>
      <c r="I262" s="511"/>
      <c r="J262" s="452"/>
    </row>
    <row r="263" spans="1:10" s="19" customFormat="1">
      <c r="A263" s="503"/>
      <c r="B263" s="21"/>
      <c r="C263" s="511"/>
      <c r="D263" s="452"/>
      <c r="E263" s="511"/>
      <c r="F263" s="452"/>
      <c r="G263" s="511"/>
      <c r="H263" s="452"/>
      <c r="I263" s="511"/>
      <c r="J263" s="452"/>
    </row>
    <row r="264" spans="1:10" s="19" customFormat="1">
      <c r="A264" s="503"/>
      <c r="B264" s="21"/>
      <c r="C264" s="511"/>
      <c r="D264" s="452"/>
      <c r="E264" s="511"/>
      <c r="F264" s="452"/>
      <c r="G264" s="511"/>
      <c r="H264" s="452"/>
      <c r="I264" s="511"/>
      <c r="J264" s="452"/>
    </row>
    <row r="265" spans="1:10" s="19" customFormat="1">
      <c r="A265" s="503"/>
      <c r="B265" s="21"/>
      <c r="C265" s="511"/>
      <c r="D265" s="452"/>
      <c r="E265" s="511"/>
      <c r="F265" s="452"/>
      <c r="G265" s="511"/>
      <c r="H265" s="452"/>
      <c r="I265" s="511"/>
      <c r="J265" s="452"/>
    </row>
    <row r="266" spans="1:10" s="19" customFormat="1">
      <c r="A266" s="503"/>
      <c r="B266" s="21"/>
      <c r="C266" s="511"/>
      <c r="D266" s="452"/>
      <c r="E266" s="511"/>
      <c r="F266" s="452"/>
      <c r="G266" s="511"/>
      <c r="H266" s="452"/>
      <c r="I266" s="511"/>
      <c r="J266" s="452"/>
    </row>
    <row r="267" spans="1:10" s="19" customFormat="1">
      <c r="A267" s="503"/>
      <c r="B267" s="21"/>
      <c r="C267" s="511"/>
      <c r="D267" s="452"/>
      <c r="E267" s="511"/>
      <c r="F267" s="452"/>
      <c r="G267" s="511"/>
      <c r="H267" s="452"/>
      <c r="I267" s="511"/>
      <c r="J267" s="452"/>
    </row>
    <row r="268" spans="1:10" s="19" customFormat="1">
      <c r="A268" s="503"/>
      <c r="B268" s="21"/>
      <c r="C268" s="511"/>
      <c r="D268" s="452"/>
      <c r="E268" s="511"/>
      <c r="F268" s="452"/>
      <c r="G268" s="511"/>
      <c r="H268" s="452"/>
      <c r="I268" s="511"/>
      <c r="J268" s="452"/>
    </row>
    <row r="269" spans="1:10" s="19" customFormat="1">
      <c r="A269" s="503"/>
      <c r="B269" s="21"/>
      <c r="C269" s="511"/>
      <c r="D269" s="452"/>
      <c r="E269" s="511"/>
      <c r="F269" s="452"/>
      <c r="G269" s="511"/>
      <c r="H269" s="452"/>
      <c r="I269" s="511"/>
      <c r="J269" s="452"/>
    </row>
    <row r="270" spans="1:10" s="19" customFormat="1">
      <c r="A270" s="503"/>
      <c r="B270" s="21"/>
      <c r="C270" s="511"/>
      <c r="D270" s="452"/>
      <c r="E270" s="511"/>
      <c r="F270" s="452"/>
      <c r="G270" s="511"/>
      <c r="H270" s="452"/>
      <c r="I270" s="511"/>
      <c r="J270" s="452"/>
    </row>
    <row r="271" spans="1:10" s="19" customFormat="1">
      <c r="A271" s="503"/>
      <c r="B271" s="21"/>
      <c r="C271" s="511"/>
      <c r="D271" s="452"/>
      <c r="E271" s="511"/>
      <c r="F271" s="452"/>
      <c r="G271" s="511"/>
      <c r="H271" s="452"/>
      <c r="I271" s="511"/>
      <c r="J271" s="452"/>
    </row>
    <row r="272" spans="1:10" s="19" customFormat="1">
      <c r="A272" s="503"/>
      <c r="B272" s="21"/>
      <c r="C272" s="511"/>
      <c r="D272" s="452"/>
      <c r="E272" s="511"/>
      <c r="F272" s="452"/>
      <c r="G272" s="511"/>
      <c r="H272" s="452"/>
      <c r="I272" s="511"/>
      <c r="J272" s="452"/>
    </row>
    <row r="273" spans="1:10" s="19" customFormat="1">
      <c r="A273" s="503"/>
      <c r="B273" s="21"/>
      <c r="C273" s="511"/>
      <c r="D273" s="452"/>
      <c r="E273" s="511"/>
      <c r="F273" s="452"/>
      <c r="G273" s="511"/>
      <c r="H273" s="452"/>
      <c r="I273" s="511"/>
      <c r="J273" s="452"/>
    </row>
    <row r="274" spans="1:10" s="19" customFormat="1">
      <c r="A274" s="503"/>
      <c r="B274" s="21"/>
      <c r="C274" s="511"/>
      <c r="D274" s="452"/>
      <c r="E274" s="511"/>
      <c r="F274" s="452"/>
      <c r="G274" s="511"/>
      <c r="H274" s="452"/>
      <c r="I274" s="511"/>
      <c r="J274" s="452"/>
    </row>
    <row r="275" spans="1:10" s="19" customFormat="1">
      <c r="A275" s="503"/>
      <c r="B275" s="21"/>
      <c r="C275" s="511"/>
      <c r="D275" s="452"/>
      <c r="E275" s="511"/>
      <c r="F275" s="452"/>
      <c r="G275" s="511"/>
      <c r="H275" s="452"/>
      <c r="I275" s="511"/>
      <c r="J275" s="452"/>
    </row>
    <row r="276" spans="1:10" s="19" customFormat="1">
      <c r="A276" s="503"/>
      <c r="B276" s="21"/>
      <c r="C276" s="511"/>
      <c r="D276" s="452"/>
      <c r="E276" s="511"/>
      <c r="F276" s="452"/>
      <c r="G276" s="511"/>
      <c r="H276" s="452"/>
      <c r="I276" s="511"/>
      <c r="J276" s="452"/>
    </row>
    <row r="277" spans="1:10" s="19" customFormat="1">
      <c r="A277" s="503"/>
      <c r="B277" s="21"/>
      <c r="C277" s="511"/>
      <c r="D277" s="452"/>
      <c r="E277" s="511"/>
      <c r="F277" s="452"/>
      <c r="G277" s="511"/>
      <c r="H277" s="452"/>
      <c r="I277" s="511"/>
      <c r="J277" s="452"/>
    </row>
    <row r="278" spans="1:10" s="19" customFormat="1">
      <c r="A278" s="503"/>
      <c r="B278" s="21"/>
      <c r="C278" s="511"/>
      <c r="D278" s="452"/>
      <c r="E278" s="511"/>
      <c r="F278" s="452"/>
      <c r="G278" s="511"/>
      <c r="H278" s="452"/>
      <c r="I278" s="511"/>
      <c r="J278" s="452"/>
    </row>
    <row r="279" spans="1:10" s="19" customFormat="1">
      <c r="A279" s="503"/>
      <c r="B279" s="21"/>
      <c r="C279" s="511"/>
      <c r="D279" s="452"/>
      <c r="E279" s="511"/>
      <c r="F279" s="452"/>
      <c r="G279" s="511"/>
      <c r="H279" s="452"/>
      <c r="I279" s="511"/>
      <c r="J279" s="452"/>
    </row>
    <row r="280" spans="1:10" s="19" customFormat="1">
      <c r="A280" s="503"/>
      <c r="B280" s="21"/>
      <c r="C280" s="511"/>
      <c r="D280" s="452"/>
      <c r="E280" s="511"/>
      <c r="F280" s="452"/>
      <c r="G280" s="511"/>
      <c r="H280" s="452"/>
      <c r="I280" s="511"/>
      <c r="J280" s="452"/>
    </row>
    <row r="281" spans="1:10" s="19" customFormat="1">
      <c r="A281" s="503"/>
      <c r="B281" s="21"/>
      <c r="C281" s="511"/>
      <c r="D281" s="452"/>
      <c r="E281" s="511"/>
      <c r="F281" s="452"/>
      <c r="G281" s="511"/>
      <c r="H281" s="452"/>
      <c r="I281" s="511"/>
      <c r="J281" s="452"/>
    </row>
    <row r="282" spans="1:10" s="19" customFormat="1">
      <c r="A282" s="503"/>
      <c r="B282" s="21"/>
      <c r="C282" s="511"/>
      <c r="D282" s="452"/>
      <c r="E282" s="511"/>
      <c r="F282" s="452"/>
      <c r="G282" s="511"/>
      <c r="H282" s="452"/>
      <c r="I282" s="511"/>
      <c r="J282" s="452"/>
    </row>
    <row r="283" spans="1:10" s="19" customFormat="1">
      <c r="A283" s="503"/>
      <c r="B283" s="21"/>
      <c r="C283" s="511"/>
      <c r="D283" s="452"/>
      <c r="E283" s="511"/>
      <c r="F283" s="452"/>
      <c r="G283" s="511"/>
      <c r="H283" s="452"/>
      <c r="I283" s="511"/>
      <c r="J283" s="452"/>
    </row>
    <row r="284" spans="1:10" s="19" customFormat="1">
      <c r="A284" s="503"/>
      <c r="B284" s="21"/>
      <c r="C284" s="511"/>
      <c r="D284" s="452"/>
      <c r="E284" s="511"/>
      <c r="F284" s="452"/>
      <c r="G284" s="511"/>
      <c r="H284" s="452"/>
      <c r="I284" s="511"/>
      <c r="J284" s="452"/>
    </row>
    <row r="285" spans="1:10" s="19" customFormat="1">
      <c r="A285" s="503"/>
      <c r="B285" s="21"/>
      <c r="C285" s="511"/>
      <c r="D285" s="452"/>
      <c r="E285" s="511"/>
      <c r="F285" s="452"/>
      <c r="G285" s="511"/>
      <c r="H285" s="452"/>
      <c r="I285" s="511"/>
      <c r="J285" s="452"/>
    </row>
    <row r="286" spans="1:10" s="19" customFormat="1">
      <c r="A286" s="503"/>
      <c r="B286" s="21"/>
      <c r="C286" s="511"/>
      <c r="D286" s="452"/>
      <c r="E286" s="511"/>
      <c r="F286" s="452"/>
      <c r="G286" s="511"/>
      <c r="H286" s="452"/>
      <c r="I286" s="511"/>
      <c r="J286" s="452"/>
    </row>
    <row r="287" spans="1:10" s="19" customFormat="1">
      <c r="A287" s="503"/>
      <c r="B287" s="21"/>
      <c r="C287" s="511"/>
      <c r="D287" s="452"/>
      <c r="E287" s="511"/>
      <c r="F287" s="452"/>
      <c r="G287" s="511"/>
      <c r="H287" s="452"/>
      <c r="I287" s="511"/>
      <c r="J287" s="452"/>
    </row>
    <row r="288" spans="1:10" s="19" customFormat="1">
      <c r="A288" s="503"/>
      <c r="B288" s="21"/>
      <c r="C288" s="511"/>
      <c r="D288" s="452"/>
      <c r="E288" s="511"/>
      <c r="F288" s="452"/>
      <c r="G288" s="511"/>
      <c r="H288" s="452"/>
      <c r="I288" s="511"/>
      <c r="J288" s="452"/>
    </row>
    <row r="289" spans="1:10" s="19" customFormat="1">
      <c r="A289" s="503"/>
      <c r="B289" s="21"/>
      <c r="C289" s="511"/>
      <c r="D289" s="452"/>
      <c r="E289" s="511"/>
      <c r="F289" s="452"/>
      <c r="G289" s="511"/>
      <c r="H289" s="452"/>
      <c r="I289" s="511"/>
      <c r="J289" s="452"/>
    </row>
    <row r="290" spans="1:10" s="19" customFormat="1">
      <c r="A290" s="503"/>
      <c r="B290" s="21"/>
      <c r="C290" s="511"/>
      <c r="D290" s="452"/>
      <c r="E290" s="511"/>
      <c r="F290" s="452"/>
      <c r="G290" s="511"/>
      <c r="H290" s="452"/>
      <c r="I290" s="511"/>
      <c r="J290" s="452"/>
    </row>
    <row r="291" spans="1:10" s="19" customFormat="1">
      <c r="A291" s="503"/>
      <c r="B291" s="21"/>
      <c r="C291" s="511"/>
      <c r="D291" s="452"/>
      <c r="E291" s="511"/>
      <c r="F291" s="452"/>
      <c r="G291" s="511"/>
      <c r="H291" s="452"/>
      <c r="I291" s="511"/>
      <c r="J291" s="452"/>
    </row>
    <row r="292" spans="1:10" s="19" customFormat="1">
      <c r="A292" s="503"/>
      <c r="B292" s="21"/>
      <c r="C292" s="511"/>
      <c r="D292" s="452"/>
      <c r="E292" s="511"/>
      <c r="F292" s="452"/>
      <c r="G292" s="511"/>
      <c r="H292" s="452"/>
      <c r="I292" s="511"/>
      <c r="J292" s="452"/>
    </row>
    <row r="293" spans="1:10" s="19" customFormat="1">
      <c r="A293" s="503"/>
      <c r="B293" s="21"/>
      <c r="C293" s="511"/>
      <c r="D293" s="452"/>
      <c r="E293" s="511"/>
      <c r="F293" s="452"/>
      <c r="G293" s="511"/>
      <c r="H293" s="452"/>
      <c r="I293" s="511"/>
      <c r="J293" s="452"/>
    </row>
    <row r="294" spans="1:10" s="19" customFormat="1">
      <c r="A294" s="503"/>
      <c r="B294" s="21"/>
      <c r="C294" s="511"/>
      <c r="D294" s="452"/>
      <c r="E294" s="511"/>
      <c r="F294" s="452"/>
      <c r="G294" s="511"/>
      <c r="H294" s="452"/>
      <c r="I294" s="511"/>
      <c r="J294" s="452"/>
    </row>
    <row r="295" spans="1:10" s="19" customFormat="1">
      <c r="A295" s="503"/>
      <c r="B295" s="21"/>
      <c r="C295" s="511"/>
      <c r="D295" s="452"/>
      <c r="E295" s="511"/>
      <c r="F295" s="452"/>
      <c r="G295" s="511"/>
      <c r="H295" s="452"/>
      <c r="I295" s="511"/>
      <c r="J295" s="452"/>
    </row>
    <row r="296" spans="1:10" s="19" customFormat="1">
      <c r="A296" s="503"/>
      <c r="B296" s="21"/>
      <c r="C296" s="511"/>
      <c r="D296" s="452"/>
      <c r="E296" s="511"/>
      <c r="F296" s="452"/>
      <c r="G296" s="511"/>
      <c r="H296" s="452"/>
      <c r="I296" s="511"/>
      <c r="J296" s="452"/>
    </row>
    <row r="297" spans="1:10" s="19" customFormat="1">
      <c r="A297" s="503"/>
      <c r="B297" s="21"/>
      <c r="C297" s="511"/>
      <c r="D297" s="452"/>
      <c r="E297" s="511"/>
      <c r="F297" s="452"/>
      <c r="G297" s="511"/>
      <c r="H297" s="452"/>
      <c r="I297" s="511"/>
      <c r="J297" s="452"/>
    </row>
    <row r="298" spans="1:10" s="19" customFormat="1">
      <c r="A298" s="503"/>
      <c r="B298" s="21"/>
      <c r="C298" s="511"/>
      <c r="D298" s="452"/>
      <c r="E298" s="511"/>
      <c r="F298" s="452"/>
      <c r="G298" s="511"/>
      <c r="H298" s="452"/>
      <c r="I298" s="511"/>
      <c r="J298" s="452"/>
    </row>
    <row r="299" spans="1:10" s="19" customFormat="1">
      <c r="A299" s="503"/>
      <c r="B299" s="21"/>
      <c r="C299" s="511"/>
      <c r="D299" s="452"/>
      <c r="E299" s="511"/>
      <c r="F299" s="452"/>
      <c r="G299" s="511"/>
      <c r="H299" s="452"/>
      <c r="I299" s="511"/>
      <c r="J299" s="452"/>
    </row>
    <row r="300" spans="1:10" s="19" customFormat="1">
      <c r="A300" s="503"/>
      <c r="B300" s="21"/>
      <c r="C300" s="511"/>
      <c r="D300" s="452"/>
      <c r="E300" s="511"/>
      <c r="F300" s="452"/>
      <c r="G300" s="511"/>
      <c r="H300" s="452"/>
      <c r="I300" s="511"/>
      <c r="J300" s="452"/>
    </row>
    <row r="301" spans="1:10" s="19" customFormat="1">
      <c r="A301" s="503"/>
      <c r="B301" s="21"/>
      <c r="C301" s="511"/>
      <c r="D301" s="452"/>
      <c r="E301" s="511"/>
      <c r="F301" s="452"/>
      <c r="G301" s="511"/>
      <c r="H301" s="452"/>
      <c r="I301" s="511"/>
      <c r="J301" s="452"/>
    </row>
    <row r="302" spans="1:10" s="19" customFormat="1">
      <c r="A302" s="503"/>
      <c r="B302" s="21"/>
      <c r="C302" s="511"/>
      <c r="D302" s="452"/>
      <c r="E302" s="511"/>
      <c r="F302" s="452"/>
      <c r="G302" s="511"/>
      <c r="H302" s="452"/>
      <c r="I302" s="511"/>
      <c r="J302" s="452"/>
    </row>
    <row r="303" spans="1:10" s="19" customFormat="1">
      <c r="A303" s="503"/>
      <c r="B303" s="21"/>
      <c r="C303" s="511"/>
      <c r="D303" s="452"/>
      <c r="E303" s="511"/>
      <c r="F303" s="452"/>
      <c r="G303" s="511"/>
      <c r="H303" s="452"/>
      <c r="I303" s="511"/>
      <c r="J303" s="452"/>
    </row>
    <row r="304" spans="1:10" s="19" customFormat="1">
      <c r="A304" s="503"/>
      <c r="B304" s="21"/>
      <c r="C304" s="511"/>
      <c r="D304" s="452"/>
      <c r="E304" s="511"/>
      <c r="F304" s="452"/>
      <c r="G304" s="511"/>
      <c r="H304" s="452"/>
      <c r="I304" s="511"/>
      <c r="J304" s="452"/>
    </row>
    <row r="305" spans="1:10" s="19" customFormat="1">
      <c r="A305" s="503"/>
      <c r="B305" s="21"/>
      <c r="C305" s="511"/>
      <c r="D305" s="452"/>
      <c r="E305" s="511"/>
      <c r="F305" s="452"/>
      <c r="G305" s="511"/>
      <c r="H305" s="452"/>
      <c r="I305" s="511"/>
      <c r="J305" s="452"/>
    </row>
    <row r="306" spans="1:10" s="19" customFormat="1">
      <c r="A306" s="503"/>
      <c r="B306" s="21"/>
      <c r="C306" s="511"/>
      <c r="D306" s="452"/>
      <c r="E306" s="511"/>
      <c r="F306" s="452"/>
      <c r="G306" s="511"/>
      <c r="H306" s="452"/>
      <c r="I306" s="511"/>
      <c r="J306" s="452"/>
    </row>
    <row r="307" spans="1:10" s="19" customFormat="1">
      <c r="A307" s="503"/>
      <c r="B307" s="21"/>
      <c r="C307" s="511"/>
      <c r="D307" s="452"/>
      <c r="E307" s="511"/>
      <c r="F307" s="452"/>
      <c r="G307" s="511"/>
      <c r="H307" s="452"/>
      <c r="I307" s="511"/>
      <c r="J307" s="452"/>
    </row>
    <row r="308" spans="1:10" s="19" customFormat="1">
      <c r="A308" s="503"/>
      <c r="B308" s="21"/>
      <c r="C308" s="511"/>
      <c r="D308" s="452"/>
      <c r="E308" s="511"/>
      <c r="F308" s="452"/>
      <c r="G308" s="511"/>
      <c r="H308" s="452"/>
      <c r="I308" s="511"/>
      <c r="J308" s="452"/>
    </row>
    <row r="309" spans="1:10" s="19" customFormat="1">
      <c r="A309" s="503"/>
      <c r="B309" s="21"/>
      <c r="C309" s="511"/>
      <c r="D309" s="452"/>
      <c r="E309" s="511"/>
      <c r="F309" s="452"/>
      <c r="G309" s="511"/>
      <c r="H309" s="452"/>
      <c r="I309" s="511"/>
      <c r="J309" s="452"/>
    </row>
    <row r="310" spans="1:10" s="19" customFormat="1">
      <c r="A310" s="503"/>
      <c r="B310" s="21"/>
      <c r="C310" s="511"/>
      <c r="D310" s="452"/>
      <c r="E310" s="511"/>
      <c r="F310" s="452"/>
      <c r="G310" s="511"/>
      <c r="H310" s="452"/>
      <c r="I310" s="511"/>
      <c r="J310" s="452"/>
    </row>
    <row r="311" spans="1:10" s="19" customFormat="1">
      <c r="A311" s="503"/>
      <c r="B311" s="21"/>
      <c r="C311" s="511"/>
      <c r="D311" s="452"/>
      <c r="E311" s="511"/>
      <c r="F311" s="452"/>
      <c r="G311" s="511"/>
      <c r="H311" s="452"/>
      <c r="I311" s="511"/>
      <c r="J311" s="452"/>
    </row>
    <row r="312" spans="1:10" s="19" customFormat="1">
      <c r="A312" s="503"/>
      <c r="B312" s="21"/>
      <c r="C312" s="511"/>
      <c r="D312" s="452"/>
      <c r="E312" s="511"/>
      <c r="F312" s="452"/>
      <c r="G312" s="511"/>
      <c r="H312" s="452"/>
      <c r="I312" s="511"/>
      <c r="J312" s="452"/>
    </row>
    <row r="313" spans="1:10" s="19" customFormat="1">
      <c r="A313" s="503"/>
      <c r="B313" s="21"/>
      <c r="C313" s="511"/>
      <c r="D313" s="452"/>
      <c r="E313" s="511"/>
      <c r="F313" s="452"/>
      <c r="G313" s="511"/>
      <c r="H313" s="452"/>
      <c r="I313" s="511"/>
      <c r="J313" s="452"/>
    </row>
    <row r="314" spans="1:10" s="19" customFormat="1">
      <c r="A314" s="503"/>
      <c r="B314" s="21"/>
      <c r="C314" s="511"/>
      <c r="D314" s="452"/>
      <c r="E314" s="511"/>
      <c r="F314" s="452"/>
      <c r="G314" s="511"/>
      <c r="H314" s="452"/>
      <c r="I314" s="511"/>
      <c r="J314" s="452"/>
    </row>
    <row r="315" spans="1:10" s="19" customFormat="1">
      <c r="A315" s="503"/>
      <c r="B315" s="21"/>
      <c r="C315" s="511"/>
      <c r="D315" s="452"/>
      <c r="E315" s="511"/>
      <c r="F315" s="452"/>
      <c r="G315" s="511"/>
      <c r="H315" s="452"/>
      <c r="I315" s="511"/>
      <c r="J315" s="452"/>
    </row>
    <row r="316" spans="1:10" s="19" customFormat="1">
      <c r="A316" s="503"/>
      <c r="B316" s="21"/>
      <c r="C316" s="511"/>
      <c r="D316" s="452"/>
      <c r="E316" s="511"/>
      <c r="F316" s="452"/>
      <c r="G316" s="511"/>
      <c r="H316" s="452"/>
      <c r="I316" s="511"/>
      <c r="J316" s="452"/>
    </row>
    <row r="317" spans="1:10" s="19" customFormat="1">
      <c r="A317" s="503"/>
      <c r="B317" s="21"/>
      <c r="C317" s="511"/>
      <c r="D317" s="452"/>
      <c r="E317" s="511"/>
      <c r="F317" s="452"/>
      <c r="G317" s="511"/>
      <c r="H317" s="452"/>
      <c r="I317" s="511"/>
      <c r="J317" s="452"/>
    </row>
    <row r="318" spans="1:10" s="19" customFormat="1">
      <c r="A318" s="503"/>
      <c r="B318" s="21"/>
      <c r="C318" s="511"/>
      <c r="D318" s="452"/>
      <c r="E318" s="511"/>
      <c r="F318" s="452"/>
      <c r="G318" s="511"/>
      <c r="H318" s="452"/>
      <c r="I318" s="511"/>
      <c r="J318" s="452"/>
    </row>
    <row r="319" spans="1:10" s="19" customFormat="1">
      <c r="A319" s="503"/>
      <c r="B319" s="21"/>
      <c r="C319" s="511"/>
      <c r="D319" s="452"/>
      <c r="E319" s="511"/>
      <c r="F319" s="452"/>
      <c r="G319" s="511"/>
      <c r="H319" s="452"/>
      <c r="I319" s="511"/>
      <c r="J319" s="452"/>
    </row>
    <row r="320" spans="1:10" s="19" customFormat="1">
      <c r="A320" s="503"/>
      <c r="B320" s="21"/>
      <c r="C320" s="511"/>
      <c r="D320" s="452"/>
      <c r="E320" s="511"/>
      <c r="F320" s="452"/>
      <c r="G320" s="511"/>
      <c r="H320" s="452"/>
      <c r="I320" s="511"/>
      <c r="J320" s="452"/>
    </row>
    <row r="321" spans="1:10" s="19" customFormat="1">
      <c r="A321" s="503"/>
      <c r="B321" s="21"/>
      <c r="C321" s="511"/>
      <c r="D321" s="452"/>
      <c r="E321" s="511"/>
      <c r="F321" s="452"/>
      <c r="G321" s="511"/>
      <c r="H321" s="452"/>
      <c r="I321" s="511"/>
      <c r="J321" s="452"/>
    </row>
    <row r="322" spans="1:10" s="19" customFormat="1">
      <c r="A322" s="503"/>
      <c r="B322" s="21"/>
      <c r="C322" s="511"/>
      <c r="D322" s="452"/>
      <c r="E322" s="511"/>
      <c r="F322" s="452"/>
      <c r="G322" s="511"/>
      <c r="H322" s="452"/>
      <c r="I322" s="511"/>
      <c r="J322" s="452"/>
    </row>
    <row r="323" spans="1:10" s="19" customFormat="1">
      <c r="A323" s="503"/>
      <c r="B323" s="21"/>
      <c r="C323" s="511"/>
      <c r="D323" s="452"/>
      <c r="E323" s="511"/>
      <c r="F323" s="452"/>
      <c r="G323" s="511"/>
      <c r="H323" s="452"/>
      <c r="I323" s="511"/>
      <c r="J323" s="452"/>
    </row>
    <row r="324" spans="1:10" s="19" customFormat="1">
      <c r="A324" s="503"/>
      <c r="B324" s="21"/>
      <c r="C324" s="511"/>
      <c r="D324" s="452"/>
      <c r="E324" s="511"/>
      <c r="F324" s="452"/>
      <c r="G324" s="511"/>
      <c r="H324" s="452"/>
      <c r="I324" s="511"/>
      <c r="J324" s="452"/>
    </row>
    <row r="325" spans="1:10" s="19" customFormat="1">
      <c r="A325" s="503"/>
      <c r="B325" s="21"/>
      <c r="C325" s="511"/>
      <c r="D325" s="452"/>
      <c r="E325" s="511"/>
      <c r="F325" s="452"/>
      <c r="G325" s="511"/>
      <c r="H325" s="452"/>
      <c r="I325" s="511"/>
      <c r="J325" s="452"/>
    </row>
    <row r="326" spans="1:10" s="19" customFormat="1">
      <c r="A326" s="503"/>
      <c r="B326" s="21"/>
      <c r="C326" s="511"/>
      <c r="D326" s="452"/>
      <c r="E326" s="511"/>
      <c r="F326" s="452"/>
      <c r="G326" s="511"/>
      <c r="H326" s="452"/>
      <c r="I326" s="511"/>
      <c r="J326" s="452"/>
    </row>
    <row r="327" spans="1:10" s="19" customFormat="1">
      <c r="A327" s="503"/>
      <c r="B327" s="21"/>
      <c r="C327" s="511"/>
      <c r="D327" s="452"/>
      <c r="E327" s="511"/>
      <c r="F327" s="452"/>
      <c r="G327" s="511"/>
      <c r="H327" s="452"/>
      <c r="I327" s="511"/>
      <c r="J327" s="452"/>
    </row>
    <row r="328" spans="1:10" s="19" customFormat="1">
      <c r="A328" s="503"/>
      <c r="B328" s="21"/>
      <c r="C328" s="511"/>
      <c r="D328" s="452"/>
      <c r="E328" s="511"/>
      <c r="F328" s="452"/>
      <c r="G328" s="511"/>
      <c r="H328" s="452"/>
      <c r="I328" s="511"/>
      <c r="J328" s="452"/>
    </row>
    <row r="329" spans="1:10" s="19" customFormat="1">
      <c r="A329" s="503"/>
      <c r="B329" s="21"/>
      <c r="C329" s="511"/>
      <c r="D329" s="452"/>
      <c r="E329" s="511"/>
      <c r="F329" s="452"/>
      <c r="G329" s="511"/>
      <c r="H329" s="452"/>
      <c r="I329" s="511"/>
      <c r="J329" s="452"/>
    </row>
    <row r="330" spans="1:10" s="19" customFormat="1">
      <c r="A330" s="503"/>
      <c r="B330" s="21"/>
      <c r="C330" s="511"/>
      <c r="D330" s="452"/>
      <c r="E330" s="511"/>
      <c r="F330" s="452"/>
      <c r="G330" s="511"/>
      <c r="H330" s="452"/>
      <c r="I330" s="511"/>
      <c r="J330" s="452"/>
    </row>
    <row r="331" spans="1:10" s="19" customFormat="1">
      <c r="A331" s="503"/>
      <c r="B331" s="21"/>
      <c r="C331" s="511"/>
      <c r="D331" s="452"/>
      <c r="E331" s="511"/>
      <c r="F331" s="452"/>
      <c r="G331" s="511"/>
      <c r="H331" s="452"/>
      <c r="I331" s="511"/>
      <c r="J331" s="452"/>
    </row>
    <row r="332" spans="1:10" s="19" customFormat="1">
      <c r="A332" s="503"/>
      <c r="B332" s="21"/>
      <c r="C332" s="511"/>
      <c r="D332" s="452"/>
      <c r="E332" s="511"/>
      <c r="F332" s="452"/>
      <c r="G332" s="511"/>
      <c r="H332" s="452"/>
      <c r="I332" s="511"/>
      <c r="J332" s="452"/>
    </row>
    <row r="333" spans="1:10" s="19" customFormat="1">
      <c r="A333" s="503"/>
      <c r="B333" s="21"/>
      <c r="C333" s="511"/>
      <c r="D333" s="452"/>
      <c r="E333" s="511"/>
      <c r="F333" s="452"/>
      <c r="G333" s="511"/>
      <c r="H333" s="452"/>
      <c r="I333" s="511"/>
      <c r="J333" s="452"/>
    </row>
    <row r="334" spans="1:10" s="19" customFormat="1">
      <c r="A334" s="503"/>
      <c r="B334" s="21"/>
      <c r="C334" s="511"/>
      <c r="D334" s="452"/>
      <c r="E334" s="511"/>
      <c r="F334" s="452"/>
      <c r="G334" s="511"/>
      <c r="H334" s="452"/>
      <c r="I334" s="511"/>
      <c r="J334" s="452"/>
    </row>
    <row r="335" spans="1:10" s="19" customFormat="1">
      <c r="A335" s="503"/>
      <c r="B335" s="21"/>
      <c r="C335" s="511"/>
      <c r="D335" s="452"/>
      <c r="E335" s="511"/>
      <c r="F335" s="452"/>
      <c r="G335" s="511"/>
      <c r="H335" s="452"/>
      <c r="I335" s="511"/>
      <c r="J335" s="452"/>
    </row>
    <row r="336" spans="1:10" s="19" customFormat="1">
      <c r="A336" s="503"/>
      <c r="B336" s="21"/>
      <c r="C336" s="511"/>
      <c r="D336" s="452"/>
      <c r="E336" s="511"/>
      <c r="F336" s="452"/>
      <c r="G336" s="511"/>
      <c r="H336" s="452"/>
      <c r="I336" s="511"/>
      <c r="J336" s="452"/>
    </row>
    <row r="337" spans="1:10" s="19" customFormat="1">
      <c r="A337" s="503"/>
      <c r="B337" s="21"/>
      <c r="C337" s="511"/>
      <c r="D337" s="452"/>
      <c r="E337" s="511"/>
      <c r="F337" s="452"/>
      <c r="G337" s="511"/>
      <c r="H337" s="452"/>
      <c r="I337" s="511"/>
      <c r="J337" s="452"/>
    </row>
    <row r="338" spans="1:10" s="19" customFormat="1">
      <c r="A338" s="503"/>
      <c r="B338" s="21"/>
      <c r="C338" s="511"/>
      <c r="D338" s="452"/>
      <c r="E338" s="511"/>
      <c r="F338" s="452"/>
      <c r="G338" s="511"/>
      <c r="H338" s="452"/>
      <c r="I338" s="511"/>
      <c r="J338" s="452"/>
    </row>
    <row r="339" spans="1:10" s="19" customFormat="1">
      <c r="A339" s="503"/>
      <c r="B339" s="21"/>
      <c r="C339" s="511"/>
      <c r="D339" s="452"/>
      <c r="E339" s="511"/>
      <c r="F339" s="452"/>
      <c r="G339" s="511"/>
      <c r="H339" s="452"/>
      <c r="I339" s="511"/>
      <c r="J339" s="452"/>
    </row>
    <row r="340" spans="1:10" s="19" customFormat="1">
      <c r="A340" s="503"/>
      <c r="B340" s="21"/>
      <c r="C340" s="511"/>
      <c r="D340" s="452"/>
      <c r="E340" s="511"/>
      <c r="F340" s="452"/>
      <c r="G340" s="511"/>
      <c r="H340" s="452"/>
      <c r="I340" s="511"/>
      <c r="J340" s="452"/>
    </row>
    <row r="341" spans="1:10" s="19" customFormat="1">
      <c r="A341" s="503"/>
      <c r="B341" s="21"/>
      <c r="C341" s="511"/>
      <c r="D341" s="452"/>
      <c r="E341" s="511"/>
      <c r="F341" s="452"/>
      <c r="G341" s="511"/>
      <c r="H341" s="452"/>
      <c r="I341" s="511"/>
      <c r="J341" s="452"/>
    </row>
    <row r="342" spans="1:10" s="19" customFormat="1">
      <c r="A342" s="503"/>
      <c r="B342" s="21"/>
      <c r="C342" s="511"/>
      <c r="D342" s="452"/>
      <c r="E342" s="511"/>
      <c r="F342" s="452"/>
      <c r="G342" s="511"/>
      <c r="H342" s="452"/>
      <c r="I342" s="511"/>
      <c r="J342" s="452"/>
    </row>
    <row r="343" spans="1:10" s="19" customFormat="1">
      <c r="A343" s="503"/>
      <c r="B343" s="21"/>
      <c r="C343" s="511"/>
      <c r="D343" s="452"/>
      <c r="E343" s="511"/>
      <c r="F343" s="452"/>
      <c r="G343" s="511"/>
      <c r="H343" s="452"/>
      <c r="I343" s="511"/>
      <c r="J343" s="452"/>
    </row>
    <row r="344" spans="1:10" s="19" customFormat="1">
      <c r="A344" s="503"/>
      <c r="B344" s="21"/>
      <c r="C344" s="511"/>
      <c r="D344" s="452"/>
      <c r="E344" s="511"/>
      <c r="F344" s="452"/>
      <c r="G344" s="511"/>
      <c r="H344" s="452"/>
      <c r="I344" s="511"/>
      <c r="J344" s="452"/>
    </row>
    <row r="345" spans="1:10" s="19" customFormat="1">
      <c r="A345" s="503"/>
      <c r="B345" s="21"/>
      <c r="C345" s="511"/>
      <c r="D345" s="452"/>
      <c r="E345" s="511"/>
      <c r="F345" s="452"/>
      <c r="G345" s="511"/>
      <c r="H345" s="452"/>
      <c r="I345" s="511"/>
      <c r="J345" s="452"/>
    </row>
    <row r="346" spans="1:10" s="19" customFormat="1">
      <c r="A346" s="503"/>
      <c r="B346" s="21"/>
      <c r="C346" s="511"/>
      <c r="D346" s="452"/>
      <c r="E346" s="511"/>
      <c r="F346" s="452"/>
      <c r="G346" s="511"/>
      <c r="H346" s="452"/>
      <c r="I346" s="511"/>
      <c r="J346" s="452"/>
    </row>
    <row r="347" spans="1:10" s="19" customFormat="1">
      <c r="A347" s="503"/>
      <c r="B347" s="21"/>
      <c r="C347" s="511"/>
      <c r="D347" s="452"/>
      <c r="E347" s="511"/>
      <c r="F347" s="452"/>
      <c r="G347" s="511"/>
      <c r="H347" s="452"/>
      <c r="I347" s="511"/>
      <c r="J347" s="452"/>
    </row>
    <row r="348" spans="1:10" s="19" customFormat="1">
      <c r="A348" s="503"/>
      <c r="B348" s="21"/>
      <c r="C348" s="511"/>
      <c r="D348" s="452"/>
      <c r="E348" s="511"/>
      <c r="F348" s="452"/>
      <c r="G348" s="511"/>
      <c r="H348" s="452"/>
      <c r="I348" s="511"/>
      <c r="J348" s="452"/>
    </row>
    <row r="349" spans="1:10" s="19" customFormat="1">
      <c r="A349" s="503"/>
      <c r="B349" s="21"/>
      <c r="C349" s="511"/>
      <c r="D349" s="452"/>
      <c r="E349" s="511"/>
      <c r="F349" s="452"/>
      <c r="G349" s="511"/>
      <c r="H349" s="452"/>
      <c r="I349" s="511"/>
      <c r="J349" s="452"/>
    </row>
    <row r="350" spans="1:10" s="19" customFormat="1">
      <c r="A350" s="503"/>
      <c r="B350" s="21"/>
      <c r="C350" s="511"/>
      <c r="D350" s="452"/>
      <c r="E350" s="511"/>
      <c r="F350" s="452"/>
      <c r="G350" s="511"/>
      <c r="H350" s="452"/>
      <c r="I350" s="511"/>
      <c r="J350" s="452"/>
    </row>
    <row r="351" spans="1:10" s="19" customFormat="1">
      <c r="A351" s="503"/>
      <c r="B351" s="21"/>
      <c r="C351" s="511"/>
      <c r="D351" s="452"/>
      <c r="E351" s="511"/>
      <c r="F351" s="452"/>
      <c r="G351" s="511"/>
      <c r="H351" s="452"/>
      <c r="I351" s="511"/>
      <c r="J351" s="452"/>
    </row>
    <row r="352" spans="1:10" s="19" customFormat="1">
      <c r="A352" s="503"/>
      <c r="B352" s="21"/>
      <c r="C352" s="511"/>
      <c r="D352" s="452"/>
      <c r="E352" s="511"/>
      <c r="F352" s="452"/>
      <c r="G352" s="511"/>
      <c r="H352" s="452"/>
      <c r="I352" s="511"/>
      <c r="J352" s="452"/>
    </row>
    <row r="353" spans="1:10" s="19" customFormat="1">
      <c r="A353" s="503"/>
      <c r="B353" s="21"/>
      <c r="C353" s="511"/>
      <c r="D353" s="452"/>
      <c r="E353" s="511"/>
      <c r="F353" s="452"/>
      <c r="G353" s="511"/>
      <c r="H353" s="452"/>
      <c r="I353" s="511"/>
      <c r="J353" s="452"/>
    </row>
    <row r="354" spans="1:10" s="19" customFormat="1">
      <c r="A354" s="503"/>
      <c r="B354" s="21"/>
      <c r="C354" s="511"/>
      <c r="D354" s="452"/>
      <c r="E354" s="511"/>
      <c r="F354" s="452"/>
      <c r="G354" s="511"/>
      <c r="H354" s="452"/>
      <c r="I354" s="511"/>
      <c r="J354" s="452"/>
    </row>
    <row r="355" spans="1:10" s="19" customFormat="1">
      <c r="A355" s="503"/>
      <c r="B355" s="21"/>
      <c r="C355" s="511"/>
      <c r="D355" s="452"/>
      <c r="E355" s="511"/>
      <c r="F355" s="452"/>
      <c r="G355" s="511"/>
      <c r="H355" s="452"/>
      <c r="I355" s="511"/>
      <c r="J355" s="452"/>
    </row>
    <row r="356" spans="1:10" s="19" customFormat="1">
      <c r="A356" s="503"/>
      <c r="B356" s="21"/>
      <c r="C356" s="511"/>
      <c r="D356" s="452"/>
      <c r="E356" s="511"/>
      <c r="F356" s="452"/>
      <c r="G356" s="511"/>
      <c r="H356" s="452"/>
      <c r="I356" s="511"/>
      <c r="J356" s="452"/>
    </row>
    <row r="357" spans="1:10" s="19" customFormat="1">
      <c r="A357" s="503"/>
      <c r="B357" s="21"/>
      <c r="C357" s="511"/>
      <c r="D357" s="452"/>
      <c r="E357" s="511"/>
      <c r="F357" s="452"/>
      <c r="G357" s="511"/>
      <c r="H357" s="452"/>
      <c r="I357" s="511"/>
      <c r="J357" s="452"/>
    </row>
    <row r="358" spans="1:10" s="19" customFormat="1">
      <c r="A358" s="503"/>
      <c r="B358" s="21"/>
      <c r="C358" s="511"/>
      <c r="D358" s="452"/>
      <c r="E358" s="511"/>
      <c r="F358" s="452"/>
      <c r="G358" s="511"/>
      <c r="H358" s="452"/>
      <c r="I358" s="511"/>
      <c r="J358" s="452"/>
    </row>
    <row r="359" spans="1:10" s="19" customFormat="1">
      <c r="A359" s="503"/>
      <c r="B359" s="21"/>
      <c r="C359" s="511"/>
      <c r="D359" s="452"/>
      <c r="E359" s="511"/>
      <c r="F359" s="452"/>
      <c r="G359" s="511"/>
      <c r="H359" s="452"/>
      <c r="I359" s="511"/>
      <c r="J359" s="452"/>
    </row>
    <row r="360" spans="1:10" s="19" customFormat="1">
      <c r="A360" s="503"/>
      <c r="B360" s="21"/>
      <c r="C360" s="511"/>
      <c r="D360" s="452"/>
      <c r="E360" s="511"/>
      <c r="F360" s="452"/>
      <c r="G360" s="511"/>
      <c r="H360" s="452"/>
      <c r="I360" s="511"/>
      <c r="J360" s="452"/>
    </row>
    <row r="361" spans="1:10" s="19" customFormat="1">
      <c r="A361" s="503"/>
      <c r="B361" s="21"/>
      <c r="C361" s="511"/>
      <c r="D361" s="452"/>
      <c r="E361" s="511"/>
      <c r="F361" s="452"/>
      <c r="G361" s="511"/>
      <c r="H361" s="452"/>
      <c r="I361" s="511"/>
      <c r="J361" s="452"/>
    </row>
    <row r="362" spans="1:10" s="19" customFormat="1">
      <c r="A362" s="503"/>
      <c r="B362" s="21"/>
      <c r="C362" s="511"/>
      <c r="D362" s="452"/>
      <c r="E362" s="511"/>
      <c r="F362" s="452"/>
      <c r="G362" s="511"/>
      <c r="H362" s="452"/>
      <c r="I362" s="511"/>
      <c r="J362" s="452"/>
    </row>
    <row r="363" spans="1:10" s="19" customFormat="1">
      <c r="A363" s="503"/>
      <c r="B363" s="21"/>
      <c r="C363" s="511"/>
      <c r="D363" s="452"/>
      <c r="E363" s="511"/>
      <c r="F363" s="452"/>
      <c r="G363" s="511"/>
      <c r="H363" s="452"/>
      <c r="I363" s="511"/>
      <c r="J363" s="452"/>
    </row>
    <row r="364" spans="1:10" s="19" customFormat="1">
      <c r="A364" s="503"/>
      <c r="B364" s="21"/>
      <c r="C364" s="511"/>
      <c r="D364" s="452"/>
      <c r="E364" s="511"/>
      <c r="F364" s="452"/>
      <c r="G364" s="511"/>
      <c r="H364" s="452"/>
      <c r="I364" s="511"/>
      <c r="J364" s="452"/>
    </row>
    <row r="365" spans="1:10" s="19" customFormat="1">
      <c r="A365" s="503"/>
      <c r="B365" s="21"/>
      <c r="C365" s="511"/>
      <c r="D365" s="452"/>
      <c r="E365" s="511"/>
      <c r="F365" s="452"/>
      <c r="G365" s="511"/>
      <c r="H365" s="452"/>
      <c r="I365" s="511"/>
      <c r="J365" s="452"/>
    </row>
    <row r="366" spans="1:10" s="19" customFormat="1">
      <c r="A366" s="503"/>
      <c r="B366" s="21"/>
      <c r="C366" s="511"/>
      <c r="D366" s="452"/>
      <c r="E366" s="511"/>
      <c r="F366" s="452"/>
      <c r="G366" s="511"/>
      <c r="H366" s="452"/>
      <c r="I366" s="511"/>
      <c r="J366" s="452"/>
    </row>
    <row r="367" spans="1:10" s="19" customFormat="1">
      <c r="A367" s="503"/>
      <c r="B367" s="21"/>
      <c r="C367" s="511"/>
      <c r="D367" s="452"/>
      <c r="E367" s="511"/>
      <c r="F367" s="452"/>
      <c r="G367" s="511"/>
      <c r="H367" s="452"/>
      <c r="I367" s="511"/>
      <c r="J367" s="452"/>
    </row>
    <row r="368" spans="1:10" s="19" customFormat="1">
      <c r="A368" s="503"/>
      <c r="B368" s="21"/>
      <c r="C368" s="511"/>
      <c r="D368" s="452"/>
      <c r="E368" s="511"/>
      <c r="F368" s="452"/>
      <c r="G368" s="511"/>
      <c r="H368" s="452"/>
      <c r="I368" s="511"/>
      <c r="J368" s="452"/>
    </row>
    <row r="369" spans="1:10" s="19" customFormat="1">
      <c r="A369" s="503"/>
      <c r="B369" s="21"/>
      <c r="C369" s="511"/>
      <c r="D369" s="452"/>
      <c r="E369" s="511"/>
      <c r="F369" s="452"/>
      <c r="G369" s="511"/>
      <c r="H369" s="452"/>
      <c r="I369" s="511"/>
      <c r="J369" s="452"/>
    </row>
    <row r="370" spans="1:10" s="19" customFormat="1">
      <c r="A370" s="503"/>
      <c r="B370" s="21"/>
      <c r="C370" s="511"/>
      <c r="D370" s="452"/>
      <c r="E370" s="511"/>
      <c r="F370" s="452"/>
      <c r="G370" s="511"/>
      <c r="H370" s="452"/>
      <c r="I370" s="511"/>
      <c r="J370" s="452"/>
    </row>
    <row r="371" spans="1:10" s="19" customFormat="1">
      <c r="A371" s="503"/>
      <c r="B371" s="21"/>
      <c r="C371" s="511"/>
      <c r="D371" s="452"/>
      <c r="E371" s="511"/>
      <c r="F371" s="452"/>
      <c r="G371" s="511"/>
      <c r="H371" s="452"/>
      <c r="I371" s="511"/>
      <c r="J371" s="452"/>
    </row>
    <row r="372" spans="1:10" s="19" customFormat="1">
      <c r="A372" s="503"/>
      <c r="B372" s="21"/>
      <c r="C372" s="511"/>
      <c r="D372" s="452"/>
      <c r="E372" s="511"/>
      <c r="F372" s="452"/>
      <c r="G372" s="511"/>
      <c r="H372" s="452"/>
      <c r="I372" s="511"/>
      <c r="J372" s="452"/>
    </row>
    <row r="373" spans="1:10" s="19" customFormat="1">
      <c r="A373" s="503"/>
      <c r="B373" s="21"/>
      <c r="C373" s="511"/>
      <c r="D373" s="452"/>
      <c r="E373" s="511"/>
      <c r="F373" s="452"/>
      <c r="G373" s="511"/>
      <c r="H373" s="452"/>
      <c r="I373" s="511"/>
      <c r="J373" s="452"/>
    </row>
    <row r="374" spans="1:10" s="19" customFormat="1">
      <c r="A374" s="503"/>
      <c r="B374" s="21"/>
      <c r="C374" s="511"/>
      <c r="D374" s="452"/>
      <c r="E374" s="511"/>
      <c r="F374" s="452"/>
      <c r="G374" s="511"/>
      <c r="H374" s="452"/>
      <c r="I374" s="511"/>
      <c r="J374" s="452"/>
    </row>
    <row r="375" spans="1:10" s="19" customFormat="1">
      <c r="A375" s="503"/>
      <c r="B375" s="21"/>
      <c r="C375" s="511"/>
      <c r="D375" s="452"/>
      <c r="E375" s="511"/>
      <c r="F375" s="452"/>
      <c r="G375" s="511"/>
      <c r="H375" s="452"/>
      <c r="I375" s="511"/>
      <c r="J375" s="452"/>
    </row>
    <row r="376" spans="1:10" s="19" customFormat="1">
      <c r="A376" s="503"/>
      <c r="B376" s="21"/>
      <c r="C376" s="511"/>
      <c r="D376" s="452"/>
      <c r="E376" s="511"/>
      <c r="F376" s="452"/>
      <c r="G376" s="511"/>
      <c r="H376" s="452"/>
      <c r="I376" s="511"/>
      <c r="J376" s="452"/>
    </row>
    <row r="377" spans="1:10" s="19" customFormat="1">
      <c r="A377" s="503"/>
      <c r="B377" s="21"/>
      <c r="C377" s="511"/>
      <c r="D377" s="452"/>
      <c r="E377" s="511"/>
      <c r="F377" s="452"/>
      <c r="G377" s="511"/>
      <c r="H377" s="452"/>
      <c r="I377" s="511"/>
      <c r="J377" s="452"/>
    </row>
    <row r="378" spans="1:10" s="19" customFormat="1">
      <c r="A378" s="503"/>
      <c r="B378" s="21"/>
      <c r="C378" s="511"/>
      <c r="D378" s="452"/>
      <c r="E378" s="511"/>
      <c r="F378" s="452"/>
      <c r="G378" s="511"/>
      <c r="H378" s="452"/>
      <c r="I378" s="511"/>
      <c r="J378" s="452"/>
    </row>
    <row r="379" spans="1:10" s="19" customFormat="1">
      <c r="A379" s="503"/>
      <c r="B379" s="21"/>
      <c r="C379" s="511"/>
      <c r="D379" s="452"/>
      <c r="E379" s="511"/>
      <c r="F379" s="452"/>
      <c r="G379" s="511"/>
      <c r="H379" s="452"/>
      <c r="I379" s="511"/>
      <c r="J379" s="452"/>
    </row>
    <row r="380" spans="1:10" s="19" customFormat="1">
      <c r="A380" s="503"/>
      <c r="B380" s="21"/>
      <c r="C380" s="511"/>
      <c r="D380" s="452"/>
      <c r="E380" s="511"/>
      <c r="F380" s="452"/>
      <c r="G380" s="511"/>
      <c r="H380" s="452"/>
      <c r="I380" s="511"/>
      <c r="J380" s="452"/>
    </row>
    <row r="381" spans="1:10" s="19" customFormat="1">
      <c r="A381" s="503"/>
      <c r="B381" s="21"/>
      <c r="C381" s="511"/>
      <c r="D381" s="452"/>
      <c r="E381" s="511"/>
      <c r="F381" s="452"/>
      <c r="G381" s="511"/>
      <c r="H381" s="452"/>
      <c r="I381" s="511"/>
      <c r="J381" s="452"/>
    </row>
    <row r="382" spans="1:10" s="19" customFormat="1">
      <c r="A382" s="503"/>
      <c r="B382" s="21"/>
      <c r="C382" s="511"/>
      <c r="D382" s="452"/>
      <c r="E382" s="511"/>
      <c r="F382" s="452"/>
      <c r="G382" s="511"/>
      <c r="H382" s="452"/>
      <c r="I382" s="511"/>
      <c r="J382" s="452"/>
    </row>
    <row r="383" spans="1:10" s="19" customFormat="1">
      <c r="A383" s="503"/>
      <c r="B383" s="21"/>
      <c r="C383" s="511"/>
      <c r="D383" s="452"/>
      <c r="E383" s="511"/>
      <c r="F383" s="452"/>
      <c r="G383" s="511"/>
      <c r="H383" s="452"/>
      <c r="I383" s="511"/>
      <c r="J383" s="452"/>
    </row>
    <row r="384" spans="1:10" s="19" customFormat="1">
      <c r="A384" s="503"/>
      <c r="B384" s="21"/>
      <c r="C384" s="511"/>
      <c r="D384" s="452"/>
      <c r="E384" s="511"/>
      <c r="F384" s="452"/>
      <c r="G384" s="511"/>
      <c r="H384" s="452"/>
      <c r="I384" s="511"/>
      <c r="J384" s="452"/>
    </row>
    <row r="385" spans="1:10" s="19" customFormat="1">
      <c r="A385" s="503"/>
      <c r="B385" s="21"/>
      <c r="C385" s="511"/>
      <c r="D385" s="452"/>
      <c r="E385" s="511"/>
      <c r="F385" s="452"/>
      <c r="G385" s="511"/>
      <c r="H385" s="452"/>
      <c r="I385" s="511"/>
      <c r="J385" s="452"/>
    </row>
    <row r="386" spans="1:10" s="19" customFormat="1">
      <c r="A386" s="503"/>
      <c r="B386" s="21"/>
      <c r="C386" s="511"/>
      <c r="D386" s="452"/>
      <c r="E386" s="511"/>
      <c r="F386" s="452"/>
      <c r="G386" s="511"/>
      <c r="H386" s="452"/>
      <c r="I386" s="511"/>
      <c r="J386" s="452"/>
    </row>
    <row r="387" spans="1:10" s="19" customFormat="1">
      <c r="A387" s="503"/>
      <c r="B387" s="21"/>
      <c r="C387" s="511"/>
      <c r="D387" s="452"/>
      <c r="E387" s="511"/>
      <c r="F387" s="452"/>
      <c r="G387" s="511"/>
      <c r="H387" s="452"/>
      <c r="I387" s="511"/>
      <c r="J387" s="452"/>
    </row>
    <row r="388" spans="1:10" s="19" customFormat="1">
      <c r="A388" s="503"/>
      <c r="B388" s="21"/>
      <c r="C388" s="511"/>
      <c r="D388" s="452"/>
      <c r="E388" s="511"/>
      <c r="F388" s="452"/>
      <c r="G388" s="511"/>
      <c r="H388" s="452"/>
      <c r="I388" s="511"/>
      <c r="J388" s="452"/>
    </row>
    <row r="389" spans="1:10" s="19" customFormat="1">
      <c r="A389" s="503"/>
      <c r="B389" s="21"/>
      <c r="C389" s="511"/>
      <c r="D389" s="452"/>
      <c r="E389" s="511"/>
      <c r="F389" s="452"/>
      <c r="G389" s="511"/>
      <c r="H389" s="452"/>
      <c r="I389" s="511"/>
      <c r="J389" s="452"/>
    </row>
    <row r="390" spans="1:10" s="19" customFormat="1">
      <c r="A390" s="503"/>
      <c r="B390" s="21"/>
      <c r="C390" s="511"/>
      <c r="D390" s="452"/>
      <c r="E390" s="511"/>
      <c r="F390" s="452"/>
      <c r="G390" s="511"/>
      <c r="H390" s="452"/>
      <c r="I390" s="511"/>
      <c r="J390" s="452"/>
    </row>
    <row r="391" spans="1:10" s="19" customFormat="1">
      <c r="A391" s="503"/>
      <c r="B391" s="21"/>
      <c r="C391" s="511"/>
      <c r="D391" s="452"/>
      <c r="E391" s="511"/>
      <c r="F391" s="452"/>
      <c r="G391" s="511"/>
      <c r="H391" s="452"/>
      <c r="I391" s="511"/>
      <c r="J391" s="452"/>
    </row>
    <row r="392" spans="1:10" s="19" customFormat="1">
      <c r="A392" s="503"/>
      <c r="B392" s="21"/>
      <c r="C392" s="511"/>
      <c r="D392" s="452"/>
      <c r="E392" s="511"/>
      <c r="F392" s="452"/>
      <c r="G392" s="511"/>
      <c r="H392" s="452"/>
      <c r="I392" s="511"/>
      <c r="J392" s="452"/>
    </row>
    <row r="393" spans="1:10" s="19" customFormat="1">
      <c r="A393" s="503"/>
      <c r="B393" s="21"/>
      <c r="C393" s="511"/>
      <c r="D393" s="452"/>
      <c r="E393" s="511"/>
      <c r="F393" s="452"/>
      <c r="G393" s="511"/>
      <c r="H393" s="452"/>
      <c r="I393" s="511"/>
      <c r="J393" s="452"/>
    </row>
    <row r="394" spans="1:10" s="19" customFormat="1">
      <c r="A394" s="503"/>
      <c r="B394" s="21"/>
      <c r="C394" s="511"/>
      <c r="D394" s="452"/>
      <c r="E394" s="511"/>
      <c r="F394" s="452"/>
      <c r="G394" s="511"/>
      <c r="H394" s="452"/>
      <c r="I394" s="511"/>
      <c r="J394" s="452"/>
    </row>
    <row r="395" spans="1:10" s="19" customFormat="1">
      <c r="A395" s="503"/>
      <c r="B395" s="21"/>
      <c r="C395" s="511"/>
      <c r="D395" s="452"/>
      <c r="E395" s="511"/>
      <c r="F395" s="452"/>
      <c r="G395" s="511"/>
      <c r="H395" s="452"/>
      <c r="I395" s="511"/>
      <c r="J395" s="452"/>
    </row>
    <row r="396" spans="1:10" s="19" customFormat="1">
      <c r="A396" s="503"/>
      <c r="B396" s="21"/>
      <c r="C396" s="511"/>
      <c r="D396" s="452"/>
      <c r="E396" s="511"/>
      <c r="F396" s="452"/>
      <c r="G396" s="511"/>
      <c r="H396" s="452"/>
      <c r="I396" s="511"/>
      <c r="J396" s="452"/>
    </row>
    <row r="397" spans="1:10" s="19" customFormat="1">
      <c r="A397" s="503"/>
      <c r="B397" s="21"/>
      <c r="C397" s="511"/>
      <c r="D397" s="452"/>
      <c r="E397" s="511"/>
      <c r="F397" s="452"/>
      <c r="G397" s="511"/>
      <c r="H397" s="452"/>
      <c r="I397" s="511"/>
      <c r="J397" s="452"/>
    </row>
    <row r="398" spans="1:10" s="19" customFormat="1">
      <c r="A398" s="503"/>
      <c r="B398" s="21"/>
      <c r="C398" s="511"/>
      <c r="D398" s="452"/>
      <c r="E398" s="511"/>
      <c r="F398" s="452"/>
      <c r="G398" s="511"/>
      <c r="H398" s="452"/>
      <c r="I398" s="511"/>
      <c r="J398" s="452"/>
    </row>
    <row r="399" spans="1:10" s="19" customFormat="1">
      <c r="A399" s="503"/>
      <c r="B399" s="21"/>
      <c r="C399" s="511"/>
      <c r="D399" s="452"/>
      <c r="E399" s="511"/>
      <c r="F399" s="452"/>
      <c r="G399" s="511"/>
      <c r="H399" s="452"/>
      <c r="I399" s="511"/>
      <c r="J399" s="452"/>
    </row>
    <row r="400" spans="1:10" s="19" customFormat="1">
      <c r="A400" s="503"/>
      <c r="B400" s="21"/>
      <c r="C400" s="511"/>
      <c r="D400" s="452"/>
      <c r="E400" s="511"/>
      <c r="F400" s="452"/>
      <c r="G400" s="511"/>
      <c r="H400" s="452"/>
      <c r="I400" s="511"/>
      <c r="J400" s="452"/>
    </row>
    <row r="401" spans="1:10" s="19" customFormat="1">
      <c r="A401" s="503"/>
      <c r="B401" s="21"/>
      <c r="C401" s="511"/>
      <c r="D401" s="452"/>
      <c r="E401" s="511"/>
      <c r="F401" s="452"/>
      <c r="G401" s="511"/>
      <c r="H401" s="452"/>
      <c r="I401" s="511"/>
      <c r="J401" s="452"/>
    </row>
    <row r="402" spans="1:10" s="19" customFormat="1">
      <c r="A402" s="503"/>
      <c r="B402" s="21"/>
      <c r="C402" s="511"/>
      <c r="D402" s="452"/>
      <c r="E402" s="511"/>
      <c r="F402" s="452"/>
      <c r="G402" s="511"/>
      <c r="H402" s="452"/>
      <c r="I402" s="511"/>
      <c r="J402" s="452"/>
    </row>
    <row r="403" spans="1:10" s="19" customFormat="1">
      <c r="A403" s="503"/>
      <c r="B403" s="21"/>
      <c r="C403" s="511"/>
      <c r="D403" s="452"/>
      <c r="E403" s="511"/>
      <c r="F403" s="452"/>
      <c r="G403" s="511"/>
      <c r="H403" s="452"/>
      <c r="I403" s="511"/>
      <c r="J403" s="452"/>
    </row>
    <row r="404" spans="1:10" s="19" customFormat="1">
      <c r="A404" s="503"/>
      <c r="B404" s="21"/>
      <c r="C404" s="511"/>
      <c r="D404" s="452"/>
      <c r="E404" s="511"/>
      <c r="F404" s="452"/>
      <c r="G404" s="511"/>
      <c r="H404" s="452"/>
      <c r="I404" s="511"/>
      <c r="J404" s="452"/>
    </row>
    <row r="405" spans="1:10" s="19" customFormat="1">
      <c r="A405" s="503"/>
      <c r="B405" s="21"/>
      <c r="C405" s="511"/>
      <c r="D405" s="452"/>
      <c r="E405" s="511"/>
      <c r="F405" s="452"/>
      <c r="G405" s="511"/>
      <c r="H405" s="452"/>
      <c r="I405" s="511"/>
      <c r="J405" s="452"/>
    </row>
    <row r="406" spans="1:10" s="19" customFormat="1">
      <c r="A406" s="21"/>
      <c r="B406" s="21"/>
      <c r="C406" s="512"/>
      <c r="D406" s="452"/>
      <c r="E406" s="512"/>
      <c r="F406" s="452"/>
      <c r="G406" s="512"/>
      <c r="H406" s="452"/>
      <c r="I406" s="512"/>
      <c r="J406" s="452"/>
    </row>
    <row r="407" spans="1:10" s="19" customFormat="1">
      <c r="A407" s="21"/>
      <c r="B407" s="21"/>
      <c r="C407" s="512"/>
      <c r="D407" s="452"/>
      <c r="E407" s="512"/>
      <c r="F407" s="452"/>
      <c r="G407" s="512"/>
      <c r="H407" s="452"/>
      <c r="I407" s="512"/>
      <c r="J407" s="452"/>
    </row>
    <row r="408" spans="1:10" s="19" customFormat="1">
      <c r="A408" s="21"/>
      <c r="B408" s="21"/>
      <c r="C408" s="512"/>
      <c r="D408" s="452"/>
      <c r="E408" s="512"/>
      <c r="F408" s="452"/>
      <c r="G408" s="512"/>
      <c r="H408" s="452"/>
      <c r="I408" s="512"/>
      <c r="J408" s="452"/>
    </row>
    <row r="409" spans="1:10" s="19" customFormat="1">
      <c r="A409" s="21"/>
      <c r="B409" s="21"/>
      <c r="C409" s="512"/>
      <c r="D409" s="452"/>
      <c r="E409" s="512"/>
      <c r="F409" s="452"/>
      <c r="G409" s="512"/>
      <c r="H409" s="452"/>
      <c r="I409" s="512"/>
      <c r="J409" s="452"/>
    </row>
    <row r="410" spans="1:10" s="19" customFormat="1">
      <c r="A410" s="21"/>
      <c r="B410" s="21"/>
      <c r="C410" s="512"/>
      <c r="D410" s="452"/>
      <c r="E410" s="512"/>
      <c r="F410" s="452"/>
      <c r="G410" s="512"/>
      <c r="H410" s="452"/>
      <c r="I410" s="512"/>
      <c r="J410" s="452"/>
    </row>
    <row r="411" spans="1:10" s="19" customFormat="1">
      <c r="A411" s="21"/>
      <c r="B411" s="21"/>
      <c r="C411" s="512"/>
      <c r="D411" s="452"/>
      <c r="E411" s="512"/>
      <c r="F411" s="452"/>
      <c r="G411" s="512"/>
      <c r="H411" s="452"/>
      <c r="I411" s="512"/>
      <c r="J411" s="452"/>
    </row>
    <row r="412" spans="1:10" s="19" customFormat="1">
      <c r="A412" s="21"/>
      <c r="B412" s="21"/>
      <c r="C412" s="512"/>
      <c r="D412" s="452"/>
      <c r="E412" s="512"/>
      <c r="F412" s="452"/>
      <c r="G412" s="512"/>
      <c r="H412" s="452"/>
      <c r="I412" s="512"/>
      <c r="J412" s="452"/>
    </row>
    <row r="413" spans="1:10" s="19" customFormat="1">
      <c r="A413" s="21"/>
      <c r="B413" s="21"/>
      <c r="C413" s="512"/>
      <c r="D413" s="452"/>
      <c r="E413" s="512"/>
      <c r="F413" s="452"/>
      <c r="G413" s="512"/>
      <c r="H413" s="452"/>
      <c r="I413" s="512"/>
      <c r="J413" s="452"/>
    </row>
    <row r="414" spans="1:10" s="19" customFormat="1">
      <c r="A414" s="21"/>
      <c r="B414" s="21"/>
      <c r="C414" s="512"/>
      <c r="D414" s="452"/>
      <c r="E414" s="512"/>
      <c r="F414" s="452"/>
      <c r="G414" s="512"/>
      <c r="H414" s="452"/>
      <c r="I414" s="512"/>
      <c r="J414" s="452"/>
    </row>
    <row r="415" spans="1:10" s="19" customFormat="1">
      <c r="A415" s="21"/>
      <c r="B415" s="21"/>
      <c r="C415" s="512"/>
      <c r="D415" s="452"/>
      <c r="E415" s="512"/>
      <c r="F415" s="452"/>
      <c r="G415" s="512"/>
      <c r="H415" s="452"/>
      <c r="I415" s="512"/>
      <c r="J415" s="452"/>
    </row>
    <row r="416" spans="1:10" s="19" customFormat="1">
      <c r="A416" s="21"/>
      <c r="B416" s="21"/>
      <c r="C416" s="512"/>
      <c r="D416" s="452"/>
      <c r="E416" s="512"/>
      <c r="F416" s="452"/>
      <c r="G416" s="512"/>
      <c r="H416" s="452"/>
      <c r="I416" s="512"/>
      <c r="J416" s="452"/>
    </row>
    <row r="417" spans="1:10" s="19" customFormat="1">
      <c r="A417" s="21"/>
      <c r="B417" s="21"/>
      <c r="C417" s="512"/>
      <c r="D417" s="452"/>
      <c r="E417" s="512"/>
      <c r="F417" s="452"/>
      <c r="G417" s="512"/>
      <c r="H417" s="452"/>
      <c r="I417" s="512"/>
      <c r="J417" s="452"/>
    </row>
    <row r="418" spans="1:10" s="19" customFormat="1">
      <c r="A418" s="21"/>
      <c r="B418" s="21"/>
      <c r="C418" s="512"/>
      <c r="D418" s="452"/>
      <c r="E418" s="512"/>
      <c r="F418" s="452"/>
      <c r="G418" s="512"/>
      <c r="H418" s="452"/>
      <c r="I418" s="512"/>
      <c r="J418" s="452"/>
    </row>
    <row r="419" spans="1:10" s="19" customFormat="1">
      <c r="A419" s="21"/>
      <c r="B419" s="21"/>
      <c r="C419" s="512"/>
      <c r="D419" s="452"/>
      <c r="E419" s="512"/>
      <c r="F419" s="452"/>
      <c r="G419" s="512"/>
      <c r="H419" s="452"/>
      <c r="I419" s="512"/>
      <c r="J419" s="452"/>
    </row>
    <row r="420" spans="1:10" s="19" customFormat="1">
      <c r="A420" s="21"/>
      <c r="B420" s="21"/>
      <c r="C420" s="512"/>
      <c r="D420" s="452"/>
      <c r="E420" s="512"/>
      <c r="F420" s="452"/>
      <c r="G420" s="512"/>
      <c r="H420" s="452"/>
      <c r="I420" s="512"/>
      <c r="J420" s="452"/>
    </row>
    <row r="421" spans="1:10" s="19" customFormat="1">
      <c r="A421" s="21"/>
      <c r="B421" s="21"/>
      <c r="C421" s="512"/>
      <c r="D421" s="452"/>
      <c r="E421" s="512"/>
      <c r="F421" s="452"/>
      <c r="G421" s="512"/>
      <c r="H421" s="452"/>
      <c r="I421" s="512"/>
      <c r="J421" s="452"/>
    </row>
    <row r="422" spans="1:10" s="19" customFormat="1">
      <c r="A422" s="21"/>
      <c r="B422" s="21"/>
      <c r="C422" s="512"/>
      <c r="D422" s="452"/>
      <c r="E422" s="512"/>
      <c r="F422" s="452"/>
      <c r="G422" s="512"/>
      <c r="H422" s="452"/>
      <c r="I422" s="512"/>
      <c r="J422" s="452"/>
    </row>
    <row r="423" spans="1:10" s="19" customFormat="1">
      <c r="A423" s="21"/>
      <c r="B423" s="21"/>
      <c r="C423" s="512"/>
      <c r="D423" s="452"/>
      <c r="E423" s="512"/>
      <c r="F423" s="452"/>
      <c r="G423" s="512"/>
      <c r="H423" s="452"/>
      <c r="I423" s="512"/>
      <c r="J423" s="452"/>
    </row>
    <row r="424" spans="1:10" s="19" customFormat="1">
      <c r="A424" s="21"/>
      <c r="B424" s="21"/>
      <c r="C424" s="512"/>
      <c r="D424" s="452"/>
      <c r="E424" s="512"/>
      <c r="F424" s="452"/>
      <c r="G424" s="512"/>
      <c r="H424" s="452"/>
      <c r="I424" s="512"/>
      <c r="J424" s="452"/>
    </row>
    <row r="425" spans="1:10" s="19" customFormat="1">
      <c r="A425" s="21"/>
      <c r="B425" s="21"/>
      <c r="C425" s="512"/>
      <c r="D425" s="452"/>
      <c r="E425" s="512"/>
      <c r="F425" s="452"/>
      <c r="G425" s="512"/>
      <c r="H425" s="452"/>
      <c r="I425" s="512"/>
      <c r="J425" s="452"/>
    </row>
    <row r="426" spans="1:10" s="19" customFormat="1">
      <c r="A426" s="21"/>
      <c r="B426" s="21"/>
      <c r="C426" s="512"/>
      <c r="D426" s="452"/>
      <c r="E426" s="512"/>
      <c r="F426" s="452"/>
      <c r="G426" s="512"/>
      <c r="H426" s="452"/>
      <c r="I426" s="512"/>
      <c r="J426" s="452"/>
    </row>
    <row r="427" spans="1:10" s="19" customFormat="1">
      <c r="A427" s="21"/>
      <c r="B427" s="21"/>
      <c r="C427" s="512"/>
      <c r="D427" s="452"/>
      <c r="E427" s="512"/>
      <c r="F427" s="452"/>
      <c r="G427" s="512"/>
      <c r="H427" s="452"/>
      <c r="I427" s="512"/>
      <c r="J427" s="452"/>
    </row>
    <row r="428" spans="1:10" s="19" customFormat="1">
      <c r="A428" s="21"/>
      <c r="B428" s="21"/>
      <c r="C428" s="512"/>
      <c r="D428" s="452"/>
      <c r="E428" s="512"/>
      <c r="F428" s="452"/>
      <c r="G428" s="512"/>
      <c r="H428" s="452"/>
      <c r="I428" s="512"/>
      <c r="J428" s="452"/>
    </row>
    <row r="429" spans="1:10" s="19" customFormat="1">
      <c r="A429" s="21"/>
      <c r="B429" s="21"/>
      <c r="C429" s="512"/>
      <c r="D429" s="452"/>
      <c r="E429" s="512"/>
      <c r="F429" s="452"/>
      <c r="G429" s="512"/>
      <c r="H429" s="452"/>
      <c r="I429" s="512"/>
      <c r="J429" s="452"/>
    </row>
    <row r="430" spans="1:10" s="19" customFormat="1">
      <c r="A430" s="21"/>
      <c r="B430" s="21"/>
      <c r="C430" s="512"/>
      <c r="D430" s="452"/>
      <c r="E430" s="512"/>
      <c r="F430" s="452"/>
      <c r="G430" s="512"/>
      <c r="H430" s="452"/>
      <c r="I430" s="512"/>
      <c r="J430" s="452"/>
    </row>
    <row r="431" spans="1:10" s="19" customFormat="1">
      <c r="A431" s="21"/>
      <c r="B431" s="21"/>
      <c r="C431" s="512"/>
      <c r="D431" s="452"/>
      <c r="E431" s="512"/>
      <c r="F431" s="452"/>
      <c r="G431" s="512"/>
      <c r="H431" s="452"/>
      <c r="I431" s="512"/>
      <c r="J431" s="452"/>
    </row>
    <row r="432" spans="1:10" s="19" customFormat="1">
      <c r="A432" s="21"/>
      <c r="B432" s="21"/>
      <c r="C432" s="512"/>
      <c r="D432" s="452"/>
      <c r="E432" s="512"/>
      <c r="F432" s="452"/>
      <c r="G432" s="512"/>
      <c r="H432" s="452"/>
      <c r="I432" s="512"/>
      <c r="J432" s="452"/>
    </row>
    <row r="433" spans="1:10" s="19" customFormat="1">
      <c r="A433" s="21"/>
      <c r="B433" s="21"/>
      <c r="C433" s="512"/>
      <c r="D433" s="452"/>
      <c r="E433" s="512"/>
      <c r="F433" s="452"/>
      <c r="G433" s="512"/>
      <c r="H433" s="452"/>
      <c r="I433" s="512"/>
      <c r="J433" s="452"/>
    </row>
    <row r="434" spans="1:10" s="19" customFormat="1">
      <c r="A434" s="21"/>
      <c r="B434" s="21"/>
      <c r="C434" s="512"/>
      <c r="D434" s="452"/>
      <c r="E434" s="512"/>
      <c r="F434" s="452"/>
      <c r="G434" s="512"/>
      <c r="H434" s="452"/>
      <c r="I434" s="512"/>
      <c r="J434" s="452"/>
    </row>
    <row r="435" spans="1:10" s="19" customFormat="1">
      <c r="A435" s="21"/>
      <c r="B435" s="21"/>
      <c r="C435" s="512"/>
      <c r="D435" s="452"/>
      <c r="E435" s="512"/>
      <c r="F435" s="452"/>
      <c r="G435" s="512"/>
      <c r="H435" s="452"/>
      <c r="I435" s="512"/>
      <c r="J435" s="452"/>
    </row>
    <row r="436" spans="1:10" s="19" customFormat="1">
      <c r="A436" s="21"/>
      <c r="B436" s="21"/>
      <c r="C436" s="512"/>
      <c r="D436" s="452"/>
      <c r="E436" s="512"/>
      <c r="F436" s="452"/>
      <c r="G436" s="512"/>
      <c r="H436" s="452"/>
      <c r="I436" s="512"/>
      <c r="J436" s="452"/>
    </row>
    <row r="437" spans="1:10" s="19" customFormat="1">
      <c r="A437" s="21"/>
      <c r="B437" s="21"/>
      <c r="C437" s="512"/>
      <c r="D437" s="452"/>
      <c r="E437" s="512"/>
      <c r="F437" s="452"/>
      <c r="G437" s="512"/>
      <c r="H437" s="452"/>
      <c r="I437" s="512"/>
      <c r="J437" s="452"/>
    </row>
    <row r="438" spans="1:10" s="19" customFormat="1">
      <c r="A438" s="21"/>
      <c r="B438" s="21"/>
      <c r="C438" s="512"/>
      <c r="D438" s="452"/>
      <c r="E438" s="512"/>
      <c r="F438" s="452"/>
      <c r="G438" s="512"/>
      <c r="H438" s="452"/>
      <c r="I438" s="512"/>
      <c r="J438" s="452"/>
    </row>
    <row r="439" spans="1:10" s="19" customFormat="1">
      <c r="A439" s="21"/>
      <c r="B439" s="21"/>
      <c r="C439" s="512"/>
      <c r="D439" s="452"/>
      <c r="E439" s="512"/>
      <c r="F439" s="452"/>
      <c r="G439" s="512"/>
      <c r="H439" s="452"/>
      <c r="I439" s="512"/>
      <c r="J439" s="452"/>
    </row>
    <row r="440" spans="1:10" s="19" customFormat="1">
      <c r="A440" s="21"/>
      <c r="B440" s="21"/>
      <c r="C440" s="512"/>
      <c r="D440" s="452"/>
      <c r="E440" s="512"/>
      <c r="F440" s="452"/>
      <c r="G440" s="512"/>
      <c r="H440" s="452"/>
      <c r="I440" s="512"/>
      <c r="J440" s="452"/>
    </row>
    <row r="441" spans="1:10" s="19" customFormat="1">
      <c r="A441" s="21"/>
      <c r="B441" s="21"/>
      <c r="C441" s="512"/>
      <c r="D441" s="452"/>
      <c r="E441" s="512"/>
      <c r="F441" s="452"/>
      <c r="G441" s="512"/>
      <c r="H441" s="452"/>
      <c r="I441" s="512"/>
      <c r="J441" s="452"/>
    </row>
    <row r="442" spans="1:10" s="19" customFormat="1">
      <c r="A442" s="21"/>
      <c r="B442" s="21"/>
      <c r="C442" s="512"/>
      <c r="D442" s="452"/>
      <c r="E442" s="512"/>
      <c r="F442" s="452"/>
      <c r="G442" s="512"/>
      <c r="H442" s="452"/>
      <c r="I442" s="512"/>
      <c r="J442" s="452"/>
    </row>
    <row r="443" spans="1:10" s="19" customFormat="1">
      <c r="A443" s="21"/>
      <c r="B443" s="21"/>
      <c r="C443" s="512"/>
      <c r="D443" s="452"/>
      <c r="E443" s="512"/>
      <c r="F443" s="452"/>
      <c r="G443" s="512"/>
      <c r="H443" s="452"/>
      <c r="I443" s="512"/>
      <c r="J443" s="452"/>
    </row>
    <row r="444" spans="1:10" s="19" customFormat="1">
      <c r="A444" s="21"/>
      <c r="B444" s="21"/>
      <c r="C444" s="512"/>
      <c r="D444" s="452"/>
      <c r="E444" s="512"/>
      <c r="F444" s="452"/>
      <c r="G444" s="512"/>
      <c r="H444" s="452"/>
      <c r="I444" s="512"/>
      <c r="J444" s="452"/>
    </row>
    <row r="445" spans="1:10" s="19" customFormat="1">
      <c r="A445" s="21"/>
      <c r="B445" s="21"/>
      <c r="C445" s="512"/>
      <c r="D445" s="452"/>
      <c r="E445" s="512"/>
      <c r="F445" s="452"/>
      <c r="G445" s="512"/>
      <c r="H445" s="452"/>
      <c r="I445" s="512"/>
      <c r="J445" s="452"/>
    </row>
    <row r="446" spans="1:10" s="19" customFormat="1">
      <c r="A446" s="21"/>
      <c r="B446" s="21"/>
      <c r="C446" s="512"/>
      <c r="D446" s="452"/>
      <c r="E446" s="512"/>
      <c r="F446" s="452"/>
      <c r="G446" s="512"/>
      <c r="H446" s="452"/>
      <c r="I446" s="512"/>
      <c r="J446" s="452"/>
    </row>
    <row r="447" spans="1:10" s="19" customFormat="1">
      <c r="A447" s="21"/>
      <c r="B447" s="21"/>
      <c r="C447" s="512"/>
      <c r="D447" s="452"/>
      <c r="E447" s="512"/>
      <c r="F447" s="452"/>
      <c r="G447" s="512"/>
      <c r="H447" s="452"/>
      <c r="I447" s="512"/>
      <c r="J447" s="452"/>
    </row>
    <row r="448" spans="1:10" s="19" customFormat="1">
      <c r="A448" s="21"/>
      <c r="B448" s="21"/>
      <c r="C448" s="512"/>
      <c r="D448" s="452"/>
      <c r="E448" s="512"/>
      <c r="F448" s="452"/>
      <c r="G448" s="512"/>
      <c r="H448" s="452"/>
      <c r="I448" s="512"/>
      <c r="J448" s="452"/>
    </row>
    <row r="449" spans="1:10" s="19" customFormat="1">
      <c r="A449" s="21"/>
      <c r="B449" s="21"/>
      <c r="C449" s="512"/>
      <c r="D449" s="452"/>
      <c r="E449" s="512"/>
      <c r="F449" s="452"/>
      <c r="G449" s="512"/>
      <c r="H449" s="452"/>
      <c r="I449" s="512"/>
      <c r="J449" s="452"/>
    </row>
    <row r="450" spans="1:10" s="19" customFormat="1">
      <c r="A450" s="21"/>
      <c r="B450" s="21"/>
      <c r="C450" s="512"/>
      <c r="D450" s="452"/>
      <c r="E450" s="512"/>
      <c r="F450" s="452"/>
      <c r="G450" s="512"/>
      <c r="H450" s="452"/>
      <c r="I450" s="512"/>
      <c r="J450" s="452"/>
    </row>
    <row r="451" spans="1:10" s="19" customFormat="1">
      <c r="A451" s="21"/>
      <c r="B451" s="21"/>
      <c r="C451" s="512"/>
      <c r="D451" s="452"/>
      <c r="E451" s="512"/>
      <c r="F451" s="452"/>
      <c r="G451" s="512"/>
      <c r="H451" s="452"/>
      <c r="I451" s="512"/>
      <c r="J451" s="452"/>
    </row>
    <row r="452" spans="1:10" s="19" customFormat="1">
      <c r="A452" s="21"/>
      <c r="B452" s="21"/>
      <c r="C452" s="512"/>
      <c r="D452" s="452"/>
      <c r="E452" s="512"/>
      <c r="F452" s="452"/>
      <c r="G452" s="512"/>
      <c r="H452" s="452"/>
      <c r="I452" s="512"/>
      <c r="J452" s="452"/>
    </row>
    <row r="453" spans="1:10" s="19" customFormat="1">
      <c r="A453" s="21"/>
      <c r="B453" s="21"/>
      <c r="C453" s="512"/>
      <c r="D453" s="452"/>
      <c r="E453" s="512"/>
      <c r="F453" s="452"/>
      <c r="G453" s="512"/>
      <c r="H453" s="452"/>
      <c r="I453" s="512"/>
      <c r="J453" s="452"/>
    </row>
    <row r="454" spans="1:10" s="19" customFormat="1">
      <c r="A454" s="21"/>
      <c r="B454" s="21"/>
      <c r="C454" s="512"/>
      <c r="D454" s="452"/>
      <c r="E454" s="512"/>
      <c r="F454" s="452"/>
      <c r="G454" s="512"/>
      <c r="H454" s="452"/>
      <c r="I454" s="512"/>
      <c r="J454" s="452"/>
    </row>
    <row r="455" spans="1:10" s="19" customFormat="1">
      <c r="A455" s="21"/>
      <c r="B455" s="21"/>
      <c r="C455" s="512"/>
      <c r="D455" s="452"/>
      <c r="E455" s="512"/>
      <c r="F455" s="452"/>
      <c r="G455" s="512"/>
      <c r="H455" s="452"/>
      <c r="I455" s="512"/>
      <c r="J455" s="452"/>
    </row>
    <row r="456" spans="1:10" s="19" customFormat="1">
      <c r="A456" s="21"/>
      <c r="B456" s="21"/>
      <c r="C456" s="512"/>
      <c r="D456" s="452"/>
      <c r="E456" s="512"/>
      <c r="F456" s="452"/>
      <c r="G456" s="512"/>
      <c r="H456" s="452"/>
      <c r="I456" s="512"/>
      <c r="J456" s="452"/>
    </row>
    <row r="457" spans="1:10" s="19" customFormat="1">
      <c r="A457" s="21"/>
      <c r="B457" s="21"/>
      <c r="C457" s="512"/>
      <c r="D457" s="452"/>
      <c r="E457" s="512"/>
      <c r="F457" s="452"/>
      <c r="G457" s="512"/>
      <c r="H457" s="452"/>
      <c r="I457" s="512"/>
      <c r="J457" s="452"/>
    </row>
    <row r="458" spans="1:10" s="19" customFormat="1">
      <c r="A458" s="21"/>
      <c r="B458" s="21"/>
      <c r="C458" s="512"/>
      <c r="D458" s="452"/>
      <c r="E458" s="512"/>
      <c r="F458" s="452"/>
      <c r="G458" s="512"/>
      <c r="H458" s="452"/>
      <c r="I458" s="512"/>
      <c r="J458" s="452"/>
    </row>
    <row r="459" spans="1:10" s="19" customFormat="1">
      <c r="A459" s="21"/>
      <c r="B459" s="21"/>
      <c r="C459" s="512"/>
      <c r="D459" s="452"/>
      <c r="E459" s="512"/>
      <c r="F459" s="452"/>
      <c r="G459" s="512"/>
      <c r="H459" s="452"/>
      <c r="I459" s="512"/>
      <c r="J459" s="452"/>
    </row>
    <row r="460" spans="1:10" s="19" customFormat="1">
      <c r="A460" s="21"/>
      <c r="B460" s="21"/>
      <c r="C460" s="512"/>
      <c r="D460" s="452"/>
      <c r="E460" s="512"/>
      <c r="F460" s="452"/>
      <c r="G460" s="512"/>
      <c r="H460" s="452"/>
      <c r="I460" s="512"/>
      <c r="J460" s="452"/>
    </row>
    <row r="461" spans="1:10" s="19" customFormat="1">
      <c r="A461" s="21"/>
      <c r="B461" s="21"/>
      <c r="C461" s="512"/>
      <c r="D461" s="452"/>
      <c r="E461" s="512"/>
      <c r="F461" s="452"/>
      <c r="G461" s="512"/>
      <c r="H461" s="452"/>
      <c r="I461" s="512"/>
      <c r="J461" s="452"/>
    </row>
    <row r="462" spans="1:10" s="19" customFormat="1">
      <c r="A462" s="21"/>
      <c r="B462" s="21"/>
      <c r="C462" s="512"/>
      <c r="D462" s="452"/>
      <c r="E462" s="512"/>
      <c r="F462" s="452"/>
      <c r="G462" s="512"/>
      <c r="H462" s="452"/>
      <c r="I462" s="512"/>
      <c r="J462" s="452"/>
    </row>
    <row r="463" spans="1:10" s="19" customFormat="1">
      <c r="A463" s="21"/>
      <c r="B463" s="21"/>
      <c r="C463" s="512"/>
      <c r="D463" s="452"/>
      <c r="E463" s="512"/>
      <c r="F463" s="452"/>
      <c r="G463" s="512"/>
      <c r="H463" s="452"/>
      <c r="I463" s="512"/>
      <c r="J463" s="452"/>
    </row>
    <row r="464" spans="1:10" s="19" customFormat="1">
      <c r="A464" s="21"/>
      <c r="B464" s="21"/>
      <c r="C464" s="512"/>
      <c r="D464" s="452"/>
      <c r="E464" s="512"/>
      <c r="F464" s="452"/>
      <c r="G464" s="512"/>
      <c r="H464" s="452"/>
      <c r="I464" s="512"/>
      <c r="J464" s="452"/>
    </row>
    <row r="465" spans="1:10" s="19" customFormat="1">
      <c r="A465" s="21"/>
      <c r="B465" s="21"/>
      <c r="C465" s="512"/>
      <c r="D465" s="452"/>
      <c r="E465" s="512"/>
      <c r="F465" s="452"/>
      <c r="G465" s="512"/>
      <c r="H465" s="452"/>
      <c r="I465" s="512"/>
      <c r="J465" s="452"/>
    </row>
    <row r="466" spans="1:10" s="19" customFormat="1">
      <c r="A466" s="21"/>
      <c r="B466" s="21"/>
      <c r="C466" s="512"/>
      <c r="D466" s="452"/>
      <c r="E466" s="512"/>
      <c r="F466" s="452"/>
      <c r="G466" s="512"/>
      <c r="H466" s="452"/>
      <c r="I466" s="512"/>
      <c r="J466" s="452"/>
    </row>
    <row r="467" spans="1:10" s="19" customFormat="1">
      <c r="A467" s="21"/>
      <c r="B467" s="21"/>
      <c r="C467" s="512"/>
      <c r="D467" s="452"/>
      <c r="E467" s="512"/>
      <c r="F467" s="452"/>
      <c r="G467" s="512"/>
      <c r="H467" s="452"/>
      <c r="I467" s="512"/>
      <c r="J467" s="452"/>
    </row>
    <row r="468" spans="1:10" s="19" customFormat="1">
      <c r="A468" s="21"/>
      <c r="B468" s="21"/>
      <c r="C468" s="512"/>
      <c r="D468" s="452"/>
      <c r="E468" s="512"/>
      <c r="F468" s="452"/>
      <c r="G468" s="512"/>
      <c r="H468" s="452"/>
      <c r="I468" s="512"/>
      <c r="J468" s="452"/>
    </row>
    <row r="469" spans="1:10" s="19" customFormat="1">
      <c r="A469" s="21"/>
      <c r="B469" s="21"/>
      <c r="C469" s="512"/>
      <c r="D469" s="452"/>
      <c r="E469" s="512"/>
      <c r="F469" s="452"/>
      <c r="G469" s="512"/>
      <c r="H469" s="452"/>
      <c r="I469" s="512"/>
      <c r="J469" s="452"/>
    </row>
    <row r="470" spans="1:10" s="19" customFormat="1">
      <c r="A470" s="21"/>
      <c r="B470" s="21"/>
      <c r="C470" s="512"/>
      <c r="D470" s="452"/>
      <c r="E470" s="512"/>
      <c r="F470" s="452"/>
      <c r="G470" s="512"/>
      <c r="H470" s="452"/>
      <c r="I470" s="512"/>
      <c r="J470" s="452"/>
    </row>
    <row r="471" spans="1:10" s="19" customFormat="1">
      <c r="A471" s="21"/>
      <c r="B471" s="21"/>
      <c r="C471" s="512"/>
      <c r="D471" s="452"/>
      <c r="E471" s="512"/>
      <c r="F471" s="452"/>
      <c r="G471" s="512"/>
      <c r="H471" s="452"/>
      <c r="I471" s="512"/>
      <c r="J471" s="452"/>
    </row>
    <row r="472" spans="1:10" s="19" customFormat="1">
      <c r="A472" s="21"/>
      <c r="B472" s="21"/>
      <c r="C472" s="512"/>
      <c r="D472" s="452"/>
      <c r="E472" s="512"/>
      <c r="F472" s="452"/>
      <c r="G472" s="512"/>
      <c r="H472" s="452"/>
      <c r="I472" s="512"/>
      <c r="J472" s="452"/>
    </row>
    <row r="473" spans="1:10" s="19" customFormat="1">
      <c r="A473" s="21"/>
      <c r="B473" s="21"/>
      <c r="C473" s="512"/>
      <c r="D473" s="452"/>
      <c r="E473" s="512"/>
      <c r="F473" s="452"/>
      <c r="G473" s="512"/>
      <c r="H473" s="452"/>
      <c r="I473" s="512"/>
      <c r="J473" s="452"/>
    </row>
    <row r="474" spans="1:10" s="19" customFormat="1">
      <c r="A474" s="21"/>
      <c r="B474" s="21"/>
      <c r="C474" s="512"/>
      <c r="D474" s="452"/>
      <c r="E474" s="512"/>
      <c r="F474" s="452"/>
      <c r="G474" s="512"/>
      <c r="H474" s="452"/>
      <c r="I474" s="512"/>
      <c r="J474" s="452"/>
    </row>
    <row r="475" spans="1:10" s="19" customFormat="1">
      <c r="A475" s="21"/>
      <c r="B475" s="21"/>
      <c r="C475" s="512"/>
      <c r="D475" s="452"/>
      <c r="E475" s="512"/>
      <c r="F475" s="452"/>
      <c r="G475" s="512"/>
      <c r="H475" s="452"/>
      <c r="I475" s="512"/>
      <c r="J475" s="452"/>
    </row>
    <row r="476" spans="1:10" s="19" customFormat="1">
      <c r="A476" s="21"/>
      <c r="B476" s="21"/>
      <c r="C476" s="512"/>
      <c r="D476" s="452"/>
      <c r="E476" s="512"/>
      <c r="F476" s="452"/>
      <c r="G476" s="512"/>
      <c r="H476" s="452"/>
      <c r="I476" s="512"/>
      <c r="J476" s="452"/>
    </row>
    <row r="477" spans="1:10" s="19" customFormat="1">
      <c r="A477" s="21"/>
      <c r="B477" s="21"/>
      <c r="C477" s="512"/>
      <c r="D477" s="452"/>
      <c r="E477" s="512"/>
      <c r="F477" s="452"/>
      <c r="G477" s="512"/>
      <c r="H477" s="452"/>
      <c r="I477" s="512"/>
      <c r="J477" s="452"/>
    </row>
    <row r="478" spans="1:10" s="19" customFormat="1">
      <c r="A478" s="21"/>
      <c r="B478" s="21"/>
      <c r="C478" s="512"/>
      <c r="D478" s="452"/>
      <c r="E478" s="512"/>
      <c r="F478" s="452"/>
      <c r="G478" s="512"/>
      <c r="H478" s="452"/>
      <c r="I478" s="512"/>
      <c r="J478" s="452"/>
    </row>
    <row r="479" spans="1:10" s="19" customFormat="1">
      <c r="A479" s="21"/>
      <c r="B479" s="21"/>
      <c r="C479" s="512"/>
      <c r="D479" s="452"/>
      <c r="E479" s="512"/>
      <c r="F479" s="452"/>
      <c r="G479" s="512"/>
      <c r="H479" s="452"/>
      <c r="I479" s="512"/>
      <c r="J479" s="452"/>
    </row>
    <row r="480" spans="1:10" s="19" customFormat="1">
      <c r="A480" s="21"/>
      <c r="B480" s="21"/>
      <c r="C480" s="512"/>
      <c r="D480" s="452"/>
      <c r="E480" s="512"/>
      <c r="F480" s="452"/>
      <c r="G480" s="512"/>
      <c r="H480" s="452"/>
      <c r="I480" s="512"/>
      <c r="J480" s="452"/>
    </row>
    <row r="481" spans="1:10" s="19" customFormat="1">
      <c r="A481" s="21"/>
      <c r="B481" s="21"/>
      <c r="C481" s="512"/>
      <c r="D481" s="452"/>
      <c r="E481" s="512"/>
      <c r="F481" s="452"/>
      <c r="G481" s="512"/>
      <c r="H481" s="452"/>
      <c r="I481" s="512"/>
      <c r="J481" s="452"/>
    </row>
    <row r="482" spans="1:10" s="19" customFormat="1">
      <c r="A482" s="21"/>
      <c r="B482" s="21"/>
      <c r="C482" s="512"/>
      <c r="D482" s="452"/>
      <c r="E482" s="512"/>
      <c r="F482" s="452"/>
      <c r="G482" s="512"/>
      <c r="H482" s="452"/>
      <c r="I482" s="512"/>
      <c r="J482" s="452"/>
    </row>
    <row r="483" spans="1:10" s="19" customFormat="1">
      <c r="A483" s="21"/>
      <c r="B483" s="21"/>
      <c r="C483" s="512"/>
      <c r="D483" s="452"/>
      <c r="E483" s="512"/>
      <c r="F483" s="452"/>
      <c r="G483" s="512"/>
      <c r="H483" s="452"/>
      <c r="I483" s="512"/>
      <c r="J483" s="452"/>
    </row>
    <row r="484" spans="1:10" s="19" customFormat="1">
      <c r="A484" s="21"/>
      <c r="B484" s="21"/>
      <c r="C484" s="512"/>
      <c r="D484" s="452"/>
      <c r="E484" s="512"/>
      <c r="F484" s="452"/>
      <c r="G484" s="512"/>
      <c r="H484" s="452"/>
      <c r="I484" s="512"/>
      <c r="J484" s="452"/>
    </row>
    <row r="485" spans="1:10" s="19" customFormat="1">
      <c r="A485" s="21"/>
      <c r="B485" s="21"/>
      <c r="C485" s="512"/>
      <c r="D485" s="452"/>
      <c r="E485" s="512"/>
      <c r="F485" s="452"/>
      <c r="G485" s="512"/>
      <c r="H485" s="452"/>
      <c r="I485" s="512"/>
      <c r="J485" s="452"/>
    </row>
    <row r="486" spans="1:10" s="19" customFormat="1">
      <c r="A486" s="21"/>
      <c r="B486" s="21"/>
      <c r="C486" s="512"/>
      <c r="D486" s="452"/>
      <c r="E486" s="512"/>
      <c r="F486" s="452"/>
      <c r="G486" s="512"/>
      <c r="H486" s="452"/>
      <c r="I486" s="512"/>
      <c r="J486" s="452"/>
    </row>
    <row r="487" spans="1:10" s="19" customFormat="1">
      <c r="A487" s="21"/>
      <c r="B487" s="21"/>
      <c r="C487" s="512"/>
      <c r="D487" s="452"/>
      <c r="E487" s="512"/>
      <c r="F487" s="452"/>
      <c r="G487" s="512"/>
      <c r="H487" s="452"/>
      <c r="I487" s="512"/>
      <c r="J487" s="452"/>
    </row>
    <row r="488" spans="1:10" s="19" customFormat="1">
      <c r="A488" s="21"/>
      <c r="B488" s="21"/>
      <c r="C488" s="512"/>
      <c r="D488" s="452"/>
      <c r="E488" s="512"/>
      <c r="F488" s="452"/>
      <c r="G488" s="512"/>
      <c r="H488" s="452"/>
      <c r="I488" s="512"/>
      <c r="J488" s="452"/>
    </row>
    <row r="489" spans="1:10" s="19" customFormat="1">
      <c r="A489" s="21"/>
      <c r="B489" s="21"/>
      <c r="C489" s="512"/>
      <c r="D489" s="452"/>
      <c r="E489" s="512"/>
      <c r="F489" s="452"/>
      <c r="G489" s="512"/>
      <c r="H489" s="452"/>
      <c r="I489" s="512"/>
      <c r="J489" s="452"/>
    </row>
    <row r="490" spans="1:10" s="19" customFormat="1">
      <c r="A490" s="21"/>
      <c r="B490" s="21"/>
      <c r="C490" s="512"/>
      <c r="D490" s="452"/>
      <c r="E490" s="512"/>
      <c r="F490" s="452"/>
      <c r="G490" s="512"/>
      <c r="H490" s="452"/>
      <c r="I490" s="512"/>
      <c r="J490" s="452"/>
    </row>
    <row r="491" spans="1:10" s="19" customFormat="1">
      <c r="A491" s="21"/>
      <c r="B491" s="21"/>
      <c r="C491" s="512"/>
      <c r="D491" s="452"/>
      <c r="E491" s="512"/>
      <c r="F491" s="452"/>
      <c r="G491" s="512"/>
      <c r="H491" s="452"/>
      <c r="I491" s="512"/>
      <c r="J491" s="452"/>
    </row>
    <row r="492" spans="1:10" s="19" customFormat="1">
      <c r="A492" s="21"/>
      <c r="B492" s="21"/>
      <c r="C492" s="512"/>
      <c r="D492" s="452"/>
      <c r="E492" s="512"/>
      <c r="F492" s="452"/>
      <c r="G492" s="512"/>
      <c r="H492" s="452"/>
      <c r="I492" s="512"/>
      <c r="J492" s="452"/>
    </row>
    <row r="493" spans="1:10" s="19" customFormat="1">
      <c r="A493" s="21"/>
      <c r="B493" s="21"/>
      <c r="C493" s="512"/>
      <c r="D493" s="452"/>
      <c r="E493" s="512"/>
      <c r="F493" s="452"/>
      <c r="G493" s="512"/>
      <c r="H493" s="452"/>
      <c r="I493" s="512"/>
      <c r="J493" s="452"/>
    </row>
    <row r="494" spans="1:10" s="19" customFormat="1">
      <c r="A494" s="21"/>
      <c r="B494" s="21"/>
      <c r="C494" s="512"/>
      <c r="D494" s="452"/>
      <c r="E494" s="512"/>
      <c r="F494" s="452"/>
      <c r="G494" s="512"/>
      <c r="H494" s="452"/>
      <c r="I494" s="512"/>
      <c r="J494" s="452"/>
    </row>
    <row r="495" spans="1:10" s="19" customFormat="1">
      <c r="A495" s="21"/>
      <c r="B495" s="21"/>
      <c r="C495" s="512"/>
      <c r="D495" s="452"/>
      <c r="E495" s="512"/>
      <c r="F495" s="452"/>
      <c r="G495" s="512"/>
      <c r="H495" s="452"/>
      <c r="I495" s="512"/>
      <c r="J495" s="452"/>
    </row>
    <row r="496" spans="1:10" s="19" customFormat="1">
      <c r="A496" s="21"/>
      <c r="B496" s="21"/>
      <c r="C496" s="512"/>
      <c r="D496" s="452"/>
      <c r="E496" s="512"/>
      <c r="F496" s="452"/>
      <c r="G496" s="512"/>
      <c r="H496" s="452"/>
      <c r="I496" s="512"/>
      <c r="J496" s="452"/>
    </row>
    <row r="497" spans="1:10" s="19" customFormat="1">
      <c r="A497" s="21"/>
      <c r="B497" s="21"/>
      <c r="C497" s="512"/>
      <c r="D497" s="452"/>
      <c r="E497" s="512"/>
      <c r="F497" s="452"/>
      <c r="G497" s="512"/>
      <c r="H497" s="452"/>
      <c r="I497" s="512"/>
      <c r="J497" s="452"/>
    </row>
    <row r="498" spans="1:10" s="19" customFormat="1">
      <c r="A498" s="21"/>
      <c r="B498" s="21"/>
      <c r="C498" s="512"/>
      <c r="D498" s="452"/>
      <c r="E498" s="512"/>
      <c r="F498" s="452"/>
      <c r="G498" s="512"/>
      <c r="H498" s="452"/>
      <c r="I498" s="512"/>
      <c r="J498" s="452"/>
    </row>
    <row r="499" spans="1:10" s="19" customFormat="1">
      <c r="A499" s="21"/>
      <c r="B499" s="21"/>
      <c r="C499" s="512"/>
      <c r="D499" s="452"/>
      <c r="E499" s="512"/>
      <c r="F499" s="452"/>
      <c r="G499" s="512"/>
      <c r="H499" s="452"/>
      <c r="I499" s="512"/>
      <c r="J499" s="452"/>
    </row>
    <row r="500" spans="1:10" s="19" customFormat="1">
      <c r="A500" s="21"/>
      <c r="B500" s="21"/>
      <c r="C500" s="512"/>
      <c r="D500" s="452"/>
      <c r="E500" s="512"/>
      <c r="F500" s="452"/>
      <c r="G500" s="512"/>
      <c r="H500" s="452"/>
      <c r="I500" s="512"/>
      <c r="J500" s="452"/>
    </row>
    <row r="501" spans="1:10" s="19" customFormat="1">
      <c r="A501" s="21"/>
      <c r="B501" s="21"/>
      <c r="C501" s="512"/>
      <c r="D501" s="452"/>
      <c r="E501" s="512"/>
      <c r="F501" s="452"/>
      <c r="G501" s="512"/>
      <c r="H501" s="452"/>
      <c r="I501" s="512"/>
      <c r="J501" s="452"/>
    </row>
    <row r="502" spans="1:10" s="19" customFormat="1">
      <c r="A502" s="21"/>
      <c r="B502" s="21"/>
      <c r="C502" s="512"/>
      <c r="D502" s="452"/>
      <c r="E502" s="512"/>
      <c r="F502" s="452"/>
      <c r="G502" s="512"/>
      <c r="H502" s="452"/>
      <c r="I502" s="512"/>
      <c r="J502" s="452"/>
    </row>
    <row r="503" spans="1:10" s="19" customFormat="1">
      <c r="A503" s="21"/>
      <c r="B503" s="21"/>
      <c r="C503" s="512"/>
      <c r="D503" s="452"/>
      <c r="E503" s="512"/>
      <c r="F503" s="452"/>
      <c r="G503" s="512"/>
      <c r="H503" s="452"/>
      <c r="I503" s="512"/>
      <c r="J503" s="452"/>
    </row>
    <row r="504" spans="1:10" s="19" customFormat="1">
      <c r="A504" s="21"/>
      <c r="B504" s="21"/>
      <c r="C504" s="512"/>
      <c r="D504" s="452"/>
      <c r="E504" s="512"/>
      <c r="F504" s="452"/>
      <c r="G504" s="512"/>
      <c r="H504" s="452"/>
      <c r="I504" s="512"/>
      <c r="J504" s="452"/>
    </row>
    <row r="505" spans="1:10" s="19" customFormat="1">
      <c r="A505" s="21"/>
      <c r="B505" s="21"/>
      <c r="C505" s="512"/>
      <c r="D505" s="452"/>
      <c r="E505" s="512"/>
      <c r="F505" s="452"/>
      <c r="G505" s="512"/>
      <c r="H505" s="452"/>
      <c r="I505" s="512"/>
      <c r="J505" s="452"/>
    </row>
    <row r="506" spans="1:10" s="19" customFormat="1">
      <c r="A506" s="21"/>
      <c r="B506" s="21"/>
      <c r="C506" s="512"/>
      <c r="D506" s="452"/>
      <c r="E506" s="512"/>
      <c r="F506" s="452"/>
      <c r="G506" s="512"/>
      <c r="H506" s="452"/>
      <c r="I506" s="512"/>
      <c r="J506" s="452"/>
    </row>
    <row r="507" spans="1:10" s="19" customFormat="1">
      <c r="A507" s="21"/>
      <c r="B507" s="21"/>
      <c r="C507" s="512"/>
      <c r="D507" s="452"/>
      <c r="E507" s="512"/>
      <c r="F507" s="452"/>
      <c r="G507" s="512"/>
      <c r="H507" s="452"/>
      <c r="I507" s="512"/>
      <c r="J507" s="452"/>
    </row>
    <row r="508" spans="1:10" s="19" customFormat="1">
      <c r="A508" s="21"/>
      <c r="B508" s="21"/>
      <c r="C508" s="512"/>
      <c r="D508" s="452"/>
      <c r="E508" s="512"/>
      <c r="F508" s="452"/>
      <c r="G508" s="512"/>
      <c r="H508" s="452"/>
      <c r="I508" s="512"/>
      <c r="J508" s="452"/>
    </row>
    <row r="509" spans="1:10" s="19" customFormat="1">
      <c r="A509" s="21"/>
      <c r="B509" s="21"/>
      <c r="C509" s="512"/>
      <c r="D509" s="452"/>
      <c r="E509" s="512"/>
      <c r="F509" s="452"/>
      <c r="G509" s="512"/>
      <c r="H509" s="452"/>
      <c r="I509" s="512"/>
      <c r="J509" s="452"/>
    </row>
    <row r="510" spans="1:10" s="19" customFormat="1">
      <c r="A510" s="21"/>
      <c r="B510" s="21"/>
      <c r="C510" s="512"/>
      <c r="D510" s="452"/>
      <c r="E510" s="512"/>
      <c r="F510" s="452"/>
      <c r="G510" s="512"/>
      <c r="H510" s="452"/>
      <c r="I510" s="512"/>
      <c r="J510" s="452"/>
    </row>
    <row r="511" spans="1:10" s="19" customFormat="1">
      <c r="A511" s="21"/>
      <c r="B511" s="21"/>
      <c r="C511" s="512"/>
      <c r="D511" s="452"/>
      <c r="E511" s="512"/>
      <c r="F511" s="452"/>
      <c r="G511" s="512"/>
      <c r="H511" s="452"/>
      <c r="I511" s="512"/>
      <c r="J511" s="452"/>
    </row>
    <row r="512" spans="1:10" s="19" customFormat="1">
      <c r="A512" s="21"/>
      <c r="B512" s="21"/>
      <c r="C512" s="512"/>
      <c r="D512" s="452"/>
      <c r="E512" s="512"/>
      <c r="F512" s="452"/>
      <c r="G512" s="512"/>
      <c r="H512" s="452"/>
      <c r="I512" s="512"/>
      <c r="J512" s="452"/>
    </row>
    <row r="513" spans="1:10" s="19" customFormat="1">
      <c r="A513" s="21"/>
      <c r="B513" s="21"/>
      <c r="C513" s="512"/>
      <c r="D513" s="452"/>
      <c r="E513" s="512"/>
      <c r="F513" s="452"/>
      <c r="G513" s="512"/>
      <c r="H513" s="452"/>
      <c r="I513" s="512"/>
      <c r="J513" s="452"/>
    </row>
    <row r="514" spans="1:10" s="19" customFormat="1">
      <c r="A514" s="21"/>
      <c r="B514" s="21"/>
      <c r="C514" s="512"/>
      <c r="D514" s="452"/>
      <c r="E514" s="512"/>
      <c r="F514" s="452"/>
      <c r="G514" s="512"/>
      <c r="H514" s="452"/>
      <c r="I514" s="512"/>
      <c r="J514" s="452"/>
    </row>
    <row r="515" spans="1:10" s="19" customFormat="1">
      <c r="A515" s="21"/>
      <c r="B515" s="21"/>
      <c r="C515" s="512"/>
      <c r="D515" s="452"/>
      <c r="E515" s="512"/>
      <c r="F515" s="452"/>
      <c r="G515" s="512"/>
      <c r="H515" s="452"/>
      <c r="I515" s="512"/>
      <c r="J515" s="452"/>
    </row>
    <row r="516" spans="1:10" s="19" customFormat="1">
      <c r="A516" s="21"/>
      <c r="B516" s="21"/>
      <c r="C516" s="512"/>
      <c r="D516" s="452"/>
      <c r="E516" s="512"/>
      <c r="F516" s="452"/>
      <c r="G516" s="512"/>
      <c r="H516" s="452"/>
      <c r="I516" s="512"/>
      <c r="J516" s="452"/>
    </row>
    <row r="517" spans="1:10" s="19" customFormat="1">
      <c r="A517" s="21"/>
      <c r="B517" s="21"/>
      <c r="C517" s="512"/>
      <c r="D517" s="452"/>
      <c r="E517" s="512"/>
      <c r="F517" s="452"/>
      <c r="G517" s="512"/>
      <c r="H517" s="452"/>
      <c r="I517" s="512"/>
      <c r="J517" s="452"/>
    </row>
    <row r="518" spans="1:10" s="19" customFormat="1">
      <c r="A518" s="21"/>
      <c r="B518" s="21"/>
      <c r="C518" s="512"/>
      <c r="D518" s="452"/>
      <c r="E518" s="512"/>
      <c r="F518" s="452"/>
      <c r="G518" s="512"/>
      <c r="H518" s="452"/>
      <c r="I518" s="512"/>
      <c r="J518" s="452"/>
    </row>
    <row r="519" spans="1:10" s="19" customFormat="1">
      <c r="A519" s="21"/>
      <c r="B519" s="21"/>
      <c r="C519" s="512"/>
      <c r="D519" s="452"/>
      <c r="E519" s="512"/>
      <c r="F519" s="452"/>
      <c r="G519" s="512"/>
      <c r="H519" s="452"/>
      <c r="I519" s="512"/>
      <c r="J519" s="452"/>
    </row>
    <row r="520" spans="1:10" s="19" customFormat="1">
      <c r="A520" s="21"/>
      <c r="B520" s="21"/>
      <c r="C520" s="512"/>
      <c r="D520" s="452"/>
      <c r="E520" s="512"/>
      <c r="F520" s="452"/>
      <c r="G520" s="512"/>
      <c r="H520" s="452"/>
      <c r="I520" s="512"/>
      <c r="J520" s="452"/>
    </row>
    <row r="521" spans="1:10" s="19" customFormat="1">
      <c r="A521" s="21"/>
      <c r="B521" s="21"/>
      <c r="C521" s="512"/>
      <c r="D521" s="452"/>
      <c r="E521" s="512"/>
      <c r="F521" s="452"/>
      <c r="G521" s="512"/>
      <c r="H521" s="452"/>
      <c r="I521" s="512"/>
      <c r="J521" s="452"/>
    </row>
    <row r="522" spans="1:10" s="19" customFormat="1">
      <c r="A522" s="21"/>
      <c r="B522" s="21"/>
      <c r="C522" s="512"/>
      <c r="D522" s="452"/>
      <c r="E522" s="512"/>
      <c r="F522" s="452"/>
      <c r="G522" s="512"/>
      <c r="H522" s="452"/>
      <c r="I522" s="512"/>
      <c r="J522" s="452"/>
    </row>
    <row r="523" spans="1:10" s="19" customFormat="1">
      <c r="A523" s="21"/>
      <c r="B523" s="21"/>
      <c r="C523" s="512"/>
      <c r="D523" s="452"/>
      <c r="E523" s="512"/>
      <c r="F523" s="452"/>
      <c r="G523" s="512"/>
      <c r="H523" s="452"/>
      <c r="I523" s="512"/>
      <c r="J523" s="452"/>
    </row>
    <row r="524" spans="1:10" s="19" customFormat="1">
      <c r="A524" s="21"/>
      <c r="B524" s="21"/>
      <c r="C524" s="512"/>
      <c r="D524" s="452"/>
      <c r="E524" s="512"/>
      <c r="F524" s="452"/>
      <c r="G524" s="512"/>
      <c r="H524" s="452"/>
      <c r="I524" s="512"/>
      <c r="J524" s="452"/>
    </row>
    <row r="525" spans="1:10" s="19" customFormat="1">
      <c r="A525" s="21"/>
      <c r="B525" s="21"/>
      <c r="C525" s="512"/>
      <c r="D525" s="452"/>
      <c r="E525" s="512"/>
      <c r="F525" s="452"/>
      <c r="G525" s="512"/>
      <c r="H525" s="452"/>
      <c r="I525" s="512"/>
      <c r="J525" s="452"/>
    </row>
    <row r="526" spans="1:10" s="19" customFormat="1">
      <c r="A526" s="21"/>
      <c r="B526" s="21"/>
      <c r="C526" s="512"/>
      <c r="D526" s="452"/>
      <c r="E526" s="512"/>
      <c r="F526" s="452"/>
      <c r="G526" s="512"/>
      <c r="H526" s="452"/>
      <c r="I526" s="512"/>
      <c r="J526" s="452"/>
    </row>
    <row r="527" spans="1:10" s="19" customFormat="1">
      <c r="A527" s="21"/>
      <c r="B527" s="21"/>
      <c r="C527" s="512"/>
      <c r="D527" s="452"/>
      <c r="E527" s="512"/>
      <c r="F527" s="452"/>
      <c r="G527" s="512"/>
      <c r="H527" s="452"/>
      <c r="I527" s="512"/>
      <c r="J527" s="452"/>
    </row>
    <row r="528" spans="1:10" s="19" customFormat="1">
      <c r="A528" s="21"/>
      <c r="B528" s="21"/>
      <c r="C528" s="512"/>
      <c r="D528" s="452"/>
      <c r="E528" s="512"/>
      <c r="F528" s="452"/>
      <c r="G528" s="512"/>
      <c r="H528" s="452"/>
      <c r="I528" s="512"/>
      <c r="J528" s="452"/>
    </row>
    <row r="529" spans="1:10" s="19" customFormat="1">
      <c r="A529" s="21"/>
      <c r="B529" s="21"/>
      <c r="C529" s="512"/>
      <c r="D529" s="452"/>
      <c r="E529" s="512"/>
      <c r="F529" s="452"/>
      <c r="G529" s="512"/>
      <c r="H529" s="452"/>
      <c r="I529" s="512"/>
      <c r="J529" s="452"/>
    </row>
    <row r="530" spans="1:10" s="19" customFormat="1">
      <c r="A530" s="21"/>
      <c r="B530" s="21"/>
      <c r="C530" s="512"/>
      <c r="D530" s="452"/>
      <c r="E530" s="512"/>
      <c r="F530" s="452"/>
      <c r="G530" s="512"/>
      <c r="H530" s="452"/>
      <c r="I530" s="512"/>
      <c r="J530" s="452"/>
    </row>
    <row r="531" spans="1:10" s="19" customFormat="1">
      <c r="A531" s="21"/>
      <c r="B531" s="21"/>
      <c r="C531" s="512"/>
      <c r="D531" s="452"/>
      <c r="E531" s="512"/>
      <c r="F531" s="452"/>
      <c r="G531" s="512"/>
      <c r="H531" s="452"/>
      <c r="I531" s="512"/>
      <c r="J531" s="452"/>
    </row>
    <row r="532" spans="1:10" s="19" customFormat="1">
      <c r="A532" s="21"/>
      <c r="B532" s="21"/>
      <c r="C532" s="512"/>
      <c r="D532" s="452"/>
      <c r="E532" s="512"/>
      <c r="F532" s="452"/>
      <c r="G532" s="512"/>
      <c r="H532" s="452"/>
      <c r="I532" s="512"/>
      <c r="J532" s="452"/>
    </row>
    <row r="533" spans="1:10" s="19" customFormat="1">
      <c r="A533" s="21"/>
      <c r="B533" s="21"/>
      <c r="C533" s="512"/>
      <c r="D533" s="452"/>
      <c r="E533" s="512"/>
      <c r="F533" s="452"/>
      <c r="G533" s="512"/>
      <c r="H533" s="452"/>
      <c r="I533" s="512"/>
      <c r="J533" s="452"/>
    </row>
    <row r="534" spans="1:10" s="19" customFormat="1">
      <c r="A534" s="21"/>
      <c r="B534" s="21"/>
      <c r="C534" s="512"/>
      <c r="D534" s="452"/>
      <c r="E534" s="512"/>
      <c r="F534" s="452"/>
      <c r="G534" s="512"/>
      <c r="H534" s="452"/>
      <c r="I534" s="512"/>
      <c r="J534" s="452"/>
    </row>
    <row r="535" spans="1:10" s="19" customFormat="1">
      <c r="A535" s="21"/>
      <c r="B535" s="21"/>
      <c r="C535" s="512"/>
      <c r="D535" s="452"/>
      <c r="E535" s="512"/>
      <c r="F535" s="452"/>
      <c r="G535" s="512"/>
      <c r="H535" s="452"/>
      <c r="I535" s="512"/>
      <c r="J535" s="452"/>
    </row>
    <row r="536" spans="1:10" s="19" customFormat="1">
      <c r="A536" s="21"/>
      <c r="B536" s="21"/>
      <c r="C536" s="512"/>
      <c r="D536" s="452"/>
      <c r="E536" s="512"/>
      <c r="F536" s="452"/>
      <c r="G536" s="512"/>
      <c r="H536" s="452"/>
      <c r="I536" s="512"/>
      <c r="J536" s="452"/>
    </row>
    <row r="537" spans="1:10" s="19" customFormat="1">
      <c r="A537" s="21"/>
      <c r="B537" s="21"/>
      <c r="C537" s="512"/>
      <c r="D537" s="452"/>
      <c r="E537" s="512"/>
      <c r="F537" s="452"/>
      <c r="G537" s="512"/>
      <c r="H537" s="452"/>
      <c r="I537" s="512"/>
      <c r="J537" s="452"/>
    </row>
    <row r="538" spans="1:10" s="19" customFormat="1">
      <c r="A538" s="21"/>
      <c r="B538" s="21"/>
      <c r="C538" s="512"/>
      <c r="D538" s="452"/>
      <c r="E538" s="512"/>
      <c r="F538" s="452"/>
      <c r="G538" s="512"/>
      <c r="H538" s="452"/>
      <c r="I538" s="512"/>
      <c r="J538" s="452"/>
    </row>
    <row r="539" spans="1:10" s="19" customFormat="1">
      <c r="A539" s="21"/>
      <c r="B539" s="21"/>
      <c r="C539" s="512"/>
      <c r="D539" s="452"/>
      <c r="E539" s="512"/>
      <c r="F539" s="452"/>
      <c r="G539" s="512"/>
      <c r="H539" s="452"/>
      <c r="I539" s="512"/>
      <c r="J539" s="452"/>
    </row>
    <row r="540" spans="1:10" s="19" customFormat="1">
      <c r="A540" s="21"/>
      <c r="B540" s="21"/>
      <c r="C540" s="512"/>
      <c r="D540" s="452"/>
      <c r="E540" s="512"/>
      <c r="F540" s="452"/>
      <c r="G540" s="512"/>
      <c r="H540" s="452"/>
      <c r="I540" s="512"/>
      <c r="J540" s="452"/>
    </row>
    <row r="541" spans="1:10" s="19" customFormat="1">
      <c r="A541" s="21"/>
      <c r="B541" s="21"/>
      <c r="C541" s="512"/>
      <c r="D541" s="452"/>
      <c r="E541" s="512"/>
      <c r="F541" s="452"/>
      <c r="G541" s="512"/>
      <c r="H541" s="452"/>
      <c r="I541" s="512"/>
      <c r="J541" s="452"/>
    </row>
    <row r="542" spans="1:10" s="19" customFormat="1">
      <c r="A542" s="21"/>
      <c r="B542" s="21"/>
      <c r="C542" s="512"/>
      <c r="D542" s="452"/>
      <c r="E542" s="512"/>
      <c r="F542" s="452"/>
      <c r="G542" s="512"/>
      <c r="H542" s="452"/>
      <c r="I542" s="512"/>
      <c r="J542" s="452"/>
    </row>
    <row r="543" spans="1:10" s="19" customFormat="1">
      <c r="A543" s="21"/>
      <c r="B543" s="21"/>
      <c r="C543" s="512"/>
      <c r="D543" s="452"/>
      <c r="E543" s="512"/>
      <c r="F543" s="452"/>
      <c r="G543" s="512"/>
      <c r="H543" s="452"/>
      <c r="I543" s="512"/>
      <c r="J543" s="452"/>
    </row>
    <row r="544" spans="1:10" s="19" customFormat="1">
      <c r="A544" s="21"/>
      <c r="B544" s="21"/>
      <c r="C544" s="512"/>
      <c r="D544" s="452"/>
      <c r="E544" s="512"/>
      <c r="F544" s="452"/>
      <c r="G544" s="512"/>
      <c r="H544" s="452"/>
      <c r="I544" s="512"/>
      <c r="J544" s="452"/>
    </row>
    <row r="545" spans="1:10" s="19" customFormat="1">
      <c r="A545" s="21"/>
      <c r="B545" s="21"/>
      <c r="C545" s="512"/>
      <c r="D545" s="452"/>
      <c r="E545" s="512"/>
      <c r="F545" s="452"/>
      <c r="G545" s="512"/>
      <c r="H545" s="452"/>
      <c r="I545" s="512"/>
      <c r="J545" s="452"/>
    </row>
    <row r="546" spans="1:10" s="19" customFormat="1">
      <c r="A546" s="21"/>
      <c r="B546" s="21"/>
      <c r="C546" s="512"/>
      <c r="D546" s="452"/>
      <c r="E546" s="512"/>
      <c r="F546" s="452"/>
      <c r="G546" s="512"/>
      <c r="H546" s="452"/>
      <c r="I546" s="512"/>
      <c r="J546" s="452"/>
    </row>
    <row r="547" spans="1:10" s="19" customFormat="1">
      <c r="A547" s="21"/>
      <c r="B547" s="21"/>
      <c r="C547" s="512"/>
      <c r="D547" s="452"/>
      <c r="E547" s="512"/>
      <c r="F547" s="452"/>
      <c r="G547" s="512"/>
      <c r="H547" s="452"/>
      <c r="I547" s="512"/>
      <c r="J547" s="452"/>
    </row>
    <row r="548" spans="1:10" s="19" customFormat="1">
      <c r="A548" s="21"/>
      <c r="B548" s="21"/>
      <c r="C548" s="512"/>
      <c r="D548" s="452"/>
      <c r="E548" s="512"/>
      <c r="F548" s="452"/>
      <c r="G548" s="512"/>
      <c r="H548" s="452"/>
      <c r="I548" s="512"/>
      <c r="J548" s="452"/>
    </row>
    <row r="549" spans="1:10" s="19" customFormat="1">
      <c r="A549" s="21"/>
      <c r="B549" s="21"/>
      <c r="C549" s="512"/>
      <c r="D549" s="452"/>
      <c r="E549" s="512"/>
      <c r="F549" s="452"/>
      <c r="G549" s="512"/>
      <c r="H549" s="452"/>
      <c r="I549" s="512"/>
      <c r="J549" s="452"/>
    </row>
    <row r="550" spans="1:10" s="19" customFormat="1">
      <c r="A550" s="21"/>
      <c r="B550" s="21"/>
      <c r="C550" s="512"/>
      <c r="D550" s="452"/>
      <c r="E550" s="512"/>
      <c r="F550" s="452"/>
      <c r="G550" s="512"/>
      <c r="H550" s="452"/>
      <c r="I550" s="512"/>
      <c r="J550" s="452"/>
    </row>
    <row r="551" spans="1:10" s="19" customFormat="1">
      <c r="A551" s="21"/>
      <c r="B551" s="21"/>
      <c r="C551" s="512"/>
      <c r="D551" s="452"/>
      <c r="E551" s="512"/>
      <c r="F551" s="452"/>
      <c r="G551" s="512"/>
      <c r="H551" s="452"/>
      <c r="I551" s="512"/>
      <c r="J551" s="452"/>
    </row>
    <row r="552" spans="1:10" s="19" customFormat="1">
      <c r="A552" s="21"/>
      <c r="B552" s="21"/>
      <c r="C552" s="512"/>
      <c r="D552" s="452"/>
      <c r="E552" s="512"/>
      <c r="F552" s="452"/>
      <c r="G552" s="512"/>
      <c r="H552" s="452"/>
      <c r="I552" s="512"/>
      <c r="J552" s="452"/>
    </row>
    <row r="553" spans="1:10" s="19" customFormat="1">
      <c r="A553" s="21"/>
      <c r="B553" s="21"/>
      <c r="C553" s="512"/>
      <c r="D553" s="452"/>
      <c r="E553" s="512"/>
      <c r="F553" s="452"/>
      <c r="G553" s="512"/>
      <c r="H553" s="452"/>
      <c r="I553" s="512"/>
      <c r="J553" s="452"/>
    </row>
    <row r="554" spans="1:10" s="19" customFormat="1">
      <c r="A554" s="21"/>
      <c r="B554" s="21"/>
      <c r="C554" s="512"/>
      <c r="D554" s="452"/>
      <c r="E554" s="512"/>
      <c r="F554" s="452"/>
      <c r="G554" s="512"/>
      <c r="H554" s="452"/>
      <c r="I554" s="512"/>
      <c r="J554" s="452"/>
    </row>
    <row r="555" spans="1:10" s="19" customFormat="1">
      <c r="A555" s="21"/>
      <c r="B555" s="21"/>
      <c r="C555" s="512"/>
      <c r="D555" s="452"/>
      <c r="E555" s="512"/>
      <c r="F555" s="452"/>
      <c r="G555" s="512"/>
      <c r="H555" s="452"/>
      <c r="I555" s="512"/>
      <c r="J555" s="452"/>
    </row>
    <row r="556" spans="1:10" s="19" customFormat="1">
      <c r="A556" s="21"/>
      <c r="B556" s="21"/>
      <c r="C556" s="512"/>
      <c r="D556" s="452"/>
      <c r="E556" s="512"/>
      <c r="F556" s="452"/>
      <c r="G556" s="512"/>
      <c r="H556" s="452"/>
      <c r="I556" s="512"/>
      <c r="J556" s="452"/>
    </row>
    <row r="557" spans="1:10" s="19" customFormat="1">
      <c r="A557" s="21"/>
      <c r="B557" s="21"/>
      <c r="C557" s="512"/>
      <c r="D557" s="452"/>
      <c r="E557" s="512"/>
      <c r="F557" s="452"/>
      <c r="G557" s="512"/>
      <c r="H557" s="452"/>
      <c r="I557" s="512"/>
      <c r="J557" s="452"/>
    </row>
    <row r="558" spans="1:10" s="19" customFormat="1">
      <c r="A558" s="21"/>
      <c r="B558" s="21"/>
      <c r="C558" s="512"/>
      <c r="D558" s="452"/>
      <c r="E558" s="512"/>
      <c r="F558" s="452"/>
      <c r="G558" s="512"/>
      <c r="H558" s="452"/>
      <c r="I558" s="512"/>
      <c r="J558" s="452"/>
    </row>
    <row r="559" spans="1:10" s="19" customFormat="1">
      <c r="A559" s="21"/>
      <c r="B559" s="21"/>
      <c r="C559" s="512"/>
      <c r="D559" s="452"/>
      <c r="E559" s="512"/>
      <c r="F559" s="452"/>
      <c r="G559" s="512"/>
      <c r="H559" s="452"/>
      <c r="I559" s="512"/>
      <c r="J559" s="452"/>
    </row>
    <row r="560" spans="1:10" s="19" customFormat="1">
      <c r="A560" s="21"/>
      <c r="B560" s="21"/>
      <c r="C560" s="512"/>
      <c r="D560" s="452"/>
      <c r="E560" s="512"/>
      <c r="F560" s="452"/>
      <c r="G560" s="512"/>
      <c r="H560" s="452"/>
      <c r="I560" s="512"/>
      <c r="J560" s="452"/>
    </row>
    <row r="561" spans="1:10" s="19" customFormat="1">
      <c r="A561" s="21"/>
      <c r="B561" s="21"/>
      <c r="C561" s="512"/>
      <c r="D561" s="452"/>
      <c r="E561" s="512"/>
      <c r="F561" s="452"/>
      <c r="G561" s="512"/>
      <c r="H561" s="452"/>
      <c r="I561" s="512"/>
      <c r="J561" s="452"/>
    </row>
    <row r="562" spans="1:10" s="19" customFormat="1">
      <c r="A562" s="21"/>
      <c r="B562" s="21"/>
      <c r="C562" s="512"/>
      <c r="D562" s="452"/>
      <c r="E562" s="512"/>
      <c r="F562" s="452"/>
      <c r="G562" s="512"/>
      <c r="H562" s="452"/>
      <c r="I562" s="512"/>
      <c r="J562" s="452"/>
    </row>
    <row r="563" spans="1:10" s="19" customFormat="1">
      <c r="A563" s="21"/>
      <c r="B563" s="21"/>
      <c r="C563" s="512"/>
      <c r="D563" s="452"/>
      <c r="E563" s="512"/>
      <c r="F563" s="452"/>
      <c r="G563" s="512"/>
      <c r="H563" s="452"/>
      <c r="I563" s="512"/>
      <c r="J563" s="452"/>
    </row>
    <row r="564" spans="1:10" s="19" customFormat="1">
      <c r="A564" s="21"/>
      <c r="B564" s="21"/>
      <c r="C564" s="512"/>
      <c r="D564" s="452"/>
      <c r="E564" s="512"/>
      <c r="F564" s="452"/>
      <c r="G564" s="512"/>
      <c r="H564" s="452"/>
      <c r="I564" s="512"/>
      <c r="J564" s="452"/>
    </row>
    <row r="565" spans="1:10" s="19" customFormat="1">
      <c r="A565" s="21"/>
      <c r="B565" s="21"/>
      <c r="C565" s="512"/>
      <c r="D565" s="452"/>
      <c r="E565" s="512"/>
      <c r="F565" s="452"/>
      <c r="G565" s="512"/>
      <c r="H565" s="452"/>
      <c r="I565" s="512"/>
      <c r="J565" s="452"/>
    </row>
    <row r="566" spans="1:10" s="19" customFormat="1">
      <c r="A566" s="21"/>
      <c r="B566" s="21"/>
      <c r="C566" s="512"/>
      <c r="D566" s="452"/>
      <c r="E566" s="512"/>
      <c r="F566" s="452"/>
      <c r="G566" s="512"/>
      <c r="H566" s="452"/>
      <c r="I566" s="512"/>
      <c r="J566" s="452"/>
    </row>
    <row r="567" spans="1:10" s="19" customFormat="1">
      <c r="A567" s="21"/>
      <c r="B567" s="21"/>
      <c r="C567" s="512"/>
      <c r="D567" s="452"/>
      <c r="E567" s="512"/>
      <c r="F567" s="452"/>
      <c r="G567" s="512"/>
      <c r="H567" s="452"/>
      <c r="I567" s="512"/>
      <c r="J567" s="452"/>
    </row>
    <row r="568" spans="1:10" s="19" customFormat="1">
      <c r="A568" s="21"/>
      <c r="B568" s="21"/>
      <c r="C568" s="512"/>
      <c r="D568" s="452"/>
      <c r="E568" s="512"/>
      <c r="F568" s="452"/>
      <c r="G568" s="512"/>
      <c r="H568" s="452"/>
      <c r="I568" s="512"/>
      <c r="J568" s="452"/>
    </row>
    <row r="569" spans="1:10" s="19" customFormat="1">
      <c r="A569" s="21"/>
      <c r="B569" s="21"/>
      <c r="C569" s="512"/>
      <c r="D569" s="452"/>
      <c r="E569" s="512"/>
      <c r="F569" s="452"/>
      <c r="G569" s="512"/>
      <c r="H569" s="452"/>
      <c r="I569" s="512"/>
      <c r="J569" s="452"/>
    </row>
    <row r="570" spans="1:10" s="19" customFormat="1">
      <c r="A570" s="21"/>
      <c r="B570" s="21"/>
      <c r="C570" s="512"/>
      <c r="D570" s="452"/>
      <c r="E570" s="512"/>
      <c r="F570" s="452"/>
      <c r="G570" s="512"/>
      <c r="H570" s="452"/>
      <c r="I570" s="512"/>
      <c r="J570" s="452"/>
    </row>
    <row r="571" spans="1:10" s="19" customFormat="1">
      <c r="A571" s="21"/>
      <c r="B571" s="21"/>
      <c r="C571" s="512"/>
      <c r="D571" s="452"/>
      <c r="E571" s="512"/>
      <c r="F571" s="452"/>
      <c r="G571" s="512"/>
      <c r="H571" s="452"/>
      <c r="I571" s="512"/>
      <c r="J571" s="452"/>
    </row>
    <row r="572" spans="1:10" s="19" customFormat="1">
      <c r="A572" s="21"/>
      <c r="B572" s="21"/>
      <c r="C572" s="512"/>
      <c r="D572" s="452"/>
      <c r="E572" s="512"/>
      <c r="F572" s="452"/>
      <c r="G572" s="512"/>
      <c r="H572" s="452"/>
      <c r="I572" s="512"/>
      <c r="J572" s="452"/>
    </row>
    <row r="573" spans="1:10" s="19" customFormat="1">
      <c r="A573" s="21"/>
      <c r="B573" s="21"/>
      <c r="C573" s="512"/>
      <c r="D573" s="452"/>
      <c r="E573" s="512"/>
      <c r="F573" s="452"/>
      <c r="G573" s="512"/>
      <c r="H573" s="452"/>
      <c r="I573" s="512"/>
      <c r="J573" s="452"/>
    </row>
    <row r="574" spans="1:10" s="19" customFormat="1">
      <c r="A574" s="21"/>
      <c r="B574" s="21"/>
      <c r="C574" s="512"/>
      <c r="D574" s="452"/>
      <c r="E574" s="512"/>
      <c r="F574" s="452"/>
      <c r="G574" s="512"/>
      <c r="H574" s="452"/>
      <c r="I574" s="512"/>
      <c r="J574" s="452"/>
    </row>
    <row r="575" spans="1:10" s="19" customFormat="1">
      <c r="A575" s="21"/>
      <c r="B575" s="21"/>
      <c r="C575" s="512"/>
      <c r="D575" s="452"/>
      <c r="E575" s="512"/>
      <c r="F575" s="452"/>
      <c r="G575" s="512"/>
      <c r="H575" s="452"/>
      <c r="I575" s="512"/>
      <c r="J575" s="452"/>
    </row>
    <row r="576" spans="1:10" s="19" customFormat="1">
      <c r="A576" s="21"/>
      <c r="B576" s="21"/>
      <c r="C576" s="512"/>
      <c r="D576" s="452"/>
      <c r="E576" s="512"/>
      <c r="F576" s="452"/>
      <c r="G576" s="512"/>
      <c r="H576" s="452"/>
      <c r="I576" s="512"/>
      <c r="J576" s="452"/>
    </row>
    <row r="577" spans="1:10" s="19" customFormat="1">
      <c r="A577" s="21"/>
      <c r="B577" s="21"/>
      <c r="C577" s="512"/>
      <c r="D577" s="452"/>
      <c r="E577" s="512"/>
      <c r="F577" s="452"/>
      <c r="G577" s="512"/>
      <c r="H577" s="452"/>
      <c r="I577" s="512"/>
      <c r="J577" s="452"/>
    </row>
    <row r="578" spans="1:10" s="19" customFormat="1">
      <c r="A578" s="21"/>
      <c r="B578" s="21"/>
      <c r="C578" s="512"/>
      <c r="D578" s="452"/>
      <c r="E578" s="512"/>
      <c r="F578" s="452"/>
      <c r="G578" s="512"/>
      <c r="H578" s="452"/>
      <c r="I578" s="512"/>
      <c r="J578" s="452"/>
    </row>
    <row r="579" spans="1:10" s="19" customFormat="1">
      <c r="A579" s="21"/>
      <c r="B579" s="21"/>
      <c r="C579" s="512"/>
      <c r="D579" s="452"/>
      <c r="E579" s="512"/>
      <c r="F579" s="452"/>
      <c r="G579" s="512"/>
      <c r="H579" s="452"/>
      <c r="I579" s="512"/>
      <c r="J579" s="452"/>
    </row>
    <row r="580" spans="1:10" s="19" customFormat="1">
      <c r="A580" s="21"/>
      <c r="B580" s="21"/>
      <c r="C580" s="512"/>
      <c r="D580" s="452"/>
      <c r="E580" s="512"/>
      <c r="F580" s="452"/>
      <c r="G580" s="512"/>
      <c r="H580" s="452"/>
      <c r="I580" s="512"/>
      <c r="J580" s="452"/>
    </row>
    <row r="581" spans="1:10" s="19" customFormat="1">
      <c r="A581" s="21"/>
      <c r="B581" s="21"/>
      <c r="C581" s="512"/>
      <c r="D581" s="452"/>
      <c r="E581" s="512"/>
      <c r="F581" s="452"/>
      <c r="G581" s="512"/>
      <c r="H581" s="452"/>
      <c r="I581" s="512"/>
      <c r="J581" s="452"/>
    </row>
    <row r="582" spans="1:10" s="19" customFormat="1">
      <c r="A582" s="21"/>
      <c r="B582" s="21"/>
      <c r="C582" s="512"/>
      <c r="D582" s="452"/>
      <c r="E582" s="512"/>
      <c r="F582" s="452"/>
      <c r="G582" s="512"/>
      <c r="H582" s="452"/>
      <c r="I582" s="512"/>
      <c r="J582" s="452"/>
    </row>
    <row r="583" spans="1:10" s="19" customFormat="1">
      <c r="A583" s="21"/>
      <c r="B583" s="21"/>
      <c r="C583" s="512"/>
      <c r="D583" s="452"/>
      <c r="E583" s="512"/>
      <c r="F583" s="452"/>
      <c r="G583" s="512"/>
      <c r="H583" s="452"/>
      <c r="I583" s="512"/>
      <c r="J583" s="452"/>
    </row>
    <row r="584" spans="1:10" s="19" customFormat="1">
      <c r="A584" s="21"/>
      <c r="B584" s="21"/>
      <c r="C584" s="512"/>
      <c r="D584" s="452"/>
      <c r="E584" s="512"/>
      <c r="F584" s="452"/>
      <c r="G584" s="512"/>
      <c r="H584" s="452"/>
      <c r="I584" s="512"/>
      <c r="J584" s="452"/>
    </row>
    <row r="585" spans="1:10" s="19" customFormat="1">
      <c r="A585" s="21"/>
      <c r="B585" s="21"/>
      <c r="C585" s="512"/>
      <c r="D585" s="452"/>
      <c r="E585" s="512"/>
      <c r="F585" s="452"/>
      <c r="G585" s="512"/>
      <c r="H585" s="452"/>
      <c r="I585" s="512"/>
      <c r="J585" s="452"/>
    </row>
    <row r="586" spans="1:10" s="19" customFormat="1">
      <c r="A586" s="21"/>
      <c r="B586" s="21"/>
      <c r="C586" s="512"/>
      <c r="D586" s="452"/>
      <c r="E586" s="512"/>
      <c r="F586" s="452"/>
      <c r="G586" s="512"/>
      <c r="H586" s="452"/>
      <c r="I586" s="512"/>
      <c r="J586" s="452"/>
    </row>
    <row r="587" spans="1:10" s="19" customFormat="1">
      <c r="A587" s="21"/>
      <c r="B587" s="21"/>
      <c r="C587" s="512"/>
      <c r="D587" s="452"/>
      <c r="E587" s="512"/>
      <c r="F587" s="452"/>
      <c r="G587" s="512"/>
      <c r="H587" s="452"/>
      <c r="I587" s="512"/>
      <c r="J587" s="452"/>
    </row>
    <row r="588" spans="1:10" s="19" customFormat="1">
      <c r="A588" s="21"/>
      <c r="B588" s="21"/>
      <c r="C588" s="512"/>
      <c r="D588" s="452"/>
      <c r="E588" s="512"/>
      <c r="F588" s="452"/>
      <c r="G588" s="512"/>
      <c r="H588" s="452"/>
      <c r="I588" s="512"/>
      <c r="J588" s="452"/>
    </row>
    <row r="589" spans="1:10" s="19" customFormat="1">
      <c r="A589" s="21"/>
      <c r="B589" s="21"/>
      <c r="C589" s="512"/>
      <c r="D589" s="452"/>
      <c r="E589" s="512"/>
      <c r="F589" s="452"/>
      <c r="G589" s="512"/>
      <c r="H589" s="452"/>
      <c r="I589" s="512"/>
      <c r="J589" s="452"/>
    </row>
    <row r="590" spans="1:10" s="19" customFormat="1">
      <c r="A590" s="21"/>
      <c r="B590" s="21"/>
      <c r="C590" s="512"/>
      <c r="D590" s="452"/>
      <c r="E590" s="512"/>
      <c r="F590" s="452"/>
      <c r="G590" s="512"/>
      <c r="H590" s="452"/>
      <c r="I590" s="512"/>
      <c r="J590" s="452"/>
    </row>
    <row r="591" spans="1:10" s="19" customFormat="1">
      <c r="A591" s="21"/>
      <c r="B591" s="21"/>
      <c r="C591" s="512"/>
      <c r="D591" s="452"/>
      <c r="E591" s="512"/>
      <c r="F591" s="452"/>
      <c r="G591" s="512"/>
      <c r="H591" s="452"/>
      <c r="I591" s="512"/>
      <c r="J591" s="452"/>
    </row>
    <row r="592" spans="1:10" s="19" customFormat="1">
      <c r="A592" s="21"/>
      <c r="B592" s="21"/>
      <c r="C592" s="512"/>
      <c r="D592" s="452"/>
      <c r="E592" s="512"/>
      <c r="F592" s="452"/>
      <c r="G592" s="512"/>
      <c r="H592" s="452"/>
      <c r="I592" s="512"/>
      <c r="J592" s="452"/>
    </row>
    <row r="593" spans="1:10" s="19" customFormat="1">
      <c r="A593" s="21"/>
      <c r="B593" s="21"/>
      <c r="C593" s="512"/>
      <c r="D593" s="452"/>
      <c r="E593" s="512"/>
      <c r="F593" s="452"/>
      <c r="G593" s="512"/>
      <c r="H593" s="452"/>
      <c r="I593" s="512"/>
      <c r="J593" s="452"/>
    </row>
    <row r="594" spans="1:10" s="19" customFormat="1">
      <c r="A594" s="21"/>
      <c r="B594" s="21"/>
      <c r="C594" s="512"/>
      <c r="D594" s="452"/>
      <c r="E594" s="512"/>
      <c r="F594" s="452"/>
      <c r="G594" s="512"/>
      <c r="H594" s="452"/>
      <c r="I594" s="512"/>
      <c r="J594" s="452"/>
    </row>
    <row r="595" spans="1:10" s="19" customFormat="1">
      <c r="A595" s="21"/>
      <c r="B595" s="21"/>
      <c r="C595" s="512"/>
      <c r="D595" s="452"/>
      <c r="E595" s="512"/>
      <c r="F595" s="452"/>
      <c r="G595" s="512"/>
      <c r="H595" s="452"/>
      <c r="I595" s="512"/>
      <c r="J595" s="452"/>
    </row>
    <row r="596" spans="1:10" s="19" customFormat="1">
      <c r="A596" s="21"/>
      <c r="B596" s="21"/>
      <c r="C596" s="512"/>
      <c r="D596" s="452"/>
      <c r="E596" s="512"/>
      <c r="F596" s="452"/>
      <c r="G596" s="512"/>
      <c r="H596" s="452"/>
      <c r="I596" s="512"/>
      <c r="J596" s="452"/>
    </row>
    <row r="597" spans="1:10" s="19" customFormat="1">
      <c r="A597" s="21"/>
      <c r="B597" s="21"/>
      <c r="C597" s="512"/>
      <c r="D597" s="452"/>
      <c r="E597" s="512"/>
      <c r="F597" s="452"/>
      <c r="G597" s="512"/>
      <c r="H597" s="452"/>
      <c r="I597" s="512"/>
      <c r="J597" s="452"/>
    </row>
    <row r="598" spans="1:10" s="19" customFormat="1">
      <c r="A598" s="21"/>
      <c r="B598" s="21"/>
      <c r="C598" s="512"/>
      <c r="D598" s="452"/>
      <c r="E598" s="512"/>
      <c r="F598" s="452"/>
      <c r="G598" s="512"/>
      <c r="H598" s="452"/>
      <c r="I598" s="512"/>
      <c r="J598" s="452"/>
    </row>
    <row r="599" spans="1:10" s="19" customFormat="1">
      <c r="A599" s="21"/>
      <c r="B599" s="21"/>
      <c r="C599" s="512"/>
      <c r="D599" s="452"/>
      <c r="E599" s="512"/>
      <c r="F599" s="452"/>
      <c r="G599" s="512"/>
      <c r="H599" s="452"/>
      <c r="I599" s="512"/>
      <c r="J599" s="452"/>
    </row>
    <row r="600" spans="1:10" s="19" customFormat="1">
      <c r="A600" s="21"/>
      <c r="B600" s="21"/>
      <c r="C600" s="512"/>
      <c r="D600" s="452"/>
      <c r="E600" s="512"/>
      <c r="F600" s="452"/>
      <c r="G600" s="512"/>
      <c r="H600" s="452"/>
      <c r="I600" s="512"/>
      <c r="J600" s="452"/>
    </row>
    <row r="601" spans="1:10" s="19" customFormat="1">
      <c r="A601" s="21"/>
      <c r="B601" s="21"/>
      <c r="C601" s="512"/>
      <c r="D601" s="452"/>
      <c r="E601" s="512"/>
      <c r="F601" s="452"/>
      <c r="G601" s="512"/>
      <c r="H601" s="452"/>
      <c r="I601" s="512"/>
      <c r="J601" s="452"/>
    </row>
    <row r="602" spans="1:10" s="19" customFormat="1">
      <c r="A602" s="21"/>
      <c r="B602" s="21"/>
      <c r="C602" s="512"/>
      <c r="D602" s="452"/>
      <c r="E602" s="512"/>
      <c r="F602" s="452"/>
      <c r="G602" s="512"/>
      <c r="H602" s="452"/>
      <c r="I602" s="512"/>
      <c r="J602" s="452"/>
    </row>
    <row r="603" spans="1:10" s="19" customFormat="1">
      <c r="A603" s="21"/>
      <c r="B603" s="21"/>
      <c r="C603" s="512"/>
      <c r="D603" s="452"/>
      <c r="E603" s="512"/>
      <c r="F603" s="452"/>
      <c r="G603" s="512"/>
      <c r="H603" s="452"/>
      <c r="I603" s="512"/>
      <c r="J603" s="452"/>
    </row>
    <row r="604" spans="1:10" s="19" customFormat="1">
      <c r="A604" s="21"/>
      <c r="B604" s="21"/>
      <c r="C604" s="512"/>
      <c r="D604" s="452"/>
      <c r="E604" s="512"/>
      <c r="F604" s="452"/>
      <c r="G604" s="512"/>
      <c r="H604" s="452"/>
      <c r="I604" s="512"/>
      <c r="J604" s="452"/>
    </row>
    <row r="605" spans="1:10" s="19" customFormat="1">
      <c r="A605" s="21"/>
      <c r="B605" s="21"/>
      <c r="C605" s="512"/>
      <c r="D605" s="452"/>
      <c r="E605" s="512"/>
      <c r="F605" s="452"/>
      <c r="G605" s="512"/>
      <c r="H605" s="452"/>
      <c r="I605" s="512"/>
      <c r="J605" s="452"/>
    </row>
    <row r="606" spans="1:10" s="19" customFormat="1">
      <c r="A606" s="21"/>
      <c r="B606" s="21"/>
      <c r="C606" s="512"/>
      <c r="D606" s="452"/>
      <c r="E606" s="512"/>
      <c r="F606" s="452"/>
      <c r="G606" s="512"/>
      <c r="H606" s="452"/>
      <c r="I606" s="512"/>
      <c r="J606" s="452"/>
    </row>
    <row r="607" spans="1:10" s="19" customFormat="1">
      <c r="A607" s="21"/>
      <c r="B607" s="21"/>
      <c r="C607" s="512"/>
      <c r="D607" s="452"/>
      <c r="E607" s="512"/>
      <c r="F607" s="452"/>
      <c r="G607" s="512"/>
      <c r="H607" s="452"/>
      <c r="I607" s="512"/>
      <c r="J607" s="452"/>
    </row>
    <row r="608" spans="1:10" s="19" customFormat="1">
      <c r="A608" s="21"/>
      <c r="B608" s="21"/>
      <c r="C608" s="512"/>
      <c r="D608" s="452"/>
      <c r="E608" s="512"/>
      <c r="F608" s="452"/>
      <c r="G608" s="512"/>
      <c r="H608" s="452"/>
      <c r="I608" s="512"/>
      <c r="J608" s="452"/>
    </row>
    <row r="609" spans="1:10" s="19" customFormat="1">
      <c r="A609" s="21"/>
      <c r="B609" s="21"/>
      <c r="C609" s="512"/>
      <c r="D609" s="452"/>
      <c r="E609" s="512"/>
      <c r="F609" s="452"/>
      <c r="G609" s="512"/>
      <c r="H609" s="452"/>
      <c r="I609" s="512"/>
      <c r="J609" s="452"/>
    </row>
    <row r="610" spans="1:10" s="19" customFormat="1">
      <c r="A610" s="21"/>
      <c r="B610" s="21"/>
      <c r="C610" s="512"/>
      <c r="D610" s="452"/>
      <c r="E610" s="512"/>
      <c r="F610" s="452"/>
      <c r="G610" s="512"/>
      <c r="H610" s="452"/>
      <c r="I610" s="512"/>
      <c r="J610" s="452"/>
    </row>
    <row r="611" spans="1:10" s="19" customFormat="1">
      <c r="A611" s="21"/>
      <c r="B611" s="21"/>
      <c r="C611" s="512"/>
      <c r="D611" s="452"/>
      <c r="E611" s="512"/>
      <c r="F611" s="452"/>
      <c r="G611" s="512"/>
      <c r="H611" s="452"/>
      <c r="I611" s="512"/>
      <c r="J611" s="452"/>
    </row>
    <row r="612" spans="1:10" s="19" customFormat="1">
      <c r="A612" s="21"/>
      <c r="B612" s="21"/>
      <c r="C612" s="512"/>
      <c r="D612" s="452"/>
      <c r="E612" s="512"/>
      <c r="F612" s="452"/>
      <c r="G612" s="512"/>
      <c r="H612" s="452"/>
      <c r="I612" s="512"/>
      <c r="J612" s="452"/>
    </row>
    <row r="613" spans="1:10" s="19" customFormat="1">
      <c r="A613" s="21"/>
      <c r="B613" s="21"/>
      <c r="C613" s="512"/>
      <c r="D613" s="452"/>
      <c r="E613" s="512"/>
      <c r="F613" s="452"/>
      <c r="G613" s="512"/>
      <c r="H613" s="452"/>
      <c r="I613" s="512"/>
      <c r="J613" s="452"/>
    </row>
    <row r="614" spans="1:10" s="19" customFormat="1">
      <c r="A614" s="21"/>
      <c r="B614" s="21"/>
      <c r="C614" s="512"/>
      <c r="D614" s="452"/>
      <c r="E614" s="512"/>
      <c r="F614" s="452"/>
      <c r="G614" s="512"/>
      <c r="H614" s="452"/>
      <c r="I614" s="512"/>
      <c r="J614" s="452"/>
    </row>
    <row r="615" spans="1:10" s="19" customFormat="1">
      <c r="A615" s="21"/>
      <c r="B615" s="21"/>
      <c r="C615" s="512"/>
      <c r="D615" s="452"/>
      <c r="E615" s="512"/>
      <c r="F615" s="452"/>
      <c r="G615" s="512"/>
      <c r="H615" s="452"/>
      <c r="I615" s="512"/>
      <c r="J615" s="452"/>
    </row>
    <row r="616" spans="1:10" s="19" customFormat="1">
      <c r="A616" s="21"/>
      <c r="B616" s="21"/>
      <c r="C616" s="512"/>
      <c r="D616" s="452"/>
      <c r="E616" s="512"/>
      <c r="F616" s="452"/>
      <c r="G616" s="512"/>
      <c r="H616" s="452"/>
      <c r="I616" s="512"/>
      <c r="J616" s="452"/>
    </row>
    <row r="617" spans="1:10" s="19" customFormat="1">
      <c r="A617" s="21"/>
      <c r="B617" s="21"/>
      <c r="C617" s="512"/>
      <c r="D617" s="452"/>
      <c r="E617" s="512"/>
      <c r="F617" s="452"/>
      <c r="G617" s="512"/>
      <c r="H617" s="452"/>
      <c r="I617" s="512"/>
      <c r="J617" s="452"/>
    </row>
    <row r="618" spans="1:10" s="19" customFormat="1">
      <c r="A618" s="21"/>
      <c r="B618" s="21"/>
      <c r="C618" s="512"/>
      <c r="D618" s="452"/>
      <c r="E618" s="512"/>
      <c r="F618" s="452"/>
      <c r="G618" s="512"/>
      <c r="H618" s="452"/>
      <c r="I618" s="512"/>
      <c r="J618" s="452"/>
    </row>
    <row r="619" spans="1:10" s="19" customFormat="1">
      <c r="A619" s="21"/>
      <c r="B619" s="21"/>
      <c r="C619" s="512"/>
      <c r="D619" s="452"/>
      <c r="E619" s="512"/>
      <c r="F619" s="452"/>
      <c r="G619" s="512"/>
      <c r="H619" s="452"/>
      <c r="I619" s="512"/>
      <c r="J619" s="452"/>
    </row>
    <row r="620" spans="1:10" s="19" customFormat="1">
      <c r="A620" s="21"/>
      <c r="B620" s="21"/>
      <c r="C620" s="512"/>
      <c r="D620" s="452"/>
      <c r="E620" s="512"/>
      <c r="F620" s="452"/>
      <c r="G620" s="512"/>
      <c r="H620" s="452"/>
      <c r="I620" s="512"/>
      <c r="J620" s="452"/>
    </row>
    <row r="621" spans="1:10" s="19" customFormat="1">
      <c r="A621" s="21"/>
      <c r="B621" s="21"/>
      <c r="C621" s="512"/>
      <c r="D621" s="452"/>
      <c r="E621" s="512"/>
      <c r="F621" s="452"/>
      <c r="G621" s="512"/>
      <c r="H621" s="452"/>
      <c r="I621" s="512"/>
      <c r="J621" s="452"/>
    </row>
    <row r="622" spans="1:10" s="19" customFormat="1">
      <c r="A622" s="21"/>
      <c r="B622" s="21"/>
      <c r="C622" s="512"/>
      <c r="D622" s="452"/>
      <c r="E622" s="512"/>
      <c r="F622" s="452"/>
      <c r="G622" s="512"/>
      <c r="H622" s="452"/>
      <c r="I622" s="512"/>
      <c r="J622" s="452"/>
    </row>
    <row r="623" spans="1:10" s="19" customFormat="1">
      <c r="A623" s="21"/>
      <c r="B623" s="21"/>
      <c r="C623" s="512"/>
      <c r="D623" s="452"/>
      <c r="E623" s="512"/>
      <c r="F623" s="452"/>
      <c r="G623" s="512"/>
      <c r="H623" s="452"/>
      <c r="I623" s="512"/>
      <c r="J623" s="452"/>
    </row>
    <row r="624" spans="1:10" s="19" customFormat="1">
      <c r="A624" s="21"/>
      <c r="B624" s="21"/>
      <c r="C624" s="512"/>
      <c r="D624" s="452"/>
      <c r="E624" s="512"/>
      <c r="F624" s="452"/>
      <c r="G624" s="512"/>
      <c r="H624" s="452"/>
      <c r="I624" s="512"/>
      <c r="J624" s="452"/>
    </row>
    <row r="625" spans="1:10" s="19" customFormat="1">
      <c r="A625" s="21"/>
      <c r="B625" s="21"/>
      <c r="C625" s="512"/>
      <c r="D625" s="452"/>
      <c r="E625" s="512"/>
      <c r="F625" s="452"/>
      <c r="G625" s="512"/>
      <c r="H625" s="452"/>
      <c r="I625" s="512"/>
      <c r="J625" s="452"/>
    </row>
    <row r="626" spans="1:10" s="19" customFormat="1">
      <c r="A626" s="21"/>
      <c r="B626" s="21"/>
      <c r="C626" s="512"/>
      <c r="D626" s="452"/>
      <c r="E626" s="512"/>
      <c r="F626" s="452"/>
      <c r="G626" s="512"/>
      <c r="H626" s="452"/>
      <c r="I626" s="512"/>
      <c r="J626" s="452"/>
    </row>
    <row r="627" spans="1:10" s="19" customFormat="1">
      <c r="A627" s="21"/>
      <c r="B627" s="21"/>
      <c r="C627" s="512"/>
      <c r="D627" s="452"/>
      <c r="E627" s="512"/>
      <c r="F627" s="452"/>
      <c r="G627" s="512"/>
      <c r="H627" s="452"/>
      <c r="I627" s="512"/>
      <c r="J627" s="452"/>
    </row>
    <row r="628" spans="1:10" s="19" customFormat="1">
      <c r="A628" s="21"/>
      <c r="B628" s="21"/>
      <c r="C628" s="512"/>
      <c r="D628" s="452"/>
      <c r="E628" s="512"/>
      <c r="F628" s="452"/>
      <c r="G628" s="512"/>
      <c r="H628" s="452"/>
      <c r="I628" s="512"/>
      <c r="J628" s="452"/>
    </row>
    <row r="629" spans="1:10" s="19" customFormat="1">
      <c r="A629" s="21"/>
      <c r="B629" s="21"/>
      <c r="C629" s="512"/>
      <c r="D629" s="452"/>
      <c r="E629" s="512"/>
      <c r="F629" s="452"/>
      <c r="G629" s="512"/>
      <c r="H629" s="452"/>
      <c r="I629" s="512"/>
      <c r="J629" s="452"/>
    </row>
    <row r="630" spans="1:10" s="19" customFormat="1">
      <c r="A630" s="21"/>
      <c r="B630" s="21"/>
      <c r="C630" s="512"/>
      <c r="D630" s="452"/>
      <c r="E630" s="512"/>
      <c r="F630" s="452"/>
      <c r="G630" s="512"/>
      <c r="H630" s="452"/>
      <c r="I630" s="512"/>
      <c r="J630" s="452"/>
    </row>
    <row r="631" spans="1:10" s="19" customFormat="1">
      <c r="A631" s="21"/>
      <c r="B631" s="21"/>
      <c r="C631" s="512"/>
      <c r="D631" s="452"/>
      <c r="E631" s="512"/>
      <c r="F631" s="452"/>
      <c r="G631" s="512"/>
      <c r="H631" s="452"/>
      <c r="I631" s="512"/>
      <c r="J631" s="452"/>
    </row>
    <row r="632" spans="1:10" s="19" customFormat="1">
      <c r="A632" s="21"/>
      <c r="B632" s="21"/>
      <c r="C632" s="512"/>
      <c r="D632" s="452"/>
      <c r="E632" s="512"/>
      <c r="F632" s="452"/>
      <c r="G632" s="512"/>
      <c r="H632" s="452"/>
      <c r="I632" s="512"/>
      <c r="J632" s="452"/>
    </row>
    <row r="633" spans="1:10" s="19" customFormat="1">
      <c r="A633" s="21"/>
      <c r="B633" s="21"/>
      <c r="C633" s="512"/>
      <c r="D633" s="452"/>
      <c r="E633" s="512"/>
      <c r="F633" s="452"/>
      <c r="G633" s="512"/>
      <c r="H633" s="452"/>
      <c r="I633" s="512"/>
      <c r="J633" s="452"/>
    </row>
    <row r="634" spans="1:10" s="19" customFormat="1">
      <c r="A634" s="21"/>
      <c r="B634" s="21"/>
      <c r="C634" s="512"/>
      <c r="D634" s="452"/>
      <c r="E634" s="512"/>
      <c r="F634" s="452"/>
      <c r="G634" s="512"/>
      <c r="H634" s="452"/>
      <c r="I634" s="512"/>
      <c r="J634" s="452"/>
    </row>
    <row r="635" spans="1:10" s="19" customFormat="1">
      <c r="A635" s="21"/>
      <c r="B635" s="21"/>
      <c r="C635" s="512"/>
      <c r="D635" s="452"/>
      <c r="E635" s="512"/>
      <c r="F635" s="452"/>
      <c r="G635" s="512"/>
      <c r="H635" s="452"/>
      <c r="I635" s="512"/>
      <c r="J635" s="452"/>
    </row>
    <row r="636" spans="1:10" s="19" customFormat="1">
      <c r="A636" s="21"/>
      <c r="B636" s="21"/>
      <c r="C636" s="512"/>
      <c r="D636" s="452"/>
      <c r="E636" s="512"/>
      <c r="F636" s="452"/>
      <c r="G636" s="512"/>
      <c r="H636" s="452"/>
      <c r="I636" s="512"/>
      <c r="J636" s="452"/>
    </row>
    <row r="637" spans="1:10" s="19" customFormat="1">
      <c r="A637" s="21"/>
      <c r="B637" s="21"/>
      <c r="C637" s="512"/>
      <c r="D637" s="452"/>
      <c r="E637" s="512"/>
      <c r="F637" s="452"/>
      <c r="G637" s="512"/>
      <c r="H637" s="452"/>
      <c r="I637" s="512"/>
      <c r="J637" s="452"/>
    </row>
    <row r="638" spans="1:10" s="19" customFormat="1">
      <c r="A638" s="21"/>
      <c r="B638" s="21"/>
      <c r="C638" s="512"/>
      <c r="D638" s="452"/>
      <c r="E638" s="512"/>
      <c r="F638" s="452"/>
      <c r="G638" s="512"/>
      <c r="H638" s="452"/>
      <c r="I638" s="512"/>
      <c r="J638" s="452"/>
    </row>
    <row r="639" spans="1:10" s="19" customFormat="1">
      <c r="A639" s="21"/>
      <c r="B639" s="21"/>
      <c r="C639" s="512"/>
      <c r="D639" s="452"/>
      <c r="E639" s="512"/>
      <c r="F639" s="452"/>
      <c r="G639" s="512"/>
      <c r="H639" s="452"/>
      <c r="I639" s="512"/>
      <c r="J639" s="452"/>
    </row>
    <row r="640" spans="1:10" s="19" customFormat="1">
      <c r="A640" s="21"/>
      <c r="B640" s="21"/>
      <c r="C640" s="512"/>
      <c r="D640" s="452"/>
      <c r="E640" s="512"/>
      <c r="F640" s="452"/>
      <c r="G640" s="512"/>
      <c r="H640" s="452"/>
      <c r="I640" s="512"/>
      <c r="J640" s="452"/>
    </row>
    <row r="641" spans="1:10" s="19" customFormat="1">
      <c r="A641" s="21"/>
      <c r="B641" s="21"/>
      <c r="C641" s="512"/>
      <c r="D641" s="452"/>
      <c r="E641" s="512"/>
      <c r="F641" s="452"/>
      <c r="G641" s="512"/>
      <c r="H641" s="452"/>
      <c r="I641" s="512"/>
      <c r="J641" s="452"/>
    </row>
    <row r="642" spans="1:10" s="19" customFormat="1">
      <c r="A642" s="21"/>
      <c r="B642" s="21"/>
      <c r="C642" s="512"/>
      <c r="D642" s="452"/>
      <c r="E642" s="512"/>
      <c r="F642" s="452"/>
      <c r="G642" s="512"/>
      <c r="H642" s="452"/>
      <c r="I642" s="512"/>
      <c r="J642" s="452"/>
    </row>
    <row r="643" spans="1:10" s="19" customFormat="1">
      <c r="A643" s="21"/>
      <c r="B643" s="21"/>
      <c r="C643" s="512"/>
      <c r="D643" s="452"/>
      <c r="E643" s="512"/>
      <c r="F643" s="452"/>
      <c r="G643" s="512"/>
      <c r="H643" s="452"/>
      <c r="I643" s="512"/>
      <c r="J643" s="452"/>
    </row>
    <row r="644" spans="1:10" s="19" customFormat="1">
      <c r="A644" s="21"/>
      <c r="B644" s="21"/>
      <c r="C644" s="512"/>
      <c r="D644" s="452"/>
      <c r="E644" s="512"/>
      <c r="F644" s="452"/>
      <c r="G644" s="512"/>
      <c r="H644" s="452"/>
      <c r="I644" s="512"/>
      <c r="J644" s="452"/>
    </row>
    <row r="645" spans="1:10" s="19" customFormat="1">
      <c r="A645" s="21"/>
      <c r="B645" s="21"/>
      <c r="C645" s="512"/>
      <c r="D645" s="452"/>
      <c r="E645" s="512"/>
      <c r="F645" s="452"/>
      <c r="G645" s="512"/>
      <c r="H645" s="452"/>
      <c r="I645" s="512"/>
      <c r="J645" s="452"/>
    </row>
    <row r="646" spans="1:10" s="19" customFormat="1">
      <c r="A646" s="21"/>
      <c r="B646" s="21"/>
      <c r="C646" s="512"/>
      <c r="D646" s="452"/>
      <c r="E646" s="512"/>
      <c r="F646" s="452"/>
      <c r="G646" s="512"/>
      <c r="H646" s="452"/>
      <c r="I646" s="512"/>
      <c r="J646" s="452"/>
    </row>
    <row r="647" spans="1:10" s="19" customFormat="1">
      <c r="A647" s="21"/>
      <c r="B647" s="21"/>
      <c r="C647" s="512"/>
      <c r="D647" s="452"/>
      <c r="E647" s="512"/>
      <c r="F647" s="452"/>
      <c r="G647" s="512"/>
      <c r="H647" s="452"/>
      <c r="I647" s="512"/>
      <c r="J647" s="452"/>
    </row>
    <row r="648" spans="1:10" s="19" customFormat="1">
      <c r="A648" s="21"/>
      <c r="B648" s="21"/>
      <c r="C648" s="512"/>
      <c r="D648" s="452"/>
      <c r="E648" s="512"/>
      <c r="F648" s="452"/>
      <c r="G648" s="512"/>
      <c r="H648" s="452"/>
      <c r="I648" s="512"/>
      <c r="J648" s="452"/>
    </row>
    <row r="649" spans="1:10" s="19" customFormat="1">
      <c r="A649" s="21"/>
      <c r="B649" s="21"/>
      <c r="C649" s="512"/>
      <c r="D649" s="452"/>
      <c r="E649" s="512"/>
      <c r="F649" s="452"/>
      <c r="G649" s="512"/>
      <c r="H649" s="452"/>
      <c r="I649" s="512"/>
      <c r="J649" s="452"/>
    </row>
    <row r="650" spans="1:10" s="19" customFormat="1">
      <c r="A650" s="21"/>
      <c r="B650" s="21"/>
      <c r="C650" s="512"/>
      <c r="D650" s="452"/>
      <c r="E650" s="512"/>
      <c r="F650" s="452"/>
      <c r="G650" s="512"/>
      <c r="H650" s="452"/>
      <c r="I650" s="512"/>
      <c r="J650" s="452"/>
    </row>
    <row r="651" spans="1:10" s="19" customFormat="1">
      <c r="A651" s="21"/>
      <c r="B651" s="21"/>
      <c r="C651" s="512"/>
      <c r="D651" s="452"/>
      <c r="E651" s="512"/>
      <c r="F651" s="452"/>
      <c r="G651" s="512"/>
      <c r="H651" s="452"/>
      <c r="I651" s="512"/>
      <c r="J651" s="452"/>
    </row>
    <row r="652" spans="1:10" s="19" customFormat="1">
      <c r="A652" s="21"/>
      <c r="B652" s="21"/>
      <c r="C652" s="512"/>
      <c r="D652" s="452"/>
      <c r="E652" s="512"/>
      <c r="F652" s="452"/>
      <c r="G652" s="512"/>
      <c r="H652" s="452"/>
      <c r="I652" s="512"/>
      <c r="J652" s="452"/>
    </row>
    <row r="653" spans="1:10" s="19" customFormat="1">
      <c r="A653" s="21"/>
      <c r="B653" s="21"/>
      <c r="C653" s="512"/>
      <c r="D653" s="452"/>
      <c r="E653" s="512"/>
      <c r="F653" s="452"/>
      <c r="G653" s="512"/>
      <c r="H653" s="452"/>
      <c r="I653" s="512"/>
      <c r="J653" s="452"/>
    </row>
    <row r="654" spans="1:10" s="19" customFormat="1">
      <c r="A654" s="21"/>
      <c r="B654" s="21"/>
      <c r="C654" s="512"/>
      <c r="D654" s="452"/>
      <c r="E654" s="512"/>
      <c r="F654" s="452"/>
      <c r="G654" s="512"/>
      <c r="H654" s="452"/>
      <c r="I654" s="512"/>
      <c r="J654" s="452"/>
    </row>
    <row r="655" spans="1:10" s="19" customFormat="1">
      <c r="A655" s="21"/>
      <c r="B655" s="21"/>
      <c r="C655" s="512"/>
      <c r="D655" s="452"/>
      <c r="E655" s="512"/>
      <c r="F655" s="452"/>
      <c r="G655" s="512"/>
      <c r="H655" s="452"/>
      <c r="I655" s="512"/>
      <c r="J655" s="452"/>
    </row>
    <row r="656" spans="1:10" s="19" customFormat="1">
      <c r="A656" s="21"/>
      <c r="B656" s="21"/>
      <c r="C656" s="512"/>
      <c r="D656" s="452"/>
      <c r="E656" s="512"/>
      <c r="F656" s="452"/>
      <c r="G656" s="512"/>
      <c r="H656" s="452"/>
      <c r="I656" s="512"/>
      <c r="J656" s="452"/>
    </row>
    <row r="657" spans="1:10" s="19" customFormat="1">
      <c r="A657" s="21"/>
      <c r="B657" s="21"/>
      <c r="C657" s="512"/>
      <c r="D657" s="452"/>
      <c r="E657" s="512"/>
      <c r="F657" s="452"/>
      <c r="G657" s="512"/>
      <c r="H657" s="452"/>
      <c r="I657" s="512"/>
      <c r="J657" s="452"/>
    </row>
    <row r="658" spans="1:10" s="19" customFormat="1">
      <c r="A658" s="21"/>
      <c r="B658" s="21"/>
      <c r="C658" s="512"/>
      <c r="D658" s="452"/>
      <c r="E658" s="512"/>
      <c r="F658" s="452"/>
      <c r="G658" s="512"/>
      <c r="H658" s="452"/>
      <c r="I658" s="512"/>
      <c r="J658" s="452"/>
    </row>
    <row r="659" spans="1:10" s="19" customFormat="1">
      <c r="A659" s="21"/>
      <c r="B659" s="21"/>
      <c r="C659" s="512"/>
      <c r="D659" s="452"/>
      <c r="E659" s="512"/>
      <c r="F659" s="452"/>
      <c r="G659" s="512"/>
      <c r="H659" s="452"/>
      <c r="I659" s="512"/>
      <c r="J659" s="452"/>
    </row>
    <row r="660" spans="1:10" s="19" customFormat="1">
      <c r="A660" s="21"/>
      <c r="B660" s="21"/>
      <c r="C660" s="512"/>
      <c r="D660" s="452"/>
      <c r="E660" s="512"/>
      <c r="F660" s="452"/>
      <c r="G660" s="512"/>
      <c r="H660" s="452"/>
      <c r="I660" s="512"/>
      <c r="J660" s="452"/>
    </row>
    <row r="661" spans="1:10" s="19" customFormat="1">
      <c r="A661" s="21"/>
      <c r="B661" s="21"/>
      <c r="C661" s="512"/>
      <c r="D661" s="452"/>
      <c r="E661" s="512"/>
      <c r="F661" s="452"/>
      <c r="G661" s="512"/>
      <c r="H661" s="452"/>
      <c r="I661" s="512"/>
      <c r="J661" s="452"/>
    </row>
    <row r="662" spans="1:10" s="19" customFormat="1">
      <c r="A662" s="21"/>
      <c r="B662" s="21"/>
      <c r="C662" s="512"/>
      <c r="D662" s="452"/>
      <c r="E662" s="512"/>
      <c r="F662" s="452"/>
      <c r="G662" s="512"/>
      <c r="H662" s="452"/>
      <c r="I662" s="512"/>
      <c r="J662" s="452"/>
    </row>
    <row r="663" spans="1:10" s="19" customFormat="1">
      <c r="A663" s="21"/>
      <c r="B663" s="21"/>
      <c r="C663" s="512"/>
      <c r="D663" s="452"/>
      <c r="E663" s="512"/>
      <c r="F663" s="452"/>
      <c r="G663" s="512"/>
      <c r="H663" s="452"/>
      <c r="I663" s="512"/>
      <c r="J663" s="452"/>
    </row>
    <row r="664" spans="1:10" s="19" customFormat="1">
      <c r="A664" s="21"/>
      <c r="B664" s="21"/>
      <c r="C664" s="512"/>
      <c r="D664" s="452"/>
      <c r="E664" s="512"/>
      <c r="F664" s="452"/>
      <c r="G664" s="512"/>
      <c r="H664" s="452"/>
      <c r="I664" s="512"/>
      <c r="J664" s="452"/>
    </row>
    <row r="665" spans="1:10" s="19" customFormat="1">
      <c r="A665" s="21"/>
      <c r="B665" s="21"/>
      <c r="C665" s="512"/>
      <c r="D665" s="452"/>
      <c r="E665" s="512"/>
      <c r="F665" s="452"/>
      <c r="G665" s="512"/>
      <c r="H665" s="452"/>
      <c r="I665" s="512"/>
      <c r="J665" s="452"/>
    </row>
    <row r="666" spans="1:10" s="19" customFormat="1">
      <c r="A666" s="21"/>
      <c r="B666" s="21"/>
      <c r="C666" s="512"/>
      <c r="D666" s="452"/>
      <c r="E666" s="512"/>
      <c r="F666" s="452"/>
      <c r="G666" s="512"/>
      <c r="H666" s="452"/>
      <c r="I666" s="512"/>
      <c r="J666" s="452"/>
    </row>
    <row r="667" spans="1:10" s="19" customFormat="1">
      <c r="A667" s="21"/>
      <c r="B667" s="21"/>
      <c r="C667" s="512"/>
      <c r="D667" s="452"/>
      <c r="E667" s="512"/>
      <c r="F667" s="452"/>
      <c r="G667" s="512"/>
      <c r="H667" s="452"/>
      <c r="I667" s="512"/>
      <c r="J667" s="452"/>
    </row>
    <row r="668" spans="1:10" s="19" customFormat="1">
      <c r="A668" s="21"/>
      <c r="B668" s="21"/>
      <c r="C668" s="512"/>
      <c r="D668" s="452"/>
      <c r="E668" s="512"/>
      <c r="F668" s="452"/>
      <c r="G668" s="512"/>
      <c r="H668" s="452"/>
      <c r="I668" s="512"/>
      <c r="J668" s="452"/>
    </row>
    <row r="669" spans="1:10" s="19" customFormat="1">
      <c r="A669" s="21"/>
      <c r="B669" s="21"/>
      <c r="C669" s="512"/>
      <c r="D669" s="452"/>
      <c r="E669" s="512"/>
      <c r="F669" s="452"/>
      <c r="G669" s="512"/>
      <c r="H669" s="452"/>
      <c r="I669" s="512"/>
      <c r="J669" s="452"/>
    </row>
    <row r="670" spans="1:10" s="19" customFormat="1">
      <c r="A670" s="21"/>
      <c r="B670" s="18"/>
      <c r="C670" s="512"/>
      <c r="D670" s="453"/>
      <c r="E670" s="512"/>
      <c r="F670" s="453"/>
      <c r="G670" s="512"/>
      <c r="H670" s="453"/>
      <c r="I670" s="512"/>
      <c r="J670" s="453"/>
    </row>
    <row r="671" spans="1:10" s="19" customFormat="1">
      <c r="A671" s="21"/>
      <c r="B671" s="18"/>
      <c r="C671" s="512"/>
      <c r="D671" s="453"/>
      <c r="E671" s="512"/>
      <c r="F671" s="453"/>
      <c r="G671" s="512"/>
      <c r="H671" s="453"/>
      <c r="I671" s="512"/>
      <c r="J671" s="453"/>
    </row>
    <row r="672" spans="1:10" s="19" customFormat="1">
      <c r="A672" s="21"/>
      <c r="B672" s="18"/>
      <c r="C672" s="512"/>
      <c r="D672" s="453"/>
      <c r="E672" s="512"/>
      <c r="F672" s="453"/>
      <c r="G672" s="512"/>
      <c r="H672" s="453"/>
      <c r="I672" s="512"/>
      <c r="J672" s="453"/>
    </row>
    <row r="673" spans="1:10" s="19" customFormat="1">
      <c r="A673" s="21"/>
      <c r="B673" s="18"/>
      <c r="C673" s="512"/>
      <c r="D673" s="453"/>
      <c r="E673" s="512"/>
      <c r="F673" s="453"/>
      <c r="G673" s="512"/>
      <c r="H673" s="453"/>
      <c r="I673" s="512"/>
      <c r="J673" s="453"/>
    </row>
    <row r="674" spans="1:10" s="19" customFormat="1">
      <c r="A674" s="21"/>
      <c r="B674" s="18"/>
      <c r="C674" s="512"/>
      <c r="D674" s="453"/>
      <c r="E674" s="512"/>
      <c r="F674" s="453"/>
      <c r="G674" s="512"/>
      <c r="H674" s="453"/>
      <c r="I674" s="512"/>
      <c r="J674" s="453"/>
    </row>
    <row r="675" spans="1:10" s="19" customFormat="1">
      <c r="A675" s="21"/>
      <c r="B675" s="18"/>
      <c r="C675" s="512"/>
      <c r="D675" s="453"/>
      <c r="E675" s="512"/>
      <c r="F675" s="453"/>
      <c r="G675" s="512"/>
      <c r="H675" s="453"/>
      <c r="I675" s="512"/>
      <c r="J675" s="453"/>
    </row>
    <row r="676" spans="1:10" s="19" customFormat="1">
      <c r="A676" s="21"/>
      <c r="B676" s="18"/>
      <c r="C676" s="512"/>
      <c r="D676" s="453"/>
      <c r="E676" s="512"/>
      <c r="F676" s="453"/>
      <c r="G676" s="512"/>
      <c r="H676" s="453"/>
      <c r="I676" s="512"/>
      <c r="J676" s="453"/>
    </row>
    <row r="677" spans="1:10" s="19" customFormat="1">
      <c r="A677" s="21"/>
      <c r="B677" s="18"/>
      <c r="C677" s="512"/>
      <c r="D677" s="453"/>
      <c r="E677" s="512"/>
      <c r="F677" s="453"/>
      <c r="G677" s="512"/>
      <c r="H677" s="453"/>
      <c r="I677" s="512"/>
      <c r="J677" s="453"/>
    </row>
    <row r="678" spans="1:10" s="19" customFormat="1">
      <c r="A678" s="21"/>
      <c r="B678" s="18"/>
      <c r="C678" s="512"/>
      <c r="D678" s="453"/>
      <c r="E678" s="512"/>
      <c r="F678" s="453"/>
      <c r="G678" s="512"/>
      <c r="H678" s="453"/>
      <c r="I678" s="512"/>
      <c r="J678" s="453"/>
    </row>
    <row r="679" spans="1:10" s="19" customFormat="1">
      <c r="A679" s="21"/>
      <c r="B679" s="18"/>
      <c r="C679" s="512"/>
      <c r="D679" s="453"/>
      <c r="E679" s="512"/>
      <c r="F679" s="453"/>
      <c r="G679" s="512"/>
      <c r="H679" s="453"/>
      <c r="I679" s="512"/>
      <c r="J679" s="453"/>
    </row>
    <row r="680" spans="1:10" s="19" customFormat="1">
      <c r="A680" s="21"/>
      <c r="B680" s="18"/>
      <c r="C680" s="512"/>
      <c r="D680" s="453"/>
      <c r="E680" s="512"/>
      <c r="F680" s="453"/>
      <c r="G680" s="512"/>
      <c r="H680" s="453"/>
      <c r="I680" s="512"/>
      <c r="J680" s="453"/>
    </row>
    <row r="681" spans="1:10" s="19" customFormat="1">
      <c r="A681" s="21"/>
      <c r="B681" s="18"/>
      <c r="C681" s="512"/>
      <c r="D681" s="453"/>
      <c r="E681" s="512"/>
      <c r="F681" s="453"/>
      <c r="G681" s="512"/>
      <c r="H681" s="453"/>
      <c r="I681" s="512"/>
      <c r="J681" s="453"/>
    </row>
    <row r="682" spans="1:10" s="19" customFormat="1">
      <c r="A682" s="21"/>
      <c r="B682" s="18"/>
      <c r="C682" s="512"/>
      <c r="D682" s="453"/>
      <c r="E682" s="512"/>
      <c r="F682" s="453"/>
      <c r="G682" s="512"/>
      <c r="H682" s="453"/>
      <c r="I682" s="512"/>
      <c r="J682" s="453"/>
    </row>
    <row r="683" spans="1:10" s="19" customFormat="1">
      <c r="A683" s="21"/>
      <c r="B683" s="18"/>
      <c r="C683" s="512"/>
      <c r="D683" s="453"/>
      <c r="E683" s="512"/>
      <c r="F683" s="453"/>
      <c r="G683" s="512"/>
      <c r="H683" s="453"/>
      <c r="I683" s="512"/>
      <c r="J683" s="453"/>
    </row>
    <row r="684" spans="1:10" s="19" customFormat="1">
      <c r="A684" s="21"/>
      <c r="B684" s="18"/>
      <c r="C684" s="512"/>
      <c r="D684" s="453"/>
      <c r="E684" s="512"/>
      <c r="F684" s="453"/>
      <c r="G684" s="512"/>
      <c r="H684" s="453"/>
      <c r="I684" s="512"/>
      <c r="J684" s="453"/>
    </row>
    <row r="685" spans="1:10" s="19" customFormat="1">
      <c r="A685" s="21"/>
      <c r="B685" s="18"/>
      <c r="C685" s="512"/>
      <c r="D685" s="453"/>
      <c r="E685" s="512"/>
      <c r="F685" s="453"/>
      <c r="G685" s="512"/>
      <c r="H685" s="453"/>
      <c r="I685" s="512"/>
      <c r="J685" s="453"/>
    </row>
    <row r="686" spans="1:10" s="19" customFormat="1">
      <c r="A686" s="21"/>
      <c r="B686" s="18"/>
      <c r="C686" s="512"/>
      <c r="D686" s="453"/>
      <c r="E686" s="512"/>
      <c r="F686" s="453"/>
      <c r="G686" s="512"/>
      <c r="H686" s="453"/>
      <c r="I686" s="512"/>
      <c r="J686" s="453"/>
    </row>
  </sheetData>
  <mergeCells count="6">
    <mergeCell ref="A1:J1"/>
    <mergeCell ref="A2:B2"/>
    <mergeCell ref="C2:D2"/>
    <mergeCell ref="E2:F2"/>
    <mergeCell ref="G2:H2"/>
    <mergeCell ref="I2:J2"/>
  </mergeCells>
  <pageMargins left="0.23622047244094488" right="0.23622047244094488" top="0.19685039370078741" bottom="0.19685039370078741" header="0.31496062992125984" footer="0.31496062992125984"/>
  <pageSetup paperSize="9" fitToHeight="0" orientation="landscape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46010-2511-4562-81FF-A440E39639C1}">
  <sheetPr codeName="Sheet19"/>
  <dimension ref="JTU211210:OQU326975"/>
  <sheetViews>
    <sheetView workbookViewId="0"/>
  </sheetViews>
  <sheetFormatPr defaultRowHeight="15"/>
  <sheetData>
    <row r="211210" spans="7301:7301">
      <c r="JTU211210" t="s">
        <v>114</v>
      </c>
    </row>
    <row r="326975" spans="10603:10603">
      <c r="OQU326975" t="s">
        <v>115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Asiakirja" ma:contentTypeID="0x0101003B82174E7A1C7F4AA07B964195B1FC05" ma:contentTypeVersion="12" ma:contentTypeDescription="Luo uusi asiakirja." ma:contentTypeScope="" ma:versionID="165edf77e65c829fecc7d89a357a17b0">
  <xsd:schema xmlns:xsd="http://www.w3.org/2001/XMLSchema" xmlns:xs="http://www.w3.org/2001/XMLSchema" xmlns:p="http://schemas.microsoft.com/office/2006/metadata/properties" xmlns:ns2="bde76e59-b3ad-4907-8c87-c14f1855fec1" xmlns:ns3="e8c2b9cd-df2f-495e-a270-2723faae4cec" targetNamespace="http://schemas.microsoft.com/office/2006/metadata/properties" ma:root="true" ma:fieldsID="d2f82649ff470127059ab1f9811fe58a" ns2:_="" ns3:_="">
    <xsd:import namespace="bde76e59-b3ad-4907-8c87-c14f1855fec1"/>
    <xsd:import namespace="e8c2b9cd-df2f-495e-a270-2723faae4ce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DateTake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de76e59-b3ad-4907-8c87-c14f1855fec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3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4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Kuvien tunnisteet" ma:readOnly="false" ma:fieldId="{5cf76f15-5ced-4ddc-b409-7134ff3c332f}" ma:taxonomyMulti="true" ma:sspId="8ac6db3c-6098-40de-8db1-2007c488883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8c2b9cd-df2f-495e-a270-2723faae4cec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Jaettu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Jakamisen tiedot" ma:internalName="SharedWithDetails" ma:readOnly="true">
      <xsd:simpleType>
        <xsd:restriction base="dms:Note">
          <xsd:maxLength value="255"/>
        </xsd:restriction>
      </xsd:simpleType>
    </xsd:element>
    <xsd:element name="TaxCatchAll" ma:index="19" nillable="true" ma:displayName="Taxonomy Catch All Column" ma:hidden="true" ma:list="{d0b8617c-d63f-43e5-9cee-5a2e6bb473b2}" ma:internalName="TaxCatchAll" ma:showField="CatchAllData" ma:web="e8c2b9cd-df2f-495e-a270-2723faae4ce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Sisältölaji"/>
        <xsd:element ref="dc:title" minOccurs="0" maxOccurs="1" ma:index="4" ma:displayName="Otsikk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de76e59-b3ad-4907-8c87-c14f1855fec1">
      <Terms xmlns="http://schemas.microsoft.com/office/infopath/2007/PartnerControls"/>
    </lcf76f155ced4ddcb4097134ff3c332f>
    <TaxCatchAll xmlns="e8c2b9cd-df2f-495e-a270-2723faae4cec" xsi:nil="true"/>
  </documentManagement>
</p:properties>
</file>

<file path=customXml/itemProps1.xml><?xml version="1.0" encoding="utf-8"?>
<ds:datastoreItem xmlns:ds="http://schemas.openxmlformats.org/officeDocument/2006/customXml" ds:itemID="{8398D2F2-62D5-4F3A-809E-4911CF7F811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3FAB9EA-A226-4B01-9876-A6A5DE69B2B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de76e59-b3ad-4907-8c87-c14f1855fec1"/>
    <ds:schemaRef ds:uri="e8c2b9cd-df2f-495e-a270-2723faae4ce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4B93A88-7921-4073-B9F6-D6B2F71BCA5E}">
  <ds:schemaRefs>
    <ds:schemaRef ds:uri="http://schemas.microsoft.com/office/2006/metadata/properties"/>
    <ds:schemaRef ds:uri="http://schemas.microsoft.com/office/infopath/2007/PartnerControls"/>
    <ds:schemaRef ds:uri="6822d66c-90a1-40a8-93ab-694b9691467e"/>
    <ds:schemaRef ds:uri="e94c7098-105e-422f-b580-31a579648252"/>
    <ds:schemaRef ds:uri="ae14a3e9-be8b-4f00-93a1-12c0c1d8e7b4"/>
    <ds:schemaRef ds:uri="bde76e59-b3ad-4907-8c87-c14f1855fec1"/>
    <ds:schemaRef ds:uri="e8c2b9cd-df2f-495e-a270-2723faae4cec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14</vt:i4>
      </vt:variant>
    </vt:vector>
  </HeadingPairs>
  <TitlesOfParts>
    <vt:vector size="42" baseType="lpstr">
      <vt:lpstr>Code</vt:lpstr>
      <vt:lpstr>Pääsivu</vt:lpstr>
      <vt:lpstr>Ryhmät</vt:lpstr>
      <vt:lpstr>Lapset</vt:lpstr>
      <vt:lpstr>Liitokset</vt:lpstr>
      <vt:lpstr>Työntekijät</vt:lpstr>
      <vt:lpstr>Migraatio_kokeilu</vt:lpstr>
      <vt:lpstr>lasna</vt:lpstr>
      <vt:lpstr>Syntyma2</vt:lpstr>
      <vt:lpstr>Migraatio_temp</vt:lpstr>
      <vt:lpstr>Migraatio</vt:lpstr>
      <vt:lpstr>Rinnakkaiset</vt:lpstr>
      <vt:lpstr>Rinnakkaiset2</vt:lpstr>
      <vt:lpstr>Pohja</vt:lpstr>
      <vt:lpstr>Syntyma</vt:lpstr>
      <vt:lpstr>Lasna2</vt:lpstr>
      <vt:lpstr>Ruokakoonti_pohja</vt:lpstr>
      <vt:lpstr>pl_vaakawc</vt:lpstr>
      <vt:lpstr>pl_vaaka</vt:lpstr>
      <vt:lpstr>pl_pysty</vt:lpstr>
      <vt:lpstr>pl_pystywc</vt:lpstr>
      <vt:lpstr>R_arki</vt:lpstr>
      <vt:lpstr>R_ilta</vt:lpstr>
      <vt:lpstr>R_arkikaikki</vt:lpstr>
      <vt:lpstr>R_kaikki</vt:lpstr>
      <vt:lpstr>pl_pohja</vt:lpstr>
      <vt:lpstr>pv_pohja2</vt:lpstr>
      <vt:lpstr>Aamuilta_pohja</vt:lpstr>
      <vt:lpstr>Aamuilta_pohja!Print_Area</vt:lpstr>
      <vt:lpstr>pl_pohja!Print_Area</vt:lpstr>
      <vt:lpstr>pl_pysty!Print_Area</vt:lpstr>
      <vt:lpstr>pl_pystywc!Print_Area</vt:lpstr>
      <vt:lpstr>pl_vaaka!Print_Area</vt:lpstr>
      <vt:lpstr>pl_vaakawc!Print_Area</vt:lpstr>
      <vt:lpstr>Pohja!Print_Area</vt:lpstr>
      <vt:lpstr>pv_pohja2!Print_Area</vt:lpstr>
      <vt:lpstr>Pääsivu!Print_Area</vt:lpstr>
      <vt:lpstr>R_arki!Print_Area</vt:lpstr>
      <vt:lpstr>R_arkikaikki!Print_Area</vt:lpstr>
      <vt:lpstr>R_ilta!Print_Area</vt:lpstr>
      <vt:lpstr>R_kaikki!Print_Area</vt:lpstr>
      <vt:lpstr>Ruokakoonti_pohja!Print_Area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Hoitoajat: listatyökalu Edlevolle</dc:title>
  <dc:subject/>
  <dc:creator>Jaakko Haavisto</dc:creator>
  <cp:keywords/>
  <dc:description/>
  <cp:lastModifiedBy>Haavisto Jaakko</cp:lastModifiedBy>
  <cp:revision/>
  <cp:lastPrinted>2023-09-20T12:03:08Z</cp:lastPrinted>
  <dcterms:created xsi:type="dcterms:W3CDTF">2016-11-18T22:38:35Z</dcterms:created>
  <dcterms:modified xsi:type="dcterms:W3CDTF">2023-10-26T09:18:26Z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0x0101001858308AEEC98442A91AE1DCD2B80FF3</vt:lpwstr>
  </property>
  <property fmtid="{D5CDD505-2E9C-101B-9397-08002B2CF9AE}" pid="3" name="MediaServiceImageTags">
    <vt:lpwstr/>
  </property>
</Properties>
</file>