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updateLinks="always" codeName="TämäTyökirj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jyvaskyla.sharepoint.com/sites/Sykli/Jaetut asiakirjat/General/Sykli/"/>
    </mc:Choice>
  </mc:AlternateContent>
  <xr:revisionPtr revIDLastSave="39" documentId="8_{33AD7CD7-50CB-4604-833D-957FC3CDF396}" xr6:coauthVersionLast="47" xr6:coauthVersionMax="47" xr10:uidLastSave="{DDF92897-691C-4A8F-AD24-7BAC1B8A4F5A}"/>
  <bookViews>
    <workbookView xWindow="-120" yWindow="-120" windowWidth="29040" windowHeight="17790" tabRatio="896" xr2:uid="{00000000-000D-0000-FFFF-FFFF00000000}"/>
  </bookViews>
  <sheets>
    <sheet name="Etusivu" sheetId="4" r:id="rId1"/>
    <sheet name="Vuorokoodit" sheetId="125" r:id="rId2"/>
    <sheet name="Työntekijät" sheetId="170" r:id="rId3"/>
    <sheet name="Kiertotunnus" sheetId="2" r:id="rId4"/>
    <sheet name="Liitokset" sheetId="162" r:id="rId5"/>
    <sheet name="Omakierto" sheetId="6" r:id="rId6"/>
    <sheet name="Tehtavat" sheetId="101" r:id="rId7"/>
    <sheet name="Omakausi" sheetId="55" r:id="rId8"/>
    <sheet name="pHiekkalaatikko" sheetId="140" state="hidden" r:id="rId9"/>
    <sheet name="Hiekkalaatikko" sheetId="138" r:id="rId10"/>
    <sheet name="pIsot" sheetId="12" state="hidden" r:id="rId11"/>
    <sheet name="Ryhmäasetukset" sheetId="268" state="hidden" r:id="rId12"/>
    <sheet name="Koontilista" sheetId="53" r:id="rId13"/>
  </sheets>
  <functionGroups builtInGroupCount="19"/>
  <definedNames>
    <definedName name="_xlcn.WorksheetConnection_rotaattori1.xlsmtbl_r_koonnit1" hidden="1">tbl_r_koonnit</definedName>
    <definedName name="_xlcn.WorksheetConnection_rotaattori1.xlsmtbl_r_työntekijät1" hidden="1">tbl_r_työntekijät[]</definedName>
    <definedName name="a">#REF!</definedName>
    <definedName name="Aikuiset">OFFSET(#REF!,0,0,COUNTA(#REF!),1)</definedName>
    <definedName name="b">#REF!</definedName>
    <definedName name="ce">#REF!</definedName>
    <definedName name="Iltaruoka">#REF!</definedName>
    <definedName name="juu">#REF!</definedName>
    <definedName name="Koko_talon_iltaruoat">#REF!</definedName>
    <definedName name="Lapset">OFFSET(#REF!,0,0,COUNTA(#REF!)-1,1)</definedName>
    <definedName name="Lapset_Erityisruokavalio">#REF!</definedName>
    <definedName name="Ohjeteksti">#REF!</definedName>
    <definedName name="_xlnm.Print_Area" localSheetId="9">Hiekkalaatikko!$A$1:$W$42</definedName>
    <definedName name="_xlnm.Print_Area" localSheetId="7">Omakausi!$A$1:$V$21</definedName>
    <definedName name="_xlnm.Print_Area" localSheetId="8">pHiekkalaatikko!$A$1:$W$41</definedName>
    <definedName name="rpohja">#REF!</definedName>
    <definedName name="Ryhmät_Käytössä">#REF!</definedName>
    <definedName name="Ryhmät_Näytetäänkö_työntekijät">#REF!</definedName>
    <definedName name="Työntekijät_Erityisruokavali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r_koonnit" name="tbl_r_koonnit" connection="WorksheetConnection_rotaattori (1).xlsm!tbl_r_koonnit"/>
          <x15:modelTable id="tbl_r_työntekijät" name="tbl_r_työntekijät" connection="WorksheetConnection_rotaattori (1).xlsm!tbl_r_työntekijät"/>
        </x15:modelTables>
        <x15:modelRelationships>
          <x15:modelRelationship fromTable="tbl_r_koonnit" fromColumn="Kutsumanimi" toTable="tbl_r_työntekijät" toColumn="Kutsumanimi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2" l="1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B9" i="12"/>
  <c r="I4" i="138" a="1"/>
  <c r="I4" i="138" s="1"/>
  <c r="D5" i="138"/>
  <c r="D4" i="138" s="1" a="1"/>
  <c r="D4" i="138" s="1"/>
  <c r="E5" i="138"/>
  <c r="E4" i="138" s="1" a="1"/>
  <c r="E4" i="138" s="1"/>
  <c r="F5" i="138"/>
  <c r="F4" i="138" s="1" a="1"/>
  <c r="F4" i="138" s="1"/>
  <c r="G5" i="138"/>
  <c r="G4" i="138" s="1" a="1"/>
  <c r="G4" i="138" s="1"/>
  <c r="H5" i="138"/>
  <c r="H4" i="138" s="1" a="1"/>
  <c r="H4" i="138" s="1"/>
  <c r="I5" i="138"/>
  <c r="J5" i="138"/>
  <c r="J4" i="138" s="1" a="1"/>
  <c r="J4" i="138" s="1"/>
  <c r="K5" i="138"/>
  <c r="K4" i="138" s="1" a="1"/>
  <c r="K4" i="138" s="1"/>
  <c r="L5" i="138"/>
  <c r="L4" i="138" s="1" a="1"/>
  <c r="L4" i="138" s="1"/>
  <c r="M5" i="138"/>
  <c r="M4" i="138" s="1" a="1"/>
  <c r="M4" i="138" s="1"/>
  <c r="N5" i="138"/>
  <c r="N4" i="138" s="1" a="1"/>
  <c r="N4" i="138" s="1"/>
  <c r="O5" i="138"/>
  <c r="O4" i="138" s="1" a="1"/>
  <c r="O4" i="138" s="1"/>
  <c r="P5" i="138"/>
  <c r="P4" i="138" s="1" a="1"/>
  <c r="P4" i="138" s="1"/>
  <c r="Q5" i="138"/>
  <c r="Q4" i="138" s="1" a="1"/>
  <c r="Q4" i="138" s="1"/>
  <c r="R5" i="138"/>
  <c r="R4" i="138" s="1" a="1"/>
  <c r="R4" i="138" s="1"/>
  <c r="S5" i="138"/>
  <c r="S4" i="138" s="1" a="1"/>
  <c r="S4" i="138" s="1"/>
  <c r="T5" i="138"/>
  <c r="T4" i="138" s="1" a="1"/>
  <c r="T4" i="138" s="1"/>
  <c r="U5" i="138"/>
  <c r="U4" i="138" s="1" a="1"/>
  <c r="U4" i="138" s="1"/>
  <c r="V5" i="138"/>
  <c r="V4" i="138" s="1" a="1"/>
  <c r="V4" i="138" s="1"/>
  <c r="W5" i="138"/>
  <c r="W4" i="138" s="1" a="1"/>
  <c r="W4" i="138" s="1"/>
  <c r="F7" i="138" a="1"/>
  <c r="F7" i="138" s="1"/>
  <c r="G7" i="138" a="1"/>
  <c r="G7" i="138" s="1"/>
  <c r="J7" i="138" a="1"/>
  <c r="J7" i="138" s="1"/>
  <c r="K7" i="138"/>
  <c r="N7" i="138" a="1"/>
  <c r="N7" i="138" s="1"/>
  <c r="O7" i="138" a="1"/>
  <c r="O7" i="138" s="1"/>
  <c r="R7" i="138" a="1"/>
  <c r="R7" i="138" s="1"/>
  <c r="U7" i="138" a="1"/>
  <c r="U7" i="138" s="1"/>
  <c r="V7" i="138" a="1"/>
  <c r="V7" i="138" s="1"/>
  <c r="D8" i="138"/>
  <c r="D7" i="138" s="1" a="1"/>
  <c r="D7" i="138" s="1"/>
  <c r="E8" i="138"/>
  <c r="E7" i="138" s="1" a="1"/>
  <c r="E7" i="138" s="1"/>
  <c r="F8" i="138"/>
  <c r="G8" i="138"/>
  <c r="H8" i="138"/>
  <c r="H7" i="138" s="1" a="1"/>
  <c r="H7" i="138" s="1"/>
  <c r="I8" i="138"/>
  <c r="I7" i="138" s="1" a="1"/>
  <c r="I7" i="138" s="1"/>
  <c r="J8" i="138"/>
  <c r="K8" i="138"/>
  <c r="K7" i="138" s="1" a="1"/>
  <c r="L8" i="138"/>
  <c r="L7" i="138" s="1" a="1"/>
  <c r="L7" i="138" s="1"/>
  <c r="M8" i="138"/>
  <c r="M7" i="138" s="1" a="1"/>
  <c r="M7" i="138" s="1"/>
  <c r="N8" i="138"/>
  <c r="O8" i="138"/>
  <c r="P8" i="138"/>
  <c r="P7" i="138" s="1" a="1"/>
  <c r="P7" i="138" s="1"/>
  <c r="Q8" i="138"/>
  <c r="Q7" i="138" s="1" a="1"/>
  <c r="Q7" i="138" s="1"/>
  <c r="R8" i="138"/>
  <c r="S8" i="138"/>
  <c r="S7" i="138" s="1" a="1"/>
  <c r="S7" i="138" s="1"/>
  <c r="T8" i="138"/>
  <c r="T7" i="138" s="1" a="1"/>
  <c r="T7" i="138" s="1"/>
  <c r="U8" i="138"/>
  <c r="V8" i="138"/>
  <c r="W8" i="138"/>
  <c r="W7" i="138" s="1" a="1"/>
  <c r="W7" i="138" s="1"/>
  <c r="E10" i="138" a="1"/>
  <c r="E10" i="138" s="1"/>
  <c r="H10" i="138" a="1"/>
  <c r="H10" i="138" s="1"/>
  <c r="I10" i="138" a="1"/>
  <c r="I10" i="138" s="1"/>
  <c r="M10" i="138" a="1"/>
  <c r="M10" i="138" s="1"/>
  <c r="O10" i="138"/>
  <c r="P10" i="138" a="1"/>
  <c r="P10" i="138" s="1"/>
  <c r="S10" i="138" a="1"/>
  <c r="S10" i="138" s="1"/>
  <c r="D11" i="138"/>
  <c r="D10" i="138" s="1" a="1"/>
  <c r="D10" i="138" s="1"/>
  <c r="E11" i="138"/>
  <c r="F11" i="138"/>
  <c r="F10" i="138" s="1" a="1"/>
  <c r="F10" i="138" s="1"/>
  <c r="G11" i="138"/>
  <c r="G10" i="138" s="1" a="1"/>
  <c r="G10" i="138" s="1"/>
  <c r="H11" i="138"/>
  <c r="I11" i="138"/>
  <c r="J11" i="138"/>
  <c r="J10" i="138" s="1" a="1"/>
  <c r="J10" i="138" s="1"/>
  <c r="K11" i="138"/>
  <c r="K10" i="138" s="1" a="1"/>
  <c r="K10" i="138" s="1"/>
  <c r="L11" i="138"/>
  <c r="L10" i="138" s="1" a="1"/>
  <c r="L10" i="138" s="1"/>
  <c r="M11" i="138"/>
  <c r="N11" i="138"/>
  <c r="N10" i="138" s="1" a="1"/>
  <c r="N10" i="138" s="1"/>
  <c r="O11" i="138"/>
  <c r="O10" i="138" s="1" a="1"/>
  <c r="P11" i="138"/>
  <c r="Q11" i="138"/>
  <c r="Q10" i="138" s="1" a="1"/>
  <c r="Q10" i="138" s="1"/>
  <c r="R11" i="138"/>
  <c r="R10" i="138" s="1" a="1"/>
  <c r="R10" i="138" s="1"/>
  <c r="S11" i="138"/>
  <c r="T11" i="138"/>
  <c r="T10" i="138" s="1" a="1"/>
  <c r="T10" i="138" s="1"/>
  <c r="U11" i="138"/>
  <c r="U10" i="138" s="1" a="1"/>
  <c r="U10" i="138" s="1"/>
  <c r="V11" i="138"/>
  <c r="V10" i="138" s="1" a="1"/>
  <c r="V10" i="138" s="1"/>
  <c r="W11" i="138"/>
  <c r="W10" i="138" s="1" a="1"/>
  <c r="W10" i="138" s="1"/>
  <c r="E13" i="138" a="1"/>
  <c r="E13" i="138" s="1"/>
  <c r="F13" i="138" a="1"/>
  <c r="F13" i="138" s="1"/>
  <c r="I13" i="138" a="1"/>
  <c r="I13" i="138"/>
  <c r="J13" i="138" a="1"/>
  <c r="J13" i="138" s="1"/>
  <c r="M13" i="138" a="1"/>
  <c r="M13" i="138" s="1"/>
  <c r="N13" i="138" a="1"/>
  <c r="N13" i="138" s="1"/>
  <c r="Q13" i="138" a="1"/>
  <c r="Q13" i="138" s="1"/>
  <c r="U13" i="138" a="1"/>
  <c r="U13" i="138" s="1"/>
  <c r="D14" i="138"/>
  <c r="D13" i="138" s="1" a="1"/>
  <c r="D13" i="138" s="1"/>
  <c r="E14" i="138"/>
  <c r="F14" i="138"/>
  <c r="G14" i="138"/>
  <c r="G13" i="138" s="1" a="1"/>
  <c r="G13" i="138" s="1"/>
  <c r="H14" i="138"/>
  <c r="H13" i="138" s="1" a="1"/>
  <c r="H13" i="138" s="1"/>
  <c r="I14" i="138"/>
  <c r="J14" i="138"/>
  <c r="K14" i="138"/>
  <c r="K13" i="138" s="1" a="1"/>
  <c r="K13" i="138" s="1"/>
  <c r="L14" i="138"/>
  <c r="L13" i="138" s="1" a="1"/>
  <c r="L13" i="138" s="1"/>
  <c r="M14" i="138"/>
  <c r="N14" i="138"/>
  <c r="O14" i="138"/>
  <c r="O13" i="138" s="1" a="1"/>
  <c r="O13" i="138" s="1"/>
  <c r="P14" i="138"/>
  <c r="P13" i="138" s="1" a="1"/>
  <c r="P13" i="138" s="1"/>
  <c r="Q14" i="138"/>
  <c r="R14" i="138"/>
  <c r="R13" i="138" s="1" a="1"/>
  <c r="R13" i="138" s="1"/>
  <c r="S14" i="138"/>
  <c r="S13" i="138" s="1" a="1"/>
  <c r="S13" i="138" s="1"/>
  <c r="T14" i="138"/>
  <c r="T13" i="138" s="1" a="1"/>
  <c r="T13" i="138" s="1"/>
  <c r="U14" i="138"/>
  <c r="V14" i="138"/>
  <c r="V13" i="138" s="1" a="1"/>
  <c r="V13" i="138" s="1"/>
  <c r="W14" i="138"/>
  <c r="W13" i="138" s="1" a="1"/>
  <c r="W13" i="138" s="1"/>
  <c r="G16" i="138"/>
  <c r="H16" i="138" a="1"/>
  <c r="H16" i="138" s="1"/>
  <c r="K16" i="138" a="1"/>
  <c r="K16" i="138" s="1"/>
  <c r="N16" i="138" a="1"/>
  <c r="N16" i="138" s="1"/>
  <c r="O16" i="138"/>
  <c r="R16" i="138" a="1"/>
  <c r="R16" i="138" s="1"/>
  <c r="S16" i="138" a="1"/>
  <c r="S16" i="138" s="1"/>
  <c r="D17" i="138"/>
  <c r="D16" i="138" s="1" a="1"/>
  <c r="D16" i="138" s="1"/>
  <c r="E17" i="138"/>
  <c r="E16" i="138" s="1" a="1"/>
  <c r="E16" i="138" s="1"/>
  <c r="F17" i="138"/>
  <c r="F16" i="138" s="1" a="1"/>
  <c r="F16" i="138" s="1"/>
  <c r="G17" i="138"/>
  <c r="G16" i="138" s="1" a="1"/>
  <c r="H17" i="138"/>
  <c r="I17" i="138"/>
  <c r="I16" i="138" s="1" a="1"/>
  <c r="I16" i="138" s="1"/>
  <c r="J17" i="138"/>
  <c r="J16" i="138" s="1" a="1"/>
  <c r="J16" i="138" s="1"/>
  <c r="K17" i="138"/>
  <c r="L17" i="138"/>
  <c r="L16" i="138" s="1" a="1"/>
  <c r="L16" i="138" s="1"/>
  <c r="M17" i="138"/>
  <c r="M16" i="138" s="1" a="1"/>
  <c r="M16" i="138" s="1"/>
  <c r="N17" i="138"/>
  <c r="O17" i="138"/>
  <c r="O16" i="138" s="1" a="1"/>
  <c r="P17" i="138"/>
  <c r="P16" i="138" s="1" a="1"/>
  <c r="P16" i="138" s="1"/>
  <c r="Q17" i="138"/>
  <c r="Q16" i="138" s="1" a="1"/>
  <c r="Q16" i="138" s="1"/>
  <c r="R17" i="138"/>
  <c r="S17" i="138"/>
  <c r="T17" i="138"/>
  <c r="T16" i="138" s="1" a="1"/>
  <c r="T16" i="138" s="1"/>
  <c r="U17" i="138"/>
  <c r="U16" i="138" s="1" a="1"/>
  <c r="U16" i="138" s="1"/>
  <c r="V17" i="138"/>
  <c r="V16" i="138" s="1" a="1"/>
  <c r="V16" i="138" s="1"/>
  <c r="W17" i="138"/>
  <c r="W16" i="138" s="1" a="1"/>
  <c r="W16" i="138" s="1"/>
  <c r="E19" i="138" a="1"/>
  <c r="E19" i="138" s="1"/>
  <c r="F19" i="138" a="1"/>
  <c r="F19" i="138" s="1"/>
  <c r="I19" i="138" a="1"/>
  <c r="I19" i="138"/>
  <c r="J19" i="138" a="1"/>
  <c r="J19" i="138" s="1"/>
  <c r="M19" i="138" a="1"/>
  <c r="M19" i="138" s="1"/>
  <c r="N19" i="138" a="1"/>
  <c r="N19" i="138" s="1"/>
  <c r="Q19" i="138" a="1"/>
  <c r="Q19" i="138"/>
  <c r="R19" i="138" a="1"/>
  <c r="R19" i="138" s="1"/>
  <c r="U19" i="138" a="1"/>
  <c r="U19" i="138" s="1"/>
  <c r="V19" i="138" a="1"/>
  <c r="V19" i="138" s="1"/>
  <c r="D20" i="138"/>
  <c r="D19" i="138" s="1" a="1"/>
  <c r="D19" i="138" s="1"/>
  <c r="E20" i="138"/>
  <c r="F20" i="138"/>
  <c r="G20" i="138"/>
  <c r="G19" i="138" s="1" a="1"/>
  <c r="G19" i="138" s="1"/>
  <c r="H20" i="138"/>
  <c r="H19" i="138" s="1" a="1"/>
  <c r="H19" i="138" s="1"/>
  <c r="I20" i="138"/>
  <c r="J20" i="138"/>
  <c r="K20" i="138"/>
  <c r="K19" i="138" s="1" a="1"/>
  <c r="K19" i="138" s="1"/>
  <c r="L20" i="138"/>
  <c r="L19" i="138" s="1" a="1"/>
  <c r="L19" i="138" s="1"/>
  <c r="M20" i="138"/>
  <c r="N20" i="138"/>
  <c r="O20" i="138"/>
  <c r="O19" i="138" s="1" a="1"/>
  <c r="O19" i="138" s="1"/>
  <c r="P20" i="138"/>
  <c r="P19" i="138" s="1" a="1"/>
  <c r="P19" i="138" s="1"/>
  <c r="Q20" i="138"/>
  <c r="R20" i="138"/>
  <c r="S20" i="138"/>
  <c r="S19" i="138" s="1" a="1"/>
  <c r="S19" i="138" s="1"/>
  <c r="T20" i="138"/>
  <c r="T19" i="138" s="1" a="1"/>
  <c r="T19" i="138" s="1"/>
  <c r="U20" i="138"/>
  <c r="V20" i="138"/>
  <c r="W20" i="138"/>
  <c r="W19" i="138" s="1" a="1"/>
  <c r="W19" i="138" s="1"/>
  <c r="G22" i="138"/>
  <c r="H22" i="138" a="1"/>
  <c r="H22" i="138" s="1"/>
  <c r="K22" i="138" a="1"/>
  <c r="K22" i="138"/>
  <c r="O22" i="138"/>
  <c r="S22" i="138" a="1"/>
  <c r="S22" i="138" s="1"/>
  <c r="D23" i="138"/>
  <c r="D22" i="138" s="1" a="1"/>
  <c r="D22" i="138" s="1"/>
  <c r="E23" i="138"/>
  <c r="E22" i="138" s="1" a="1"/>
  <c r="E22" i="138" s="1"/>
  <c r="F23" i="138"/>
  <c r="F22" i="138" s="1" a="1"/>
  <c r="F22" i="138" s="1"/>
  <c r="G23" i="138"/>
  <c r="G22" i="138" s="1" a="1"/>
  <c r="H23" i="138"/>
  <c r="I23" i="138"/>
  <c r="I22" i="138" s="1" a="1"/>
  <c r="I22" i="138" s="1"/>
  <c r="J23" i="138"/>
  <c r="J22" i="138" s="1" a="1"/>
  <c r="J22" i="138" s="1"/>
  <c r="K23" i="138"/>
  <c r="L23" i="138"/>
  <c r="L22" i="138" s="1" a="1"/>
  <c r="L22" i="138" s="1"/>
  <c r="M23" i="138"/>
  <c r="M22" i="138" s="1" a="1"/>
  <c r="M22" i="138" s="1"/>
  <c r="N23" i="138"/>
  <c r="N22" i="138" s="1" a="1"/>
  <c r="N22" i="138" s="1"/>
  <c r="O23" i="138"/>
  <c r="O22" i="138" s="1" a="1"/>
  <c r="P23" i="138"/>
  <c r="P22" i="138" s="1" a="1"/>
  <c r="P22" i="138" s="1"/>
  <c r="Q23" i="138"/>
  <c r="Q22" i="138" s="1" a="1"/>
  <c r="Q22" i="138" s="1"/>
  <c r="R23" i="138"/>
  <c r="R22" i="138" s="1" a="1"/>
  <c r="R22" i="138" s="1"/>
  <c r="S23" i="138"/>
  <c r="T23" i="138"/>
  <c r="T22" i="138" s="1" a="1"/>
  <c r="T22" i="138" s="1"/>
  <c r="U23" i="138"/>
  <c r="U22" i="138" s="1" a="1"/>
  <c r="U22" i="138" s="1"/>
  <c r="V23" i="138"/>
  <c r="V22" i="138" s="1" a="1"/>
  <c r="V22" i="138" s="1"/>
  <c r="W23" i="138"/>
  <c r="W22" i="138" s="1" a="1"/>
  <c r="W22" i="138" s="1"/>
  <c r="E25" i="138" a="1"/>
  <c r="E25" i="138" s="1"/>
  <c r="F25" i="138" a="1"/>
  <c r="F25" i="138" s="1"/>
  <c r="L25" i="138" a="1"/>
  <c r="L25" i="138" s="1"/>
  <c r="M25" i="138" a="1"/>
  <c r="M25" i="138" s="1"/>
  <c r="U25" i="138" a="1"/>
  <c r="U25" i="138" s="1"/>
  <c r="D26" i="138"/>
  <c r="D25" i="138" s="1" a="1"/>
  <c r="D25" i="138" s="1"/>
  <c r="E26" i="138"/>
  <c r="F26" i="138"/>
  <c r="G26" i="138"/>
  <c r="G25" i="138" s="1" a="1"/>
  <c r="G25" i="138" s="1"/>
  <c r="H26" i="138"/>
  <c r="H25" i="138" s="1" a="1"/>
  <c r="H25" i="138" s="1"/>
  <c r="I26" i="138"/>
  <c r="I25" i="138" s="1" a="1"/>
  <c r="I25" i="138" s="1"/>
  <c r="J26" i="138"/>
  <c r="J25" i="138" s="1" a="1"/>
  <c r="J25" i="138" s="1"/>
  <c r="K26" i="138"/>
  <c r="K25" i="138" s="1" a="1"/>
  <c r="K25" i="138" s="1"/>
  <c r="L26" i="138"/>
  <c r="M26" i="138"/>
  <c r="N26" i="138"/>
  <c r="N25" i="138" s="1" a="1"/>
  <c r="N25" i="138" s="1"/>
  <c r="O26" i="138"/>
  <c r="O25" i="138" s="1" a="1"/>
  <c r="O25" i="138" s="1"/>
  <c r="P26" i="138"/>
  <c r="P25" i="138" s="1" a="1"/>
  <c r="P25" i="138" s="1"/>
  <c r="Q26" i="138"/>
  <c r="Q25" i="138" s="1" a="1"/>
  <c r="Q25" i="138" s="1"/>
  <c r="R26" i="138"/>
  <c r="R25" i="138" s="1" a="1"/>
  <c r="R25" i="138" s="1"/>
  <c r="S26" i="138"/>
  <c r="S25" i="138" s="1" a="1"/>
  <c r="S25" i="138" s="1"/>
  <c r="T26" i="138"/>
  <c r="T25" i="138" s="1" a="1"/>
  <c r="T25" i="138" s="1"/>
  <c r="U26" i="138"/>
  <c r="V26" i="138"/>
  <c r="V25" i="138" s="1" a="1"/>
  <c r="V25" i="138" s="1"/>
  <c r="W26" i="138"/>
  <c r="W25" i="138" s="1" a="1"/>
  <c r="W25" i="138" s="1"/>
  <c r="G28" i="138"/>
  <c r="K28" i="138" a="1"/>
  <c r="K28" i="138" s="1"/>
  <c r="R28" i="138" a="1"/>
  <c r="R28" i="138" s="1"/>
  <c r="D29" i="138"/>
  <c r="D28" i="138" s="1" a="1"/>
  <c r="D28" i="138" s="1"/>
  <c r="E29" i="138"/>
  <c r="E28" i="138" s="1" a="1"/>
  <c r="E28" i="138" s="1"/>
  <c r="F29" i="138"/>
  <c r="F28" i="138" s="1" a="1"/>
  <c r="F28" i="138" s="1"/>
  <c r="G29" i="138"/>
  <c r="G28" i="138" s="1" a="1"/>
  <c r="H29" i="138"/>
  <c r="H28" i="138" s="1" a="1"/>
  <c r="H28" i="138" s="1"/>
  <c r="I29" i="138"/>
  <c r="I28" i="138" s="1" a="1"/>
  <c r="I28" i="138" s="1"/>
  <c r="J29" i="138"/>
  <c r="J28" i="138" s="1" a="1"/>
  <c r="J28" i="138" s="1"/>
  <c r="K29" i="138"/>
  <c r="L29" i="138"/>
  <c r="L28" i="138" s="1" a="1"/>
  <c r="L28" i="138" s="1"/>
  <c r="M29" i="138"/>
  <c r="M28" i="138" s="1" a="1"/>
  <c r="M28" i="138" s="1"/>
  <c r="N29" i="138"/>
  <c r="N28" i="138" s="1" a="1"/>
  <c r="N28" i="138" s="1"/>
  <c r="O29" i="138"/>
  <c r="O28" i="138" s="1" a="1"/>
  <c r="O28" i="138" s="1"/>
  <c r="P29" i="138"/>
  <c r="P28" i="138" s="1" a="1"/>
  <c r="P28" i="138" s="1"/>
  <c r="Q29" i="138"/>
  <c r="Q28" i="138" s="1" a="1"/>
  <c r="Q28" i="138" s="1"/>
  <c r="R29" i="138"/>
  <c r="S29" i="138"/>
  <c r="S28" i="138" s="1" a="1"/>
  <c r="S28" i="138" s="1"/>
  <c r="T29" i="138"/>
  <c r="T28" i="138" s="1" a="1"/>
  <c r="T28" i="138" s="1"/>
  <c r="U29" i="138"/>
  <c r="U28" i="138" s="1" a="1"/>
  <c r="U28" i="138" s="1"/>
  <c r="V29" i="138"/>
  <c r="V28" i="138" s="1" a="1"/>
  <c r="V28" i="138" s="1"/>
  <c r="W29" i="138"/>
  <c r="W28" i="138" s="1" a="1"/>
  <c r="W28" i="138" s="1"/>
  <c r="L31" i="138" a="1"/>
  <c r="L31" i="138" s="1"/>
  <c r="R31" i="138" a="1"/>
  <c r="R31" i="138" s="1"/>
  <c r="T31" i="138" a="1"/>
  <c r="T31" i="138" s="1"/>
  <c r="D32" i="138"/>
  <c r="D31" i="138" s="1" a="1"/>
  <c r="D31" i="138" s="1"/>
  <c r="E32" i="138"/>
  <c r="E31" i="138" s="1" a="1"/>
  <c r="E31" i="138" s="1"/>
  <c r="F32" i="138"/>
  <c r="F31" i="138" s="1" a="1"/>
  <c r="F31" i="138" s="1"/>
  <c r="G32" i="138"/>
  <c r="G31" i="138" s="1" a="1"/>
  <c r="G31" i="138" s="1"/>
  <c r="H32" i="138"/>
  <c r="H31" i="138" s="1" a="1"/>
  <c r="H31" i="138" s="1"/>
  <c r="I32" i="138"/>
  <c r="I31" i="138" s="1" a="1"/>
  <c r="I31" i="138" s="1"/>
  <c r="J32" i="138"/>
  <c r="J31" i="138" s="1" a="1"/>
  <c r="J31" i="138" s="1"/>
  <c r="K32" i="138"/>
  <c r="K31" i="138" s="1" a="1"/>
  <c r="K31" i="138" s="1"/>
  <c r="L32" i="138"/>
  <c r="M32" i="138"/>
  <c r="M31" i="138" s="1" a="1"/>
  <c r="M31" i="138" s="1"/>
  <c r="N32" i="138"/>
  <c r="N31" i="138" s="1" a="1"/>
  <c r="N31" i="138" s="1"/>
  <c r="O32" i="138"/>
  <c r="O31" i="138" s="1" a="1"/>
  <c r="O31" i="138" s="1"/>
  <c r="P32" i="138"/>
  <c r="P31" i="138" s="1" a="1"/>
  <c r="P31" i="138" s="1"/>
  <c r="Q32" i="138"/>
  <c r="Q31" i="138" s="1" a="1"/>
  <c r="Q31" i="138" s="1"/>
  <c r="R32" i="138"/>
  <c r="S32" i="138"/>
  <c r="S31" i="138" s="1" a="1"/>
  <c r="S31" i="138" s="1"/>
  <c r="T32" i="138"/>
  <c r="U32" i="138"/>
  <c r="U31" i="138" s="1" a="1"/>
  <c r="U31" i="138" s="1"/>
  <c r="V32" i="138"/>
  <c r="V31" i="138" s="1" a="1"/>
  <c r="V31" i="138" s="1"/>
  <c r="W32" i="138"/>
  <c r="W31" i="138" s="1" a="1"/>
  <c r="W31" i="138" s="1"/>
  <c r="K34" i="138" a="1"/>
  <c r="K34" i="138" s="1"/>
  <c r="S34" i="138" a="1"/>
  <c r="S34" i="138" s="1"/>
  <c r="D35" i="138"/>
  <c r="D34" i="138" s="1" a="1"/>
  <c r="D34" i="138" s="1"/>
  <c r="E35" i="138"/>
  <c r="E34" i="138" s="1" a="1"/>
  <c r="E34" i="138" s="1"/>
  <c r="F35" i="138"/>
  <c r="F34" i="138" s="1" a="1"/>
  <c r="F34" i="138" s="1"/>
  <c r="G35" i="138"/>
  <c r="G34" i="138" s="1" a="1"/>
  <c r="G34" i="138" s="1"/>
  <c r="H35" i="138"/>
  <c r="H34" i="138" s="1" a="1"/>
  <c r="H34" i="138" s="1"/>
  <c r="I35" i="138"/>
  <c r="I34" i="138" s="1" a="1"/>
  <c r="I34" i="138" s="1"/>
  <c r="J35" i="138"/>
  <c r="J34" i="138" s="1" a="1"/>
  <c r="J34" i="138" s="1"/>
  <c r="K35" i="138"/>
  <c r="L35" i="138"/>
  <c r="L34" i="138" s="1" a="1"/>
  <c r="L34" i="138" s="1"/>
  <c r="M35" i="138"/>
  <c r="M34" i="138" s="1" a="1"/>
  <c r="M34" i="138" s="1"/>
  <c r="N35" i="138"/>
  <c r="N34" i="138" s="1" a="1"/>
  <c r="N34" i="138" s="1"/>
  <c r="O35" i="138"/>
  <c r="O34" i="138" s="1" a="1"/>
  <c r="O34" i="138" s="1"/>
  <c r="P35" i="138"/>
  <c r="P34" i="138" s="1" a="1"/>
  <c r="P34" i="138" s="1"/>
  <c r="Q35" i="138"/>
  <c r="Q34" i="138" s="1" a="1"/>
  <c r="Q34" i="138" s="1"/>
  <c r="R35" i="138"/>
  <c r="R34" i="138" s="1" a="1"/>
  <c r="R34" i="138" s="1"/>
  <c r="S35" i="138"/>
  <c r="T35" i="138"/>
  <c r="T34" i="138" s="1" a="1"/>
  <c r="T34" i="138" s="1"/>
  <c r="U35" i="138"/>
  <c r="U34" i="138" s="1" a="1"/>
  <c r="U34" i="138" s="1"/>
  <c r="V35" i="138"/>
  <c r="V34" i="138" s="1" a="1"/>
  <c r="V34" i="138" s="1"/>
  <c r="W35" i="138"/>
  <c r="W34" i="138" s="1" a="1"/>
  <c r="W34" i="138" s="1"/>
  <c r="C35" i="138"/>
  <c r="C34" i="138" a="1"/>
  <c r="C34" i="138" s="1"/>
  <c r="C32" i="138"/>
  <c r="C31" i="138" a="1"/>
  <c r="C31" i="138" s="1"/>
  <c r="C29" i="138"/>
  <c r="C28" i="138" a="1"/>
  <c r="C28" i="138" s="1"/>
  <c r="C26" i="138"/>
  <c r="C25" i="138" a="1"/>
  <c r="C25" i="138" s="1"/>
  <c r="C23" i="138"/>
  <c r="C22" i="138" a="1"/>
  <c r="C22" i="138" s="1"/>
  <c r="C20" i="138"/>
  <c r="C19" i="138" a="1"/>
  <c r="C19" i="138" s="1"/>
  <c r="C17" i="138"/>
  <c r="C16" i="138" a="1"/>
  <c r="C16" i="138" s="1"/>
  <c r="C14" i="138"/>
  <c r="C13" i="138" a="1"/>
  <c r="C13" i="138" s="1"/>
  <c r="C11" i="138"/>
  <c r="C10" i="138" a="1"/>
  <c r="C10" i="138" s="1"/>
  <c r="C8" i="138"/>
  <c r="C7" i="138" a="1"/>
  <c r="C7" i="138" s="1"/>
  <c r="C5" i="138"/>
  <c r="C4" i="138" a="1"/>
  <c r="C4" i="138" s="1"/>
  <c r="A20" i="55"/>
  <c r="A16" i="55"/>
  <c r="A12" i="55"/>
  <c r="A8" i="55"/>
  <c r="G8" i="55" s="1" a="1"/>
  <c r="G8" i="55" s="1"/>
  <c r="G7" i="55" s="1" a="1"/>
  <c r="G7" i="55" s="1"/>
  <c r="A4" i="55"/>
  <c r="C4" i="55" s="1" a="1"/>
  <c r="C4" i="55" s="1"/>
  <c r="C3" i="55" s="1" a="1"/>
  <c r="C3" i="55" s="1"/>
  <c r="A11" i="55" a="1"/>
  <c r="A19" i="55" a="1"/>
  <c r="A15" i="55" a="1"/>
  <c r="A7" i="55" a="1"/>
  <c r="E8" i="55" l="1" a="1"/>
  <c r="E8" i="55" s="1"/>
  <c r="E7" i="55" s="1" a="1"/>
  <c r="E7" i="55" s="1"/>
  <c r="I8" i="55" a="1"/>
  <c r="I8" i="55" s="1"/>
  <c r="I7" i="55" s="1" a="1"/>
  <c r="I7" i="55" s="1"/>
  <c r="D8" i="55" a="1"/>
  <c r="D8" i="55" s="1"/>
  <c r="D7" i="55" s="1" a="1"/>
  <c r="D7" i="55" s="1"/>
  <c r="F8" i="55" a="1"/>
  <c r="F8" i="55" s="1"/>
  <c r="F7" i="55" s="1" a="1"/>
  <c r="F7" i="55" s="1"/>
  <c r="C8" i="55" a="1"/>
  <c r="C8" i="55" s="1"/>
  <c r="C7" i="55" s="1" a="1"/>
  <c r="C7" i="55" s="1"/>
  <c r="H8" i="55" a="1"/>
  <c r="H8" i="55" s="1"/>
  <c r="H7" i="55" s="1" a="1"/>
  <c r="H7" i="55" s="1"/>
  <c r="A11" i="55"/>
  <c r="A19" i="55"/>
  <c r="A15" i="55"/>
  <c r="A7" i="55"/>
  <c r="W38" i="138" a="1"/>
  <c r="W38" i="138" s="1"/>
  <c r="V38" i="138" a="1"/>
  <c r="V38" i="138" s="1"/>
  <c r="U38" i="138" a="1"/>
  <c r="U38" i="138" s="1"/>
  <c r="T38" i="138" a="1"/>
  <c r="T38" i="138" s="1"/>
  <c r="S38" i="138" a="1"/>
  <c r="S38" i="138" s="1"/>
  <c r="R38" i="138" a="1"/>
  <c r="R38" i="138" s="1"/>
  <c r="Q38" i="138" a="1"/>
  <c r="Q38" i="138" s="1"/>
  <c r="P38" i="138" a="1"/>
  <c r="P38" i="138" s="1"/>
  <c r="O38" i="138" a="1"/>
  <c r="O38" i="138" s="1"/>
  <c r="N38" i="138" a="1"/>
  <c r="N38" i="138" s="1"/>
  <c r="M38" i="138" a="1"/>
  <c r="M38" i="138" s="1"/>
  <c r="L38" i="138" a="1"/>
  <c r="L38" i="138" s="1"/>
  <c r="K38" i="138" a="1"/>
  <c r="K38" i="138" s="1"/>
  <c r="J38" i="138" a="1"/>
  <c r="J38" i="138" s="1"/>
  <c r="I38" i="138" a="1"/>
  <c r="I38" i="138" s="1"/>
  <c r="H38" i="138" a="1"/>
  <c r="H38" i="138" s="1"/>
  <c r="G38" i="138" a="1"/>
  <c r="G38" i="138" s="1"/>
  <c r="F38" i="138" a="1"/>
  <c r="F38" i="138" s="1"/>
  <c r="E38" i="138" a="1"/>
  <c r="E38" i="138" s="1"/>
  <c r="D38" i="138" a="1"/>
  <c r="D38" i="138" s="1"/>
  <c r="C38" i="138" a="1"/>
  <c r="C38" i="138" s="1"/>
  <c r="X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C7" i="12"/>
  <c r="B7" i="12"/>
  <c r="A7" i="12" a="1"/>
  <c r="A7" i="12" s="1"/>
  <c r="W38" i="140" a="1"/>
  <c r="W38" i="140" s="1"/>
  <c r="V38" i="140" a="1"/>
  <c r="V38" i="140" s="1"/>
  <c r="U38" i="140" a="1"/>
  <c r="U38" i="140" s="1"/>
  <c r="T38" i="140" a="1"/>
  <c r="T38" i="140" s="1"/>
  <c r="S38" i="140" a="1"/>
  <c r="S38" i="140" s="1"/>
  <c r="R38" i="140" a="1"/>
  <c r="R38" i="140" s="1"/>
  <c r="Q38" i="140" a="1"/>
  <c r="Q38" i="140" s="1"/>
  <c r="P38" i="140" a="1"/>
  <c r="P38" i="140" s="1"/>
  <c r="O38" i="140" a="1"/>
  <c r="O38" i="140" s="1"/>
  <c r="N38" i="140" a="1"/>
  <c r="N38" i="140" s="1"/>
  <c r="M38" i="140" a="1"/>
  <c r="M38" i="140" s="1"/>
  <c r="L38" i="140" a="1"/>
  <c r="L38" i="140" s="1"/>
  <c r="K38" i="140" a="1"/>
  <c r="K38" i="140" s="1"/>
  <c r="J38" i="140" a="1"/>
  <c r="J38" i="140" s="1"/>
  <c r="I38" i="140" a="1"/>
  <c r="I38" i="140" s="1"/>
  <c r="H38" i="140" a="1"/>
  <c r="H38" i="140" s="1"/>
  <c r="G38" i="140" a="1"/>
  <c r="G38" i="140" s="1"/>
  <c r="F38" i="140" a="1"/>
  <c r="F38" i="140" s="1"/>
  <c r="E38" i="140" a="1"/>
  <c r="E38" i="140" s="1"/>
  <c r="D38" i="140" a="1"/>
  <c r="D38" i="140" s="1"/>
  <c r="C38" i="140" a="1"/>
  <c r="C38" i="140" s="1"/>
  <c r="W35" i="140" a="1"/>
  <c r="W35" i="140" s="1"/>
  <c r="V35" i="140" a="1"/>
  <c r="V35" i="140" s="1"/>
  <c r="U35" i="140" a="1"/>
  <c r="U35" i="140" s="1"/>
  <c r="T35" i="140" a="1"/>
  <c r="T35" i="140" s="1"/>
  <c r="S35" i="140" a="1"/>
  <c r="S35" i="140" s="1"/>
  <c r="R35" i="140" a="1"/>
  <c r="R35" i="140" s="1"/>
  <c r="Q35" i="140" a="1"/>
  <c r="Q35" i="140" s="1"/>
  <c r="P35" i="140" a="1"/>
  <c r="P35" i="140" s="1"/>
  <c r="O35" i="140" a="1"/>
  <c r="O35" i="140" s="1"/>
  <c r="N35" i="140" a="1"/>
  <c r="N35" i="140" s="1"/>
  <c r="M35" i="140" a="1"/>
  <c r="M35" i="140" s="1"/>
  <c r="L35" i="140" a="1"/>
  <c r="L35" i="140" s="1"/>
  <c r="K35" i="140" a="1"/>
  <c r="K35" i="140" s="1"/>
  <c r="J35" i="140" a="1"/>
  <c r="J35" i="140" s="1"/>
  <c r="I35" i="140" a="1"/>
  <c r="I35" i="140" s="1"/>
  <c r="H35" i="140" a="1"/>
  <c r="H35" i="140" s="1"/>
  <c r="G35" i="140" a="1"/>
  <c r="G35" i="140" s="1"/>
  <c r="F35" i="140" a="1"/>
  <c r="F35" i="140" s="1"/>
  <c r="E35" i="140" a="1"/>
  <c r="E35" i="140" s="1"/>
  <c r="D35" i="140" a="1"/>
  <c r="D35" i="140" s="1"/>
  <c r="C35" i="140" a="1"/>
  <c r="C35" i="140" s="1"/>
  <c r="W32" i="140" a="1"/>
  <c r="W32" i="140" s="1"/>
  <c r="V32" i="140" a="1"/>
  <c r="V32" i="140" s="1"/>
  <c r="U32" i="140" a="1"/>
  <c r="U32" i="140" s="1"/>
  <c r="T32" i="140" a="1"/>
  <c r="T32" i="140" s="1"/>
  <c r="S32" i="140" a="1"/>
  <c r="S32" i="140" s="1"/>
  <c r="R32" i="140" a="1"/>
  <c r="R32" i="140" s="1"/>
  <c r="Q32" i="140" a="1"/>
  <c r="Q32" i="140" s="1"/>
  <c r="P32" i="140" a="1"/>
  <c r="P32" i="140" s="1"/>
  <c r="O32" i="140" a="1"/>
  <c r="O32" i="140" s="1"/>
  <c r="N32" i="140" a="1"/>
  <c r="N32" i="140" s="1"/>
  <c r="M32" i="140" a="1"/>
  <c r="M32" i="140" s="1"/>
  <c r="L32" i="140" a="1"/>
  <c r="L32" i="140" s="1"/>
  <c r="K32" i="140" a="1"/>
  <c r="K32" i="140" s="1"/>
  <c r="K31" i="140" s="1" a="1"/>
  <c r="K31" i="140" s="1"/>
  <c r="J32" i="140" a="1"/>
  <c r="J32" i="140" s="1"/>
  <c r="I32" i="140" a="1"/>
  <c r="I32" i="140" s="1"/>
  <c r="H32" i="140" a="1"/>
  <c r="H32" i="140" s="1"/>
  <c r="G32" i="140" a="1"/>
  <c r="G32" i="140" s="1"/>
  <c r="G31" i="140" s="1" a="1"/>
  <c r="G31" i="140" s="1"/>
  <c r="F32" i="140" a="1"/>
  <c r="F32" i="140" s="1"/>
  <c r="E32" i="140" a="1"/>
  <c r="E32" i="140" s="1"/>
  <c r="D32" i="140" a="1"/>
  <c r="D32" i="140" s="1"/>
  <c r="C32" i="140" a="1"/>
  <c r="C32" i="140" s="1"/>
  <c r="C31" i="140" s="1" a="1"/>
  <c r="C31" i="140" s="1"/>
  <c r="W29" i="140" a="1"/>
  <c r="W29" i="140" s="1"/>
  <c r="V29" i="140" a="1"/>
  <c r="V29" i="140" s="1"/>
  <c r="U29" i="140" a="1"/>
  <c r="U29" i="140" s="1"/>
  <c r="T29" i="140" a="1"/>
  <c r="T29" i="140" s="1"/>
  <c r="T28" i="140" s="1" a="1"/>
  <c r="T28" i="140" s="1"/>
  <c r="S29" i="140" a="1"/>
  <c r="S29" i="140" s="1"/>
  <c r="R29" i="140" a="1"/>
  <c r="R29" i="140" s="1"/>
  <c r="Q29" i="140" a="1"/>
  <c r="Q29" i="140" s="1"/>
  <c r="P29" i="140" a="1"/>
  <c r="P29" i="140" s="1"/>
  <c r="P28" i="140" s="1" a="1"/>
  <c r="P28" i="140" s="1"/>
  <c r="O29" i="140" a="1"/>
  <c r="O29" i="140" s="1"/>
  <c r="N29" i="140" a="1"/>
  <c r="N29" i="140" s="1"/>
  <c r="M29" i="140" a="1"/>
  <c r="M29" i="140" s="1"/>
  <c r="L29" i="140" a="1"/>
  <c r="L29" i="140" s="1"/>
  <c r="L28" i="140" s="1" a="1"/>
  <c r="L28" i="140" s="1"/>
  <c r="K29" i="140" a="1"/>
  <c r="K29" i="140" s="1"/>
  <c r="J29" i="140" a="1"/>
  <c r="J29" i="140" s="1"/>
  <c r="I29" i="140" a="1"/>
  <c r="I29" i="140" s="1"/>
  <c r="H29" i="140" a="1"/>
  <c r="H29" i="140" s="1"/>
  <c r="H28" i="140" s="1" a="1"/>
  <c r="H28" i="140" s="1"/>
  <c r="G29" i="140" a="1"/>
  <c r="G29" i="140" s="1"/>
  <c r="F29" i="140" a="1"/>
  <c r="F29" i="140" s="1"/>
  <c r="E29" i="140" a="1"/>
  <c r="E29" i="140" s="1"/>
  <c r="D29" i="140" a="1"/>
  <c r="D29" i="140" s="1"/>
  <c r="D28" i="140" s="1" a="1"/>
  <c r="D28" i="140" s="1"/>
  <c r="C29" i="140" a="1"/>
  <c r="C29" i="140" s="1"/>
  <c r="W26" i="140" a="1"/>
  <c r="W26" i="140" s="1"/>
  <c r="V26" i="140" a="1"/>
  <c r="V26" i="140" s="1"/>
  <c r="U26" i="140" a="1"/>
  <c r="U26" i="140" s="1"/>
  <c r="U25" i="140" s="1" a="1"/>
  <c r="U25" i="140" s="1"/>
  <c r="T26" i="140" a="1"/>
  <c r="T26" i="140" s="1"/>
  <c r="S26" i="140" a="1"/>
  <c r="S26" i="140" s="1"/>
  <c r="R26" i="140" a="1"/>
  <c r="R26" i="140" s="1"/>
  <c r="Q26" i="140" a="1"/>
  <c r="Q26" i="140" s="1"/>
  <c r="Q25" i="140" s="1" a="1"/>
  <c r="Q25" i="140" s="1"/>
  <c r="P26" i="140" a="1"/>
  <c r="P26" i="140" s="1"/>
  <c r="O26" i="140" a="1"/>
  <c r="O26" i="140" s="1"/>
  <c r="N26" i="140" a="1"/>
  <c r="N26" i="140" s="1"/>
  <c r="M26" i="140" a="1"/>
  <c r="M26" i="140" s="1"/>
  <c r="M25" i="140" s="1" a="1"/>
  <c r="M25" i="140" s="1"/>
  <c r="L26" i="140" a="1"/>
  <c r="L26" i="140" s="1"/>
  <c r="K26" i="140" a="1"/>
  <c r="K26" i="140" s="1"/>
  <c r="J26" i="140" a="1"/>
  <c r="J26" i="140" s="1"/>
  <c r="I26" i="140" a="1"/>
  <c r="I26" i="140" s="1"/>
  <c r="I25" i="140" s="1" a="1"/>
  <c r="I25" i="140" s="1"/>
  <c r="H26" i="140" a="1"/>
  <c r="H26" i="140" s="1"/>
  <c r="G26" i="140" a="1"/>
  <c r="G26" i="140" s="1"/>
  <c r="F26" i="140" a="1"/>
  <c r="F26" i="140" s="1"/>
  <c r="E26" i="140" a="1"/>
  <c r="E26" i="140" s="1"/>
  <c r="E25" i="140" s="1" a="1"/>
  <c r="E25" i="140" s="1"/>
  <c r="D26" i="140" a="1"/>
  <c r="D26" i="140" s="1"/>
  <c r="C26" i="140" a="1"/>
  <c r="C26" i="140" s="1"/>
  <c r="W23" i="140" a="1"/>
  <c r="W23" i="140" s="1"/>
  <c r="V23" i="140" a="1"/>
  <c r="V23" i="140" s="1"/>
  <c r="V22" i="140" s="1" a="1"/>
  <c r="V22" i="140" s="1"/>
  <c r="U23" i="140" a="1"/>
  <c r="U23" i="140" s="1"/>
  <c r="T23" i="140" a="1"/>
  <c r="T23" i="140" s="1"/>
  <c r="S23" i="140" a="1"/>
  <c r="S23" i="140" s="1"/>
  <c r="R23" i="140" a="1"/>
  <c r="R23" i="140" s="1"/>
  <c r="R22" i="140" s="1" a="1"/>
  <c r="R22" i="140" s="1"/>
  <c r="Q23" i="140" a="1"/>
  <c r="Q23" i="140" s="1"/>
  <c r="P23" i="140" a="1"/>
  <c r="P23" i="140" s="1"/>
  <c r="O23" i="140" a="1"/>
  <c r="O23" i="140" s="1"/>
  <c r="N23" i="140" a="1"/>
  <c r="N23" i="140" s="1"/>
  <c r="N22" i="140" s="1" a="1"/>
  <c r="N22" i="140" s="1"/>
  <c r="M23" i="140" a="1"/>
  <c r="M23" i="140" s="1"/>
  <c r="L23" i="140" a="1"/>
  <c r="L23" i="140" s="1"/>
  <c r="K23" i="140" a="1"/>
  <c r="K23" i="140" s="1"/>
  <c r="J23" i="140" a="1"/>
  <c r="J23" i="140" s="1"/>
  <c r="J22" i="140" s="1" a="1"/>
  <c r="J22" i="140" s="1"/>
  <c r="I23" i="140" a="1"/>
  <c r="I23" i="140" s="1"/>
  <c r="H23" i="140" a="1"/>
  <c r="H23" i="140" s="1"/>
  <c r="G23" i="140" a="1"/>
  <c r="G23" i="140" s="1"/>
  <c r="F23" i="140" a="1"/>
  <c r="F23" i="140" s="1"/>
  <c r="F22" i="140" s="1" a="1"/>
  <c r="F22" i="140" s="1"/>
  <c r="E23" i="140" a="1"/>
  <c r="E23" i="140" s="1"/>
  <c r="D23" i="140" a="1"/>
  <c r="D23" i="140" s="1"/>
  <c r="C23" i="140" a="1"/>
  <c r="C23" i="140" s="1"/>
  <c r="W20" i="140" a="1"/>
  <c r="W20" i="140" s="1"/>
  <c r="W19" i="140" s="1" a="1"/>
  <c r="W19" i="140" s="1"/>
  <c r="V20" i="140" a="1"/>
  <c r="V20" i="140" s="1"/>
  <c r="U20" i="140" a="1"/>
  <c r="U20" i="140" s="1"/>
  <c r="T20" i="140" a="1"/>
  <c r="T20" i="140" s="1"/>
  <c r="S20" i="140" a="1"/>
  <c r="S20" i="140" s="1"/>
  <c r="S19" i="140" s="1" a="1"/>
  <c r="S19" i="140" s="1"/>
  <c r="R20" i="140" a="1"/>
  <c r="R20" i="140" s="1"/>
  <c r="Q20" i="140" a="1"/>
  <c r="Q20" i="140" s="1"/>
  <c r="P20" i="140" a="1"/>
  <c r="P20" i="140" s="1"/>
  <c r="O20" i="140" a="1"/>
  <c r="O20" i="140" s="1"/>
  <c r="O19" i="140" s="1" a="1"/>
  <c r="O19" i="140" s="1"/>
  <c r="N20" i="140" a="1"/>
  <c r="N20" i="140" s="1"/>
  <c r="M20" i="140" a="1"/>
  <c r="M20" i="140" s="1"/>
  <c r="L20" i="140" a="1"/>
  <c r="L20" i="140" s="1"/>
  <c r="K20" i="140" a="1"/>
  <c r="K20" i="140" s="1"/>
  <c r="K19" i="140" s="1" a="1"/>
  <c r="K19" i="140" s="1"/>
  <c r="J20" i="140" a="1"/>
  <c r="J20" i="140" s="1"/>
  <c r="I20" i="140" a="1"/>
  <c r="I20" i="140" s="1"/>
  <c r="H20" i="140" a="1"/>
  <c r="H20" i="140" s="1"/>
  <c r="G20" i="140" a="1"/>
  <c r="G20" i="140" s="1"/>
  <c r="G19" i="140" s="1" a="1"/>
  <c r="G19" i="140" s="1"/>
  <c r="F20" i="140" a="1"/>
  <c r="F20" i="140" s="1"/>
  <c r="E20" i="140" a="1"/>
  <c r="E20" i="140" s="1"/>
  <c r="D20" i="140" a="1"/>
  <c r="D20" i="140" s="1"/>
  <c r="C20" i="140" a="1"/>
  <c r="C20" i="140" s="1"/>
  <c r="C19" i="140" s="1" a="1"/>
  <c r="C19" i="140" s="1"/>
  <c r="W17" i="140" a="1"/>
  <c r="W17" i="140" s="1"/>
  <c r="V17" i="140" a="1"/>
  <c r="V17" i="140" s="1"/>
  <c r="U17" i="140" a="1"/>
  <c r="U17" i="140" s="1"/>
  <c r="T17" i="140" a="1"/>
  <c r="T17" i="140" s="1"/>
  <c r="T16" i="140" s="1" a="1"/>
  <c r="T16" i="140" s="1"/>
  <c r="S17" i="140" a="1"/>
  <c r="S17" i="140" s="1"/>
  <c r="R17" i="140" a="1"/>
  <c r="R17" i="140" s="1"/>
  <c r="Q17" i="140" a="1"/>
  <c r="Q17" i="140" s="1"/>
  <c r="P17" i="140" a="1"/>
  <c r="P17" i="140" s="1"/>
  <c r="P16" i="140" s="1" a="1"/>
  <c r="P16" i="140" s="1"/>
  <c r="O17" i="140" a="1"/>
  <c r="O17" i="140" s="1"/>
  <c r="N17" i="140" a="1"/>
  <c r="N17" i="140" s="1"/>
  <c r="M17" i="140" a="1"/>
  <c r="M17" i="140" s="1"/>
  <c r="L17" i="140" a="1"/>
  <c r="L17" i="140" s="1"/>
  <c r="L16" i="140" s="1" a="1"/>
  <c r="L16" i="140" s="1"/>
  <c r="K17" i="140" a="1"/>
  <c r="K17" i="140" s="1"/>
  <c r="J17" i="140" a="1"/>
  <c r="J17" i="140" s="1"/>
  <c r="I17" i="140" a="1"/>
  <c r="I17" i="140" s="1"/>
  <c r="H17" i="140" a="1"/>
  <c r="H17" i="140" s="1"/>
  <c r="H16" i="140" s="1" a="1"/>
  <c r="H16" i="140" s="1"/>
  <c r="G17" i="140" a="1"/>
  <c r="G17" i="140" s="1"/>
  <c r="F17" i="140" a="1"/>
  <c r="F17" i="140" s="1"/>
  <c r="E17" i="140" a="1"/>
  <c r="E17" i="140" s="1"/>
  <c r="D17" i="140" a="1"/>
  <c r="D17" i="140" s="1"/>
  <c r="D16" i="140" s="1" a="1"/>
  <c r="D16" i="140" s="1"/>
  <c r="C17" i="140" a="1"/>
  <c r="C17" i="140" s="1"/>
  <c r="W14" i="140" a="1"/>
  <c r="W14" i="140" s="1"/>
  <c r="V14" i="140" a="1"/>
  <c r="V14" i="140" s="1"/>
  <c r="U14" i="140" a="1"/>
  <c r="U14" i="140" s="1"/>
  <c r="U13" i="140" s="1" a="1"/>
  <c r="U13" i="140" s="1"/>
  <c r="T14" i="140" a="1"/>
  <c r="T14" i="140" s="1"/>
  <c r="S14" i="140" a="1"/>
  <c r="S14" i="140" s="1"/>
  <c r="R14" i="140" a="1"/>
  <c r="R14" i="140" s="1"/>
  <c r="Q14" i="140" a="1"/>
  <c r="Q14" i="140" s="1"/>
  <c r="Q13" i="140" s="1" a="1"/>
  <c r="Q13" i="140" s="1"/>
  <c r="P14" i="140" a="1"/>
  <c r="P14" i="140" s="1"/>
  <c r="O14" i="140" a="1"/>
  <c r="O14" i="140" s="1"/>
  <c r="N14" i="140" a="1"/>
  <c r="N14" i="140" s="1"/>
  <c r="M14" i="140" a="1"/>
  <c r="M14" i="140" s="1"/>
  <c r="M13" i="140" s="1" a="1"/>
  <c r="M13" i="140" s="1"/>
  <c r="L14" i="140" a="1"/>
  <c r="L14" i="140" s="1"/>
  <c r="K14" i="140" a="1"/>
  <c r="K14" i="140" s="1"/>
  <c r="J14" i="140" a="1"/>
  <c r="J14" i="140" s="1"/>
  <c r="I14" i="140" a="1"/>
  <c r="I14" i="140" s="1"/>
  <c r="I13" i="140" s="1" a="1"/>
  <c r="I13" i="140" s="1"/>
  <c r="H14" i="140" a="1"/>
  <c r="H14" i="140" s="1"/>
  <c r="G14" i="140" a="1"/>
  <c r="G14" i="140" s="1"/>
  <c r="F14" i="140" a="1"/>
  <c r="F14" i="140" s="1"/>
  <c r="E14" i="140" a="1"/>
  <c r="E14" i="140" s="1"/>
  <c r="E13" i="140" s="1" a="1"/>
  <c r="E13" i="140" s="1"/>
  <c r="D14" i="140" a="1"/>
  <c r="D14" i="140" s="1"/>
  <c r="C14" i="140" a="1"/>
  <c r="C14" i="140" s="1"/>
  <c r="W11" i="140" a="1"/>
  <c r="W11" i="140" s="1"/>
  <c r="V11" i="140" a="1"/>
  <c r="V11" i="140" s="1"/>
  <c r="V10" i="140" s="1" a="1"/>
  <c r="V10" i="140" s="1"/>
  <c r="U11" i="140" a="1"/>
  <c r="U11" i="140" s="1"/>
  <c r="T11" i="140" a="1"/>
  <c r="T11" i="140" s="1"/>
  <c r="S11" i="140" a="1"/>
  <c r="S11" i="140" s="1"/>
  <c r="R11" i="140" a="1"/>
  <c r="R11" i="140" s="1"/>
  <c r="R10" i="140" s="1" a="1"/>
  <c r="R10" i="140" s="1"/>
  <c r="Q11" i="140" a="1"/>
  <c r="Q11" i="140" s="1"/>
  <c r="P11" i="140" a="1"/>
  <c r="P11" i="140" s="1"/>
  <c r="O11" i="140" a="1"/>
  <c r="O11" i="140" s="1"/>
  <c r="N11" i="140" a="1"/>
  <c r="N11" i="140" s="1"/>
  <c r="N10" i="140" s="1" a="1"/>
  <c r="N10" i="140" s="1"/>
  <c r="M11" i="140" a="1"/>
  <c r="M11" i="140" s="1"/>
  <c r="L11" i="140" a="1"/>
  <c r="L11" i="140" s="1"/>
  <c r="K11" i="140" a="1"/>
  <c r="K11" i="140" s="1"/>
  <c r="J11" i="140" a="1"/>
  <c r="J11" i="140" s="1"/>
  <c r="J10" i="140" s="1" a="1"/>
  <c r="J10" i="140" s="1"/>
  <c r="I11" i="140" a="1"/>
  <c r="I11" i="140" s="1"/>
  <c r="H11" i="140" a="1"/>
  <c r="H11" i="140" s="1"/>
  <c r="G11" i="140" a="1"/>
  <c r="G11" i="140" s="1"/>
  <c r="F11" i="140" a="1"/>
  <c r="F11" i="140" s="1"/>
  <c r="F10" i="140" s="1" a="1"/>
  <c r="F10" i="140" s="1"/>
  <c r="E11" i="140" a="1"/>
  <c r="E11" i="140" s="1"/>
  <c r="D11" i="140" a="1"/>
  <c r="D11" i="140" s="1"/>
  <c r="C11" i="140" a="1"/>
  <c r="C11" i="140" s="1"/>
  <c r="W8" i="140" a="1"/>
  <c r="W8" i="140" s="1"/>
  <c r="W7" i="140" s="1" a="1"/>
  <c r="W7" i="140" s="1"/>
  <c r="V8" i="140" a="1"/>
  <c r="V8" i="140" s="1"/>
  <c r="U8" i="140" a="1"/>
  <c r="U8" i="140" s="1"/>
  <c r="T8" i="140" a="1"/>
  <c r="T8" i="140" s="1"/>
  <c r="S8" i="140" a="1"/>
  <c r="S8" i="140" s="1"/>
  <c r="S7" i="140" s="1" a="1"/>
  <c r="S7" i="140" s="1"/>
  <c r="R8" i="140" a="1"/>
  <c r="R8" i="140" s="1"/>
  <c r="Q8" i="140" a="1"/>
  <c r="Q8" i="140" s="1"/>
  <c r="P8" i="140" a="1"/>
  <c r="P8" i="140" s="1"/>
  <c r="O8" i="140" a="1"/>
  <c r="O8" i="140" s="1"/>
  <c r="O7" i="140" s="1" a="1"/>
  <c r="O7" i="140" s="1"/>
  <c r="N8" i="140" a="1"/>
  <c r="N8" i="140" s="1"/>
  <c r="M8" i="140" a="1"/>
  <c r="M8" i="140" s="1"/>
  <c r="L8" i="140" a="1"/>
  <c r="L8" i="140" s="1"/>
  <c r="K8" i="140" a="1"/>
  <c r="K8" i="140" s="1"/>
  <c r="K7" i="140" s="1" a="1"/>
  <c r="K7" i="140" s="1"/>
  <c r="J8" i="140" a="1"/>
  <c r="J8" i="140" s="1"/>
  <c r="I8" i="140" a="1"/>
  <c r="I8" i="140" s="1"/>
  <c r="H8" i="140" a="1"/>
  <c r="H8" i="140" s="1"/>
  <c r="G8" i="140" a="1"/>
  <c r="G8" i="140" s="1"/>
  <c r="G7" i="140" s="1" a="1"/>
  <c r="G7" i="140" s="1"/>
  <c r="F8" i="140" a="1"/>
  <c r="F8" i="140" s="1"/>
  <c r="E8" i="140" a="1"/>
  <c r="E8" i="140" s="1"/>
  <c r="D8" i="140" a="1"/>
  <c r="D8" i="140" s="1"/>
  <c r="C8" i="140" a="1"/>
  <c r="C8" i="140" s="1"/>
  <c r="C7" i="140" s="1" a="1"/>
  <c r="C7" i="140" s="1"/>
  <c r="W5" i="140" a="1"/>
  <c r="W5" i="140" s="1"/>
  <c r="V5" i="140" a="1"/>
  <c r="V5" i="140" s="1"/>
  <c r="U5" i="140" a="1"/>
  <c r="U5" i="140" s="1"/>
  <c r="T5" i="140" a="1"/>
  <c r="T5" i="140" s="1"/>
  <c r="T4" i="140" s="1" a="1"/>
  <c r="T4" i="140" s="1"/>
  <c r="S5" i="140" a="1"/>
  <c r="S5" i="140" s="1"/>
  <c r="R5" i="140" a="1"/>
  <c r="R5" i="140" s="1"/>
  <c r="Q5" i="140" a="1"/>
  <c r="Q5" i="140" s="1"/>
  <c r="P5" i="140" a="1"/>
  <c r="P5" i="140" s="1"/>
  <c r="P4" i="140" s="1" a="1"/>
  <c r="P4" i="140" s="1"/>
  <c r="O5" i="140" a="1"/>
  <c r="O5" i="140" s="1"/>
  <c r="N5" i="140" a="1"/>
  <c r="N5" i="140" s="1"/>
  <c r="M5" i="140" a="1"/>
  <c r="M5" i="140" s="1"/>
  <c r="L5" i="140" a="1"/>
  <c r="L5" i="140" s="1"/>
  <c r="L4" i="140" s="1" a="1"/>
  <c r="L4" i="140" s="1"/>
  <c r="K5" i="140" a="1"/>
  <c r="K5" i="140" s="1"/>
  <c r="J5" i="140" a="1"/>
  <c r="J5" i="140" s="1"/>
  <c r="I5" i="140" a="1"/>
  <c r="I5" i="140" s="1"/>
  <c r="H5" i="140" a="1"/>
  <c r="H5" i="140" s="1"/>
  <c r="H4" i="140" s="1" a="1"/>
  <c r="H4" i="140" s="1"/>
  <c r="G5" i="140" a="1"/>
  <c r="G5" i="140" s="1"/>
  <c r="F5" i="140" a="1"/>
  <c r="F5" i="140" s="1"/>
  <c r="E5" i="140" a="1"/>
  <c r="E5" i="140" s="1"/>
  <c r="D5" i="140" a="1"/>
  <c r="D5" i="140" s="1"/>
  <c r="D4" i="140" s="1" a="1"/>
  <c r="D4" i="140" s="1"/>
  <c r="C5" i="140" a="1"/>
  <c r="C5" i="140" s="1"/>
  <c r="BP3" i="2" a="1"/>
  <c r="BP3" i="2" s="1"/>
  <c r="BO3" i="2" a="1"/>
  <c r="BO3" i="2" s="1"/>
  <c r="BN3" i="2" a="1"/>
  <c r="BN3" i="2" s="1"/>
  <c r="BM3" i="2" a="1"/>
  <c r="BM3" i="2" s="1"/>
  <c r="BL3" i="2" a="1"/>
  <c r="BL3" i="2" s="1"/>
  <c r="BK3" i="2" a="1"/>
  <c r="BK3" i="2" s="1"/>
  <c r="BJ3" i="2" a="1"/>
  <c r="BJ3" i="2" s="1"/>
  <c r="BI3" i="2" a="1"/>
  <c r="BI3" i="2" s="1"/>
  <c r="BH3" i="2" a="1"/>
  <c r="BH3" i="2" s="1"/>
  <c r="BG3" i="2" a="1"/>
  <c r="BG3" i="2" s="1"/>
  <c r="BF3" i="2" a="1"/>
  <c r="BF3" i="2" s="1"/>
  <c r="BE3" i="2" a="1"/>
  <c r="BE3" i="2" s="1"/>
  <c r="BD3" i="2" a="1"/>
  <c r="BD3" i="2" s="1"/>
  <c r="BC3" i="2" a="1"/>
  <c r="BC3" i="2" s="1"/>
  <c r="BB3" i="2" a="1"/>
  <c r="BB3" i="2" s="1"/>
  <c r="BA3" i="2" a="1"/>
  <c r="BA3" i="2" s="1"/>
  <c r="AZ3" i="2" a="1"/>
  <c r="AZ3" i="2" s="1"/>
  <c r="AY3" i="2" a="1"/>
  <c r="AY3" i="2" s="1"/>
  <c r="AX3" i="2" a="1"/>
  <c r="AX3" i="2" s="1"/>
  <c r="AW3" i="2" a="1"/>
  <c r="AW3" i="2" s="1"/>
  <c r="AV3" i="2" a="1"/>
  <c r="AV3" i="2" s="1"/>
  <c r="AU3" i="2" a="1"/>
  <c r="AU3" i="2" s="1"/>
  <c r="AT3" i="2" a="1"/>
  <c r="AT3" i="2" s="1"/>
  <c r="AR3" i="2"/>
  <c r="AR3" i="2" a="1"/>
  <c r="AQ3" i="2" a="1"/>
  <c r="AQ3" i="2" s="1"/>
  <c r="AP3" i="2" a="1"/>
  <c r="AP3" i="2" s="1"/>
  <c r="AO3" i="2" a="1"/>
  <c r="AO3" i="2" s="1"/>
  <c r="AN3" i="2" a="1"/>
  <c r="AN3" i="2" s="1"/>
  <c r="AM3" i="2" a="1"/>
  <c r="AM3" i="2" s="1"/>
  <c r="AL3" i="2" a="1"/>
  <c r="AL3" i="2" s="1"/>
  <c r="AK3" i="2" a="1"/>
  <c r="AK3" i="2" s="1"/>
  <c r="AJ3" i="2" a="1"/>
  <c r="AJ3" i="2" s="1"/>
  <c r="AI3" i="2" a="1"/>
  <c r="AI3" i="2" s="1"/>
  <c r="AH3" i="2" a="1"/>
  <c r="AH3" i="2" s="1"/>
  <c r="AG3" i="2" a="1"/>
  <c r="AG3" i="2" s="1"/>
  <c r="AF3" i="2" a="1"/>
  <c r="AF3" i="2" s="1"/>
  <c r="AE3" i="2" a="1"/>
  <c r="AE3" i="2" s="1"/>
  <c r="AD3" i="2" a="1"/>
  <c r="AD3" i="2" s="1"/>
  <c r="AC3" i="2" a="1"/>
  <c r="AC3" i="2" s="1"/>
  <c r="AB3" i="2" a="1"/>
  <c r="AB3" i="2" s="1"/>
  <c r="AA3" i="2" a="1"/>
  <c r="AA3" i="2" s="1"/>
  <c r="Z3" i="2" a="1"/>
  <c r="Z3" i="2" s="1"/>
  <c r="Y3" i="2" a="1"/>
  <c r="Y3" i="2" s="1"/>
  <c r="X3" i="2" a="1"/>
  <c r="X3" i="2" s="1"/>
  <c r="F2" i="6" a="1"/>
  <c r="M2" i="6" a="1"/>
  <c r="E2" i="6" a="1"/>
  <c r="S2" i="6" a="1"/>
  <c r="A3" i="55" a="1"/>
  <c r="P2" i="6" a="1"/>
  <c r="I2" i="6" a="1"/>
  <c r="B2" i="6" a="1"/>
  <c r="H2" i="6" a="1"/>
  <c r="R2" i="6" a="1"/>
  <c r="K2" i="6" a="1"/>
  <c r="C2" i="6" a="1"/>
  <c r="O2" i="6" a="1"/>
  <c r="G2" i="6" a="1"/>
  <c r="N2" i="6" a="1"/>
  <c r="D2" i="6" a="1"/>
  <c r="Q2" i="6" a="1"/>
  <c r="L2" i="6" a="1"/>
  <c r="J2" i="6" a="1"/>
  <c r="Q6" i="12" l="1" a="1"/>
  <c r="Q6" i="12" s="1"/>
  <c r="Q8" i="12" a="1"/>
  <c r="Q8" i="12" s="1"/>
  <c r="E6" i="12" a="1"/>
  <c r="E6" i="12" s="1"/>
  <c r="E8" i="12" a="1"/>
  <c r="E8" i="12" s="1"/>
  <c r="I6" i="12" a="1"/>
  <c r="I6" i="12" s="1"/>
  <c r="I8" i="12" a="1"/>
  <c r="I8" i="12" s="1"/>
  <c r="M6" i="12" a="1"/>
  <c r="M6" i="12" s="1"/>
  <c r="M8" i="12" a="1"/>
  <c r="M8" i="12" s="1"/>
  <c r="U6" i="12" a="1"/>
  <c r="U6" i="12" s="1"/>
  <c r="U8" i="12" a="1"/>
  <c r="U8" i="12" s="1"/>
  <c r="B8" i="12" a="1"/>
  <c r="B8" i="12" s="1"/>
  <c r="B6" i="12" a="1"/>
  <c r="B6" i="12" s="1"/>
  <c r="F6" i="12" a="1"/>
  <c r="F6" i="12" s="1"/>
  <c r="F8" i="12" a="1"/>
  <c r="F8" i="12" s="1"/>
  <c r="J6" i="12" a="1"/>
  <c r="J6" i="12" s="1"/>
  <c r="J8" i="12" a="1"/>
  <c r="J8" i="12" s="1"/>
  <c r="N6" i="12" a="1"/>
  <c r="N6" i="12" s="1"/>
  <c r="N8" i="12" a="1"/>
  <c r="N8" i="12" s="1"/>
  <c r="R6" i="12" a="1"/>
  <c r="R6" i="12" s="1"/>
  <c r="R8" i="12" a="1"/>
  <c r="R8" i="12" s="1"/>
  <c r="V6" i="12" a="1"/>
  <c r="V6" i="12" s="1"/>
  <c r="V8" i="12" a="1"/>
  <c r="V8" i="12" s="1"/>
  <c r="C8" i="12" a="1"/>
  <c r="C8" i="12" s="1"/>
  <c r="C6" i="12" a="1"/>
  <c r="C6" i="12" s="1"/>
  <c r="G8" i="12" a="1"/>
  <c r="G8" i="12" s="1"/>
  <c r="G6" i="12" a="1"/>
  <c r="G6" i="12" s="1"/>
  <c r="K8" i="12" a="1"/>
  <c r="K8" i="12" s="1"/>
  <c r="K6" i="12" a="1"/>
  <c r="K6" i="12" s="1"/>
  <c r="O8" i="12" a="1"/>
  <c r="O8" i="12" s="1"/>
  <c r="O6" i="12" a="1"/>
  <c r="O6" i="12" s="1"/>
  <c r="S8" i="12" a="1"/>
  <c r="S8" i="12" s="1"/>
  <c r="S6" i="12" a="1"/>
  <c r="S6" i="12" s="1"/>
  <c r="D8" i="12" a="1"/>
  <c r="D8" i="12" s="1"/>
  <c r="D6" i="12" a="1"/>
  <c r="D6" i="12" s="1"/>
  <c r="H8" i="12" a="1"/>
  <c r="H8" i="12" s="1"/>
  <c r="H6" i="12" a="1"/>
  <c r="H6" i="12" s="1"/>
  <c r="L8" i="12" a="1"/>
  <c r="L8" i="12" s="1"/>
  <c r="L6" i="12" a="1"/>
  <c r="L6" i="12" s="1"/>
  <c r="P8" i="12" a="1"/>
  <c r="P8" i="12" s="1"/>
  <c r="P6" i="12" a="1"/>
  <c r="P6" i="12" s="1"/>
  <c r="T8" i="12" a="1"/>
  <c r="T8" i="12" s="1"/>
  <c r="T6" i="12" a="1"/>
  <c r="T6" i="12" s="1"/>
  <c r="C4" i="140" a="1"/>
  <c r="C4" i="140" s="1"/>
  <c r="G4" i="140" a="1"/>
  <c r="G4" i="140" s="1"/>
  <c r="K4" i="140" a="1"/>
  <c r="K4" i="140" s="1"/>
  <c r="O4" i="140" a="1"/>
  <c r="O4" i="140" s="1"/>
  <c r="S4" i="140" a="1"/>
  <c r="S4" i="140" s="1"/>
  <c r="W4" i="140" a="1"/>
  <c r="W4" i="140" s="1"/>
  <c r="F7" i="140" a="1"/>
  <c r="F7" i="140" s="1"/>
  <c r="J7" i="140" a="1"/>
  <c r="J7" i="140" s="1"/>
  <c r="N7" i="140" a="1"/>
  <c r="N7" i="140" s="1"/>
  <c r="R7" i="140" a="1"/>
  <c r="R7" i="140" s="1"/>
  <c r="V7" i="140" a="1"/>
  <c r="V7" i="140" s="1"/>
  <c r="E10" i="140" a="1"/>
  <c r="E10" i="140" s="1"/>
  <c r="I10" i="140" a="1"/>
  <c r="I10" i="140" s="1"/>
  <c r="M10" i="140" a="1"/>
  <c r="M10" i="140" s="1"/>
  <c r="Q10" i="140" a="1"/>
  <c r="Q10" i="140" s="1"/>
  <c r="U10" i="140" a="1"/>
  <c r="U10" i="140" s="1"/>
  <c r="D13" i="140" a="1"/>
  <c r="D13" i="140" s="1"/>
  <c r="H13" i="140" a="1"/>
  <c r="H13" i="140" s="1"/>
  <c r="L13" i="140" a="1"/>
  <c r="L13" i="140" s="1"/>
  <c r="P13" i="140" a="1"/>
  <c r="P13" i="140" s="1"/>
  <c r="T13" i="140" a="1"/>
  <c r="T13" i="140" s="1"/>
  <c r="C16" i="140" a="1"/>
  <c r="C16" i="140" s="1"/>
  <c r="G16" i="140" a="1"/>
  <c r="G16" i="140" s="1"/>
  <c r="K16" i="140" a="1"/>
  <c r="K16" i="140" s="1"/>
  <c r="O16" i="140" a="1"/>
  <c r="O16" i="140" s="1"/>
  <c r="S16" i="140" a="1"/>
  <c r="S16" i="140" s="1"/>
  <c r="E4" i="140" a="1"/>
  <c r="E4" i="140" s="1"/>
  <c r="M4" i="140" a="1"/>
  <c r="M4" i="140" s="1"/>
  <c r="U4" i="140" a="1"/>
  <c r="U4" i="140" s="1"/>
  <c r="H7" i="140" a="1"/>
  <c r="H7" i="140" s="1"/>
  <c r="P7" i="140" a="1"/>
  <c r="P7" i="140" s="1"/>
  <c r="C10" i="140" a="1"/>
  <c r="C10" i="140" s="1"/>
  <c r="K10" i="140" a="1"/>
  <c r="K10" i="140" s="1"/>
  <c r="S10" i="140" a="1"/>
  <c r="S10" i="140" s="1"/>
  <c r="F13" i="140" a="1"/>
  <c r="F13" i="140" s="1"/>
  <c r="N13" i="140" a="1"/>
  <c r="N13" i="140" s="1"/>
  <c r="V13" i="140" a="1"/>
  <c r="V13" i="140" s="1"/>
  <c r="E16" i="140" a="1"/>
  <c r="E16" i="140" s="1"/>
  <c r="I16" i="140" a="1"/>
  <c r="I16" i="140" s="1"/>
  <c r="M16" i="140" a="1"/>
  <c r="M16" i="140" s="1"/>
  <c r="Q16" i="140" a="1"/>
  <c r="Q16" i="140" s="1"/>
  <c r="I4" i="140" a="1"/>
  <c r="I4" i="140" s="1"/>
  <c r="Q4" i="140" a="1"/>
  <c r="Q4" i="140" s="1"/>
  <c r="D7" i="140" a="1"/>
  <c r="D7" i="140" s="1"/>
  <c r="L7" i="140" a="1"/>
  <c r="L7" i="140" s="1"/>
  <c r="T7" i="140" a="1"/>
  <c r="T7" i="140" s="1"/>
  <c r="G10" i="140" a="1"/>
  <c r="G10" i="140" s="1"/>
  <c r="O10" i="140" a="1"/>
  <c r="O10" i="140" s="1"/>
  <c r="W10" i="140" a="1"/>
  <c r="W10" i="140" s="1"/>
  <c r="J13" i="140" a="1"/>
  <c r="J13" i="140" s="1"/>
  <c r="R13" i="140" a="1"/>
  <c r="R13" i="140" s="1"/>
  <c r="U16" i="140" a="1"/>
  <c r="U16" i="140" s="1"/>
  <c r="D19" i="140" a="1"/>
  <c r="D19" i="140" s="1"/>
  <c r="H19" i="140" a="1"/>
  <c r="H19" i="140" s="1"/>
  <c r="L19" i="140" a="1"/>
  <c r="L19" i="140" s="1"/>
  <c r="P19" i="140" a="1"/>
  <c r="P19" i="140" s="1"/>
  <c r="T19" i="140" a="1"/>
  <c r="T19" i="140" s="1"/>
  <c r="C22" i="140" a="1"/>
  <c r="C22" i="140" s="1"/>
  <c r="G22" i="140" a="1"/>
  <c r="G22" i="140" s="1"/>
  <c r="K22" i="140" a="1"/>
  <c r="K22" i="140" s="1"/>
  <c r="O22" i="140" a="1"/>
  <c r="O22" i="140" s="1"/>
  <c r="S22" i="140" a="1"/>
  <c r="S22" i="140" s="1"/>
  <c r="W22" i="140" a="1"/>
  <c r="W22" i="140" s="1"/>
  <c r="F25" i="140" a="1"/>
  <c r="F25" i="140" s="1"/>
  <c r="J25" i="140" a="1"/>
  <c r="J25" i="140" s="1"/>
  <c r="N25" i="140" a="1"/>
  <c r="N25" i="140" s="1"/>
  <c r="R25" i="140" a="1"/>
  <c r="R25" i="140" s="1"/>
  <c r="V25" i="140" a="1"/>
  <c r="V25" i="140" s="1"/>
  <c r="E28" i="140" a="1"/>
  <c r="E28" i="140" s="1"/>
  <c r="I28" i="140" a="1"/>
  <c r="I28" i="140" s="1"/>
  <c r="M28" i="140" a="1"/>
  <c r="M28" i="140" s="1"/>
  <c r="Q28" i="140" a="1"/>
  <c r="Q28" i="140" s="1"/>
  <c r="U28" i="140" a="1"/>
  <c r="U28" i="140" s="1"/>
  <c r="D31" i="140" a="1"/>
  <c r="D31" i="140" s="1"/>
  <c r="H31" i="140" a="1"/>
  <c r="H31" i="140" s="1"/>
  <c r="L31" i="140" a="1"/>
  <c r="L31" i="140" s="1"/>
  <c r="P31" i="140" a="1"/>
  <c r="P31" i="140" s="1"/>
  <c r="T31" i="140" a="1"/>
  <c r="T31" i="140" s="1"/>
  <c r="C34" i="140" a="1"/>
  <c r="C34" i="140" s="1"/>
  <c r="G34" i="140" a="1"/>
  <c r="G34" i="140" s="1"/>
  <c r="K34" i="140" a="1"/>
  <c r="K34" i="140" s="1"/>
  <c r="O34" i="140" a="1"/>
  <c r="O34" i="140" s="1"/>
  <c r="S34" i="140" a="1"/>
  <c r="S34" i="140" s="1"/>
  <c r="W34" i="140" a="1"/>
  <c r="W34" i="140" s="1"/>
  <c r="F37" i="140" a="1"/>
  <c r="F37" i="140" s="1"/>
  <c r="J37" i="140" a="1"/>
  <c r="J37" i="140" s="1"/>
  <c r="N37" i="140" a="1"/>
  <c r="N37" i="140" s="1"/>
  <c r="R37" i="140" a="1"/>
  <c r="R37" i="140" s="1"/>
  <c r="V37" i="140" a="1"/>
  <c r="V37" i="140" s="1"/>
  <c r="F4" i="140" a="1"/>
  <c r="F4" i="140" s="1"/>
  <c r="J4" i="140" a="1"/>
  <c r="J4" i="140" s="1"/>
  <c r="N4" i="140" a="1"/>
  <c r="N4" i="140" s="1"/>
  <c r="R4" i="140" a="1"/>
  <c r="R4" i="140" s="1"/>
  <c r="V4" i="140" a="1"/>
  <c r="V4" i="140" s="1"/>
  <c r="E7" i="140" a="1"/>
  <c r="E7" i="140" s="1"/>
  <c r="I7" i="140" a="1"/>
  <c r="I7" i="140" s="1"/>
  <c r="M7" i="140" a="1"/>
  <c r="M7" i="140" s="1"/>
  <c r="Q7" i="140" a="1"/>
  <c r="Q7" i="140" s="1"/>
  <c r="U7" i="140" a="1"/>
  <c r="U7" i="140" s="1"/>
  <c r="D10" i="140" a="1"/>
  <c r="D10" i="140" s="1"/>
  <c r="H10" i="140" a="1"/>
  <c r="H10" i="140" s="1"/>
  <c r="L10" i="140" a="1"/>
  <c r="L10" i="140" s="1"/>
  <c r="P10" i="140" a="1"/>
  <c r="P10" i="140" s="1"/>
  <c r="T10" i="140" a="1"/>
  <c r="T10" i="140" s="1"/>
  <c r="C13" i="140" a="1"/>
  <c r="C13" i="140" s="1"/>
  <c r="G13" i="140" a="1"/>
  <c r="G13" i="140" s="1"/>
  <c r="K13" i="140" a="1"/>
  <c r="K13" i="140" s="1"/>
  <c r="O13" i="140" a="1"/>
  <c r="O13" i="140" s="1"/>
  <c r="S13" i="140" a="1"/>
  <c r="S13" i="140" s="1"/>
  <c r="W13" i="140" a="1"/>
  <c r="W13" i="140" s="1"/>
  <c r="F16" i="140" a="1"/>
  <c r="F16" i="140" s="1"/>
  <c r="J16" i="140" a="1"/>
  <c r="J16" i="140" s="1"/>
  <c r="N16" i="140" a="1"/>
  <c r="N16" i="140" s="1"/>
  <c r="R16" i="140" a="1"/>
  <c r="R16" i="140" s="1"/>
  <c r="V16" i="140" a="1"/>
  <c r="V16" i="140" s="1"/>
  <c r="E19" i="140" a="1"/>
  <c r="E19" i="140" s="1"/>
  <c r="I19" i="140" a="1"/>
  <c r="I19" i="140" s="1"/>
  <c r="M19" i="140" a="1"/>
  <c r="M19" i="140" s="1"/>
  <c r="Q19" i="140" a="1"/>
  <c r="Q19" i="140" s="1"/>
  <c r="U19" i="140" a="1"/>
  <c r="U19" i="140" s="1"/>
  <c r="D22" i="140" a="1"/>
  <c r="D22" i="140" s="1"/>
  <c r="H22" i="140" a="1"/>
  <c r="H22" i="140" s="1"/>
  <c r="L22" i="140" a="1"/>
  <c r="L22" i="140" s="1"/>
  <c r="P22" i="140" a="1"/>
  <c r="P22" i="140" s="1"/>
  <c r="T22" i="140" a="1"/>
  <c r="T22" i="140" s="1"/>
  <c r="C25" i="140" a="1"/>
  <c r="C25" i="140" s="1"/>
  <c r="G25" i="140" a="1"/>
  <c r="G25" i="140" s="1"/>
  <c r="K25" i="140" a="1"/>
  <c r="K25" i="140" s="1"/>
  <c r="O25" i="140" a="1"/>
  <c r="O25" i="140" s="1"/>
  <c r="S25" i="140" a="1"/>
  <c r="S25" i="140" s="1"/>
  <c r="W25" i="140" a="1"/>
  <c r="W25" i="140" s="1"/>
  <c r="F28" i="140" a="1"/>
  <c r="F28" i="140" s="1"/>
  <c r="J28" i="140" a="1"/>
  <c r="J28" i="140" s="1"/>
  <c r="F37" i="138" a="1"/>
  <c r="F37" i="138" s="1"/>
  <c r="J37" i="138" a="1"/>
  <c r="J37" i="138" s="1"/>
  <c r="N37" i="138" a="1"/>
  <c r="N37" i="138" s="1"/>
  <c r="R37" i="138" a="1"/>
  <c r="R37" i="138" s="1"/>
  <c r="W16" i="140" a="1"/>
  <c r="W16" i="140" s="1"/>
  <c r="F19" i="140" a="1"/>
  <c r="F19" i="140" s="1"/>
  <c r="J19" i="140" a="1"/>
  <c r="J19" i="140" s="1"/>
  <c r="N19" i="140" a="1"/>
  <c r="N19" i="140" s="1"/>
  <c r="R19" i="140" a="1"/>
  <c r="R19" i="140" s="1"/>
  <c r="V19" i="140" a="1"/>
  <c r="V19" i="140" s="1"/>
  <c r="E22" i="140" a="1"/>
  <c r="E22" i="140" s="1"/>
  <c r="I22" i="140" a="1"/>
  <c r="I22" i="140" s="1"/>
  <c r="M22" i="140" a="1"/>
  <c r="M22" i="140" s="1"/>
  <c r="Q22" i="140" a="1"/>
  <c r="Q22" i="140" s="1"/>
  <c r="U22" i="140" a="1"/>
  <c r="U22" i="140" s="1"/>
  <c r="D25" i="140" a="1"/>
  <c r="D25" i="140" s="1"/>
  <c r="H25" i="140" a="1"/>
  <c r="H25" i="140" s="1"/>
  <c r="L25" i="140" a="1"/>
  <c r="L25" i="140" s="1"/>
  <c r="P25" i="140" a="1"/>
  <c r="P25" i="140" s="1"/>
  <c r="T25" i="140" a="1"/>
  <c r="T25" i="140" s="1"/>
  <c r="C28" i="140" a="1"/>
  <c r="C28" i="140" s="1"/>
  <c r="G28" i="140" a="1"/>
  <c r="G28" i="140" s="1"/>
  <c r="K28" i="140" a="1"/>
  <c r="K28" i="140" s="1"/>
  <c r="O28" i="140" a="1"/>
  <c r="O28" i="140" s="1"/>
  <c r="S28" i="140" a="1"/>
  <c r="S28" i="140" s="1"/>
  <c r="W28" i="140" a="1"/>
  <c r="W28" i="140" s="1"/>
  <c r="F31" i="140" a="1"/>
  <c r="F31" i="140" s="1"/>
  <c r="J31" i="140" a="1"/>
  <c r="J31" i="140" s="1"/>
  <c r="N31" i="140" a="1"/>
  <c r="N31" i="140" s="1"/>
  <c r="R31" i="140" a="1"/>
  <c r="R31" i="140" s="1"/>
  <c r="V31" i="140" a="1"/>
  <c r="V31" i="140" s="1"/>
  <c r="E34" i="140" a="1"/>
  <c r="E34" i="140" s="1"/>
  <c r="I34" i="140" a="1"/>
  <c r="I34" i="140" s="1"/>
  <c r="M34" i="140" a="1"/>
  <c r="M34" i="140" s="1"/>
  <c r="Q34" i="140" a="1"/>
  <c r="Q34" i="140" s="1"/>
  <c r="U34" i="140" a="1"/>
  <c r="U34" i="140" s="1"/>
  <c r="D37" i="140" a="1"/>
  <c r="D37" i="140" s="1"/>
  <c r="H37" i="140" a="1"/>
  <c r="H37" i="140" s="1"/>
  <c r="L37" i="140" a="1"/>
  <c r="L37" i="140" s="1"/>
  <c r="P37" i="140" a="1"/>
  <c r="P37" i="140" s="1"/>
  <c r="T37" i="140" a="1"/>
  <c r="T37" i="140" s="1"/>
  <c r="D37" i="138" a="1"/>
  <c r="D37" i="138" s="1"/>
  <c r="H37" i="138" a="1"/>
  <c r="H37" i="138" s="1"/>
  <c r="L37" i="138" a="1"/>
  <c r="L37" i="138" s="1"/>
  <c r="P37" i="138" a="1"/>
  <c r="P37" i="138" s="1"/>
  <c r="T37" i="138" a="1"/>
  <c r="T37" i="138" s="1"/>
  <c r="O31" i="140" a="1"/>
  <c r="O31" i="140" s="1"/>
  <c r="S31" i="140" a="1"/>
  <c r="S31" i="140" s="1"/>
  <c r="W31" i="140" a="1"/>
  <c r="W31" i="140" s="1"/>
  <c r="F34" i="140" a="1"/>
  <c r="F34" i="140" s="1"/>
  <c r="J34" i="140" a="1"/>
  <c r="J34" i="140" s="1"/>
  <c r="N34" i="140" a="1"/>
  <c r="N34" i="140" s="1"/>
  <c r="R34" i="140" a="1"/>
  <c r="R34" i="140" s="1"/>
  <c r="V34" i="140" a="1"/>
  <c r="V34" i="140" s="1"/>
  <c r="E37" i="140" a="1"/>
  <c r="E37" i="140" s="1"/>
  <c r="I37" i="140" a="1"/>
  <c r="I37" i="140" s="1"/>
  <c r="M37" i="140" a="1"/>
  <c r="M37" i="140" s="1"/>
  <c r="Q37" i="140" a="1"/>
  <c r="Q37" i="140" s="1"/>
  <c r="U37" i="140" a="1"/>
  <c r="U37" i="140" s="1"/>
  <c r="E37" i="138" a="1"/>
  <c r="E37" i="138" s="1"/>
  <c r="I37" i="138" a="1"/>
  <c r="I37" i="138" s="1"/>
  <c r="M37" i="138" a="1"/>
  <c r="M37" i="138" s="1"/>
  <c r="Q37" i="138" a="1"/>
  <c r="Q37" i="138" s="1"/>
  <c r="U37" i="138" a="1"/>
  <c r="U37" i="138" s="1"/>
  <c r="V37" i="138" a="1"/>
  <c r="V37" i="138" s="1"/>
  <c r="N28" i="140" a="1"/>
  <c r="N28" i="140" s="1"/>
  <c r="R28" i="140" a="1"/>
  <c r="R28" i="140" s="1"/>
  <c r="V28" i="140" a="1"/>
  <c r="V28" i="140" s="1"/>
  <c r="E31" i="140" a="1"/>
  <c r="E31" i="140" s="1"/>
  <c r="I31" i="140" a="1"/>
  <c r="I31" i="140" s="1"/>
  <c r="M31" i="140" a="1"/>
  <c r="M31" i="140" s="1"/>
  <c r="Q31" i="140" a="1"/>
  <c r="Q31" i="140" s="1"/>
  <c r="U31" i="140" a="1"/>
  <c r="U31" i="140" s="1"/>
  <c r="D34" i="140" a="1"/>
  <c r="D34" i="140" s="1"/>
  <c r="H34" i="140" a="1"/>
  <c r="H34" i="140" s="1"/>
  <c r="L34" i="140" a="1"/>
  <c r="L34" i="140" s="1"/>
  <c r="P34" i="140" a="1"/>
  <c r="P34" i="140" s="1"/>
  <c r="T34" i="140" a="1"/>
  <c r="T34" i="140" s="1"/>
  <c r="C37" i="140" a="1"/>
  <c r="C37" i="140" s="1"/>
  <c r="G37" i="140" a="1"/>
  <c r="G37" i="140" s="1"/>
  <c r="K37" i="140" a="1"/>
  <c r="K37" i="140" s="1"/>
  <c r="O37" i="140" a="1"/>
  <c r="O37" i="140" s="1"/>
  <c r="S37" i="140" a="1"/>
  <c r="S37" i="140" s="1"/>
  <c r="W37" i="140" a="1"/>
  <c r="W37" i="140" s="1"/>
  <c r="C37" i="138" a="1"/>
  <c r="C37" i="138" s="1"/>
  <c r="G37" i="138" a="1"/>
  <c r="G37" i="138" s="1"/>
  <c r="K37" i="138" a="1"/>
  <c r="K37" i="138" s="1"/>
  <c r="O37" i="138" a="1"/>
  <c r="O37" i="138" s="1"/>
  <c r="S37" i="138" a="1"/>
  <c r="S37" i="138" s="1"/>
  <c r="W37" i="138" a="1"/>
  <c r="W37" i="138" s="1"/>
  <c r="A3" i="55"/>
  <c r="M2" i="6"/>
  <c r="R2" i="6"/>
  <c r="L2" i="6"/>
  <c r="D2" i="6"/>
  <c r="P2" i="6"/>
  <c r="N2" i="6"/>
  <c r="J2" i="6"/>
  <c r="H2" i="6"/>
  <c r="F2" i="6"/>
  <c r="S2" i="6"/>
  <c r="Q2" i="6"/>
  <c r="O2" i="6"/>
  <c r="K2" i="6"/>
  <c r="I2" i="6"/>
  <c r="G2" i="6"/>
  <c r="E2" i="6"/>
  <c r="C2" i="6"/>
  <c r="B2" i="6"/>
  <c r="X6" i="12"/>
  <c r="A6" i="55"/>
  <c r="B6" i="55" s="1"/>
  <c r="C6" i="55" s="1"/>
  <c r="D6" i="55" s="1"/>
  <c r="E6" i="55" s="1"/>
  <c r="F6" i="55" s="1"/>
  <c r="G6" i="55" s="1"/>
  <c r="H6" i="55" s="1"/>
  <c r="I6" i="55" s="1"/>
  <c r="J6" i="55" s="1"/>
  <c r="K6" i="55" s="1"/>
  <c r="L6" i="55" s="1"/>
  <c r="M6" i="55" s="1"/>
  <c r="N6" i="55" s="1"/>
  <c r="O6" i="55" s="1"/>
  <c r="P6" i="55" s="1"/>
  <c r="Q6" i="55" s="1"/>
  <c r="R6" i="55" s="1"/>
  <c r="S6" i="55" s="1"/>
  <c r="T6" i="55" s="1"/>
  <c r="U6" i="55" s="1"/>
  <c r="V6" i="55" s="1"/>
  <c r="V5" i="55" a="1"/>
  <c r="V5" i="55" s="1"/>
  <c r="T5" i="55" a="1"/>
  <c r="T5" i="55" s="1"/>
  <c r="R5" i="55" a="1"/>
  <c r="R5" i="55" s="1"/>
  <c r="P5" i="55" a="1"/>
  <c r="P5" i="55" s="1"/>
  <c r="N5" i="55" a="1"/>
  <c r="N5" i="55" s="1"/>
  <c r="L5" i="55" a="1"/>
  <c r="L5" i="55" s="1"/>
  <c r="J5" i="55" a="1"/>
  <c r="J5" i="55" s="1"/>
  <c r="H5" i="55" a="1"/>
  <c r="H5" i="55" s="1"/>
  <c r="F5" i="55" a="1"/>
  <c r="F5" i="55" s="1"/>
  <c r="D5" i="55" a="1"/>
  <c r="D5" i="55" s="1"/>
  <c r="B5" i="55" a="1"/>
  <c r="B5" i="55" s="1"/>
  <c r="U4" i="55" a="1"/>
  <c r="U4" i="55" s="1"/>
  <c r="U3" i="55" s="1" a="1"/>
  <c r="U3" i="55" s="1"/>
  <c r="S4" i="55" a="1"/>
  <c r="S4" i="55" s="1"/>
  <c r="S3" i="55" s="1" a="1"/>
  <c r="S3" i="55" s="1"/>
  <c r="Q4" i="55" a="1"/>
  <c r="Q4" i="55" s="1"/>
  <c r="Q3" i="55" s="1" a="1"/>
  <c r="Q3" i="55" s="1"/>
  <c r="O4" i="55" a="1"/>
  <c r="O4" i="55" s="1"/>
  <c r="O3" i="55" s="1" a="1"/>
  <c r="O3" i="55" s="1"/>
  <c r="M4" i="55" a="1"/>
  <c r="M4" i="55" s="1"/>
  <c r="M3" i="55" s="1" a="1"/>
  <c r="M3" i="55" s="1"/>
  <c r="K4" i="55" a="1"/>
  <c r="K4" i="55" s="1"/>
  <c r="K3" i="55" s="1" a="1"/>
  <c r="K3" i="55" s="1"/>
  <c r="I4" i="55" a="1"/>
  <c r="I4" i="55" s="1"/>
  <c r="I3" i="55" s="1" a="1"/>
  <c r="I3" i="55" s="1"/>
  <c r="G4" i="55" a="1"/>
  <c r="G4" i="55" s="1"/>
  <c r="G3" i="55" s="1" a="1"/>
  <c r="G3" i="55" s="1"/>
  <c r="E4" i="55" a="1"/>
  <c r="E4" i="55" s="1"/>
  <c r="E3" i="55" s="1" a="1"/>
  <c r="E3" i="55" s="1"/>
  <c r="U5" i="55" a="1"/>
  <c r="U5" i="55" s="1"/>
  <c r="S5" i="55" a="1"/>
  <c r="S5" i="55" s="1"/>
  <c r="Q5" i="55" a="1"/>
  <c r="Q5" i="55" s="1"/>
  <c r="O5" i="55" a="1"/>
  <c r="O5" i="55" s="1"/>
  <c r="M5" i="55" a="1"/>
  <c r="M5" i="55" s="1"/>
  <c r="K5" i="55" a="1"/>
  <c r="K5" i="55" s="1"/>
  <c r="I5" i="55" a="1"/>
  <c r="I5" i="55" s="1"/>
  <c r="G5" i="55" a="1"/>
  <c r="G5" i="55" s="1"/>
  <c r="E5" i="55" a="1"/>
  <c r="E5" i="55" s="1"/>
  <c r="C5" i="55" a="1"/>
  <c r="C5" i="55" s="1"/>
  <c r="V4" i="55" a="1"/>
  <c r="V4" i="55" s="1"/>
  <c r="V3" i="55" s="1" a="1"/>
  <c r="V3" i="55" s="1"/>
  <c r="T4" i="55" a="1"/>
  <c r="T4" i="55" s="1"/>
  <c r="T3" i="55" s="1" a="1"/>
  <c r="T3" i="55" s="1"/>
  <c r="R4" i="55" a="1"/>
  <c r="R4" i="55" s="1"/>
  <c r="R3" i="55" s="1" a="1"/>
  <c r="R3" i="55" s="1"/>
  <c r="P4" i="55" a="1"/>
  <c r="P4" i="55" s="1"/>
  <c r="P3" i="55" s="1" a="1"/>
  <c r="P3" i="55" s="1"/>
  <c r="N4" i="55" a="1"/>
  <c r="N4" i="55" s="1"/>
  <c r="N3" i="55" s="1" a="1"/>
  <c r="N3" i="55" s="1"/>
  <c r="L4" i="55" a="1"/>
  <c r="L4" i="55" s="1"/>
  <c r="L3" i="55" s="1" a="1"/>
  <c r="L3" i="55" s="1"/>
  <c r="J4" i="55" a="1"/>
  <c r="J4" i="55" s="1"/>
  <c r="J3" i="55" s="1" a="1"/>
  <c r="J3" i="55" s="1"/>
  <c r="H4" i="55" a="1"/>
  <c r="H4" i="55" s="1"/>
  <c r="H3" i="55" s="1" a="1"/>
  <c r="H3" i="55" s="1"/>
  <c r="F4" i="55" a="1"/>
  <c r="F4" i="55" s="1"/>
  <c r="F3" i="55" s="1" a="1"/>
  <c r="F3" i="55" s="1"/>
  <c r="D4" i="55" a="1"/>
  <c r="D4" i="55" s="1"/>
  <c r="D3" i="55" s="1" a="1"/>
  <c r="D3" i="55" s="1"/>
  <c r="B4" i="55" a="1"/>
  <c r="B4" i="55" s="1"/>
  <c r="B3" i="55" s="1" a="1"/>
  <c r="B3" i="55" s="1"/>
  <c r="V9" i="55" a="1"/>
  <c r="V9" i="55" s="1"/>
  <c r="T9" i="55" a="1"/>
  <c r="T9" i="55" s="1"/>
  <c r="R9" i="55" a="1"/>
  <c r="R9" i="55" s="1"/>
  <c r="P9" i="55" a="1"/>
  <c r="P9" i="55" s="1"/>
  <c r="N9" i="55" a="1"/>
  <c r="N9" i="55" s="1"/>
  <c r="L9" i="55" a="1"/>
  <c r="L9" i="55" s="1"/>
  <c r="J9" i="55" a="1"/>
  <c r="J9" i="55" s="1"/>
  <c r="H9" i="55" a="1"/>
  <c r="H9" i="55" s="1"/>
  <c r="F9" i="55" a="1"/>
  <c r="F9" i="55" s="1"/>
  <c r="D9" i="55" a="1"/>
  <c r="D9" i="55" s="1"/>
  <c r="B9" i="55" a="1"/>
  <c r="B9" i="55" s="1"/>
  <c r="U8" i="55" a="1"/>
  <c r="U8" i="55" s="1"/>
  <c r="U7" i="55" s="1" a="1"/>
  <c r="U7" i="55" s="1"/>
  <c r="S8" i="55" a="1"/>
  <c r="S8" i="55" s="1"/>
  <c r="S7" i="55" s="1" a="1"/>
  <c r="S7" i="55" s="1"/>
  <c r="Q8" i="55" a="1"/>
  <c r="Q8" i="55" s="1"/>
  <c r="Q7" i="55" s="1" a="1"/>
  <c r="Q7" i="55" s="1"/>
  <c r="O8" i="55" a="1"/>
  <c r="O8" i="55" s="1"/>
  <c r="O7" i="55" s="1" a="1"/>
  <c r="O7" i="55" s="1"/>
  <c r="M8" i="55" a="1"/>
  <c r="M8" i="55" s="1"/>
  <c r="M7" i="55" s="1" a="1"/>
  <c r="M7" i="55" s="1"/>
  <c r="K8" i="55" a="1"/>
  <c r="K8" i="55" s="1"/>
  <c r="K7" i="55" s="1" a="1"/>
  <c r="K7" i="55" s="1"/>
  <c r="U9" i="55" a="1"/>
  <c r="U9" i="55" s="1"/>
  <c r="S9" i="55" a="1"/>
  <c r="S9" i="55" s="1"/>
  <c r="Q9" i="55" a="1"/>
  <c r="Q9" i="55" s="1"/>
  <c r="O9" i="55" a="1"/>
  <c r="O9" i="55" s="1"/>
  <c r="M9" i="55" a="1"/>
  <c r="M9" i="55" s="1"/>
  <c r="K9" i="55" a="1"/>
  <c r="K9" i="55" s="1"/>
  <c r="I9" i="55" a="1"/>
  <c r="I9" i="55" s="1"/>
  <c r="G9" i="55" a="1"/>
  <c r="G9" i="55" s="1"/>
  <c r="E9" i="55" a="1"/>
  <c r="E9" i="55" s="1"/>
  <c r="C9" i="55" a="1"/>
  <c r="C9" i="55" s="1"/>
  <c r="V8" i="55" a="1"/>
  <c r="V8" i="55" s="1"/>
  <c r="V7" i="55" s="1" a="1"/>
  <c r="V7" i="55" s="1"/>
  <c r="T8" i="55" a="1"/>
  <c r="T8" i="55" s="1"/>
  <c r="T7" i="55" s="1" a="1"/>
  <c r="T7" i="55" s="1"/>
  <c r="R8" i="55" a="1"/>
  <c r="R8" i="55" s="1"/>
  <c r="R7" i="55" s="1" a="1"/>
  <c r="R7" i="55" s="1"/>
  <c r="P8" i="55" a="1"/>
  <c r="P8" i="55" s="1"/>
  <c r="P7" i="55" s="1" a="1"/>
  <c r="P7" i="55" s="1"/>
  <c r="N8" i="55" a="1"/>
  <c r="N8" i="55" s="1"/>
  <c r="N7" i="55" s="1" a="1"/>
  <c r="N7" i="55" s="1"/>
  <c r="L8" i="55" a="1"/>
  <c r="L8" i="55" s="1"/>
  <c r="L7" i="55" s="1" a="1"/>
  <c r="L7" i="55" s="1"/>
  <c r="J8" i="55" a="1"/>
  <c r="J8" i="55" s="1"/>
  <c r="J7" i="55" s="1" a="1"/>
  <c r="J7" i="55" s="1"/>
  <c r="B8" i="55" a="1"/>
  <c r="B8" i="55" s="1"/>
  <c r="B7" i="55" s="1" a="1"/>
  <c r="B7" i="55" s="1"/>
  <c r="V13" i="55" a="1"/>
  <c r="V13" i="55" s="1"/>
  <c r="T13" i="55" a="1"/>
  <c r="T13" i="55" s="1"/>
  <c r="R13" i="55" a="1"/>
  <c r="R13" i="55" s="1"/>
  <c r="P13" i="55" a="1"/>
  <c r="P13" i="55" s="1"/>
  <c r="N13" i="55" a="1"/>
  <c r="N13" i="55" s="1"/>
  <c r="L13" i="55" a="1"/>
  <c r="L13" i="55" s="1"/>
  <c r="J13" i="55" a="1"/>
  <c r="J13" i="55" s="1"/>
  <c r="H13" i="55" a="1"/>
  <c r="H13" i="55" s="1"/>
  <c r="F13" i="55" a="1"/>
  <c r="F13" i="55" s="1"/>
  <c r="D13" i="55" a="1"/>
  <c r="D13" i="55" s="1"/>
  <c r="B13" i="55" a="1"/>
  <c r="B13" i="55" s="1"/>
  <c r="U12" i="55" a="1"/>
  <c r="U12" i="55" s="1"/>
  <c r="U11" i="55" s="1" a="1"/>
  <c r="U11" i="55" s="1"/>
  <c r="S12" i="55" a="1"/>
  <c r="S12" i="55" s="1"/>
  <c r="S11" i="55" s="1" a="1"/>
  <c r="S11" i="55" s="1"/>
  <c r="Q12" i="55" a="1"/>
  <c r="Q12" i="55" s="1"/>
  <c r="Q11" i="55" s="1" a="1"/>
  <c r="Q11" i="55" s="1"/>
  <c r="O12" i="55" a="1"/>
  <c r="O12" i="55" s="1"/>
  <c r="O11" i="55" s="1" a="1"/>
  <c r="O11" i="55" s="1"/>
  <c r="M12" i="55" a="1"/>
  <c r="M12" i="55" s="1"/>
  <c r="M11" i="55" s="1" a="1"/>
  <c r="M11" i="55" s="1"/>
  <c r="K12" i="55" a="1"/>
  <c r="K12" i="55" s="1"/>
  <c r="K11" i="55" s="1" a="1"/>
  <c r="K11" i="55" s="1"/>
  <c r="I12" i="55" a="1"/>
  <c r="I12" i="55" s="1"/>
  <c r="I11" i="55" s="1" a="1"/>
  <c r="I11" i="55" s="1"/>
  <c r="G12" i="55" a="1"/>
  <c r="G12" i="55" s="1"/>
  <c r="G11" i="55" s="1" a="1"/>
  <c r="G11" i="55" s="1"/>
  <c r="E12" i="55" a="1"/>
  <c r="E12" i="55" s="1"/>
  <c r="E11" i="55" s="1" a="1"/>
  <c r="E11" i="55" s="1"/>
  <c r="C12" i="55" a="1"/>
  <c r="C12" i="55" s="1"/>
  <c r="C11" i="55" s="1" a="1"/>
  <c r="C11" i="55" s="1"/>
  <c r="U13" i="55" a="1"/>
  <c r="U13" i="55" s="1"/>
  <c r="S13" i="55" a="1"/>
  <c r="S13" i="55" s="1"/>
  <c r="Q13" i="55" a="1"/>
  <c r="Q13" i="55" s="1"/>
  <c r="O13" i="55" a="1"/>
  <c r="O13" i="55" s="1"/>
  <c r="M13" i="55" a="1"/>
  <c r="M13" i="55" s="1"/>
  <c r="K13" i="55" a="1"/>
  <c r="K13" i="55" s="1"/>
  <c r="I13" i="55" a="1"/>
  <c r="I13" i="55" s="1"/>
  <c r="G13" i="55" a="1"/>
  <c r="G13" i="55" s="1"/>
  <c r="E13" i="55" a="1"/>
  <c r="E13" i="55" s="1"/>
  <c r="C13" i="55" a="1"/>
  <c r="C13" i="55" s="1"/>
  <c r="V12" i="55" a="1"/>
  <c r="V12" i="55" s="1"/>
  <c r="V11" i="55" s="1" a="1"/>
  <c r="V11" i="55" s="1"/>
  <c r="T12" i="55" a="1"/>
  <c r="T12" i="55" s="1"/>
  <c r="T11" i="55" s="1" a="1"/>
  <c r="T11" i="55" s="1"/>
  <c r="R12" i="55" a="1"/>
  <c r="R12" i="55" s="1"/>
  <c r="R11" i="55" s="1" a="1"/>
  <c r="R11" i="55" s="1"/>
  <c r="P12" i="55" a="1"/>
  <c r="P12" i="55" s="1"/>
  <c r="P11" i="55" s="1" a="1"/>
  <c r="P11" i="55" s="1"/>
  <c r="N12" i="55" a="1"/>
  <c r="N12" i="55" s="1"/>
  <c r="N11" i="55" s="1" a="1"/>
  <c r="N11" i="55" s="1"/>
  <c r="L12" i="55" a="1"/>
  <c r="L12" i="55" s="1"/>
  <c r="L11" i="55" s="1" a="1"/>
  <c r="L11" i="55" s="1"/>
  <c r="J12" i="55" a="1"/>
  <c r="J12" i="55" s="1"/>
  <c r="J11" i="55" s="1" a="1"/>
  <c r="J11" i="55" s="1"/>
  <c r="H12" i="55" a="1"/>
  <c r="H12" i="55" s="1"/>
  <c r="H11" i="55" s="1" a="1"/>
  <c r="H11" i="55" s="1"/>
  <c r="F12" i="55" a="1"/>
  <c r="F12" i="55" s="1"/>
  <c r="F11" i="55" s="1" a="1"/>
  <c r="F11" i="55" s="1"/>
  <c r="D12" i="55" a="1"/>
  <c r="D12" i="55" s="1"/>
  <c r="D11" i="55" s="1" a="1"/>
  <c r="D11" i="55" s="1"/>
  <c r="B12" i="55" a="1"/>
  <c r="B12" i="55" s="1"/>
  <c r="B11" i="55" s="1" a="1"/>
  <c r="B11" i="55" s="1"/>
  <c r="V17" i="55" a="1"/>
  <c r="V17" i="55" s="1"/>
  <c r="T17" i="55" a="1"/>
  <c r="T17" i="55" s="1"/>
  <c r="R17" i="55" a="1"/>
  <c r="R17" i="55" s="1"/>
  <c r="P17" i="55" a="1"/>
  <c r="P17" i="55" s="1"/>
  <c r="N17" i="55" a="1"/>
  <c r="N17" i="55" s="1"/>
  <c r="L17" i="55" a="1"/>
  <c r="L17" i="55" s="1"/>
  <c r="J17" i="55" a="1"/>
  <c r="J17" i="55" s="1"/>
  <c r="H17" i="55" a="1"/>
  <c r="H17" i="55" s="1"/>
  <c r="F17" i="55" a="1"/>
  <c r="F17" i="55" s="1"/>
  <c r="D17" i="55" a="1"/>
  <c r="D17" i="55" s="1"/>
  <c r="B17" i="55" a="1"/>
  <c r="B17" i="55" s="1"/>
  <c r="U16" i="55" a="1"/>
  <c r="U16" i="55" s="1"/>
  <c r="U15" i="55" s="1" a="1"/>
  <c r="U15" i="55" s="1"/>
  <c r="S16" i="55" a="1"/>
  <c r="S16" i="55" s="1"/>
  <c r="S15" i="55" s="1" a="1"/>
  <c r="S15" i="55" s="1"/>
  <c r="Q16" i="55" a="1"/>
  <c r="Q16" i="55" s="1"/>
  <c r="Q15" i="55" s="1" a="1"/>
  <c r="Q15" i="55" s="1"/>
  <c r="O16" i="55" a="1"/>
  <c r="O16" i="55" s="1"/>
  <c r="O15" i="55" s="1" a="1"/>
  <c r="O15" i="55" s="1"/>
  <c r="M16" i="55" a="1"/>
  <c r="M16" i="55" s="1"/>
  <c r="M15" i="55" s="1" a="1"/>
  <c r="M15" i="55" s="1"/>
  <c r="K16" i="55" a="1"/>
  <c r="K16" i="55" s="1"/>
  <c r="K15" i="55" s="1" a="1"/>
  <c r="K15" i="55" s="1"/>
  <c r="I16" i="55" a="1"/>
  <c r="I16" i="55" s="1"/>
  <c r="I15" i="55" s="1" a="1"/>
  <c r="I15" i="55" s="1"/>
  <c r="G16" i="55" a="1"/>
  <c r="G16" i="55" s="1"/>
  <c r="G15" i="55" s="1" a="1"/>
  <c r="G15" i="55" s="1"/>
  <c r="E16" i="55" a="1"/>
  <c r="E16" i="55" s="1"/>
  <c r="E15" i="55" s="1" a="1"/>
  <c r="E15" i="55" s="1"/>
  <c r="C16" i="55" a="1"/>
  <c r="C16" i="55" s="1"/>
  <c r="C15" i="55" s="1" a="1"/>
  <c r="C15" i="55" s="1"/>
  <c r="U17" i="55" a="1"/>
  <c r="U17" i="55" s="1"/>
  <c r="S17" i="55" a="1"/>
  <c r="S17" i="55" s="1"/>
  <c r="Q17" i="55" a="1"/>
  <c r="Q17" i="55" s="1"/>
  <c r="O17" i="55" a="1"/>
  <c r="O17" i="55" s="1"/>
  <c r="M17" i="55" a="1"/>
  <c r="M17" i="55" s="1"/>
  <c r="K17" i="55" a="1"/>
  <c r="K17" i="55" s="1"/>
  <c r="I17" i="55" a="1"/>
  <c r="I17" i="55" s="1"/>
  <c r="G17" i="55" a="1"/>
  <c r="G17" i="55" s="1"/>
  <c r="E17" i="55" a="1"/>
  <c r="E17" i="55" s="1"/>
  <c r="C17" i="55" a="1"/>
  <c r="C17" i="55" s="1"/>
  <c r="V16" i="55" a="1"/>
  <c r="V16" i="55" s="1"/>
  <c r="V15" i="55" s="1" a="1"/>
  <c r="V15" i="55" s="1"/>
  <c r="T16" i="55" a="1"/>
  <c r="T16" i="55" s="1"/>
  <c r="T15" i="55" s="1" a="1"/>
  <c r="T15" i="55" s="1"/>
  <c r="R16" i="55" a="1"/>
  <c r="R16" i="55" s="1"/>
  <c r="R15" i="55" s="1" a="1"/>
  <c r="R15" i="55" s="1"/>
  <c r="P16" i="55" a="1"/>
  <c r="P16" i="55" s="1"/>
  <c r="P15" i="55" s="1" a="1"/>
  <c r="P15" i="55" s="1"/>
  <c r="N16" i="55" a="1"/>
  <c r="N16" i="55" s="1"/>
  <c r="N15" i="55" s="1" a="1"/>
  <c r="N15" i="55" s="1"/>
  <c r="L16" i="55" a="1"/>
  <c r="L16" i="55" s="1"/>
  <c r="L15" i="55" s="1" a="1"/>
  <c r="L15" i="55" s="1"/>
  <c r="J16" i="55" a="1"/>
  <c r="J16" i="55" s="1"/>
  <c r="J15" i="55" s="1" a="1"/>
  <c r="J15" i="55" s="1"/>
  <c r="H16" i="55" a="1"/>
  <c r="H16" i="55" s="1"/>
  <c r="H15" i="55" s="1" a="1"/>
  <c r="H15" i="55" s="1"/>
  <c r="F16" i="55" a="1"/>
  <c r="F16" i="55" s="1"/>
  <c r="F15" i="55" s="1" a="1"/>
  <c r="F15" i="55" s="1"/>
  <c r="D16" i="55" a="1"/>
  <c r="D16" i="55" s="1"/>
  <c r="D15" i="55" s="1" a="1"/>
  <c r="D15" i="55" s="1"/>
  <c r="B16" i="55" a="1"/>
  <c r="B16" i="55" s="1"/>
  <c r="B15" i="55" s="1" a="1"/>
  <c r="B15" i="55" s="1"/>
  <c r="V21" i="55" a="1"/>
  <c r="V21" i="55" s="1"/>
  <c r="T21" i="55" a="1"/>
  <c r="T21" i="55" s="1"/>
  <c r="R21" i="55" a="1"/>
  <c r="R21" i="55" s="1"/>
  <c r="P21" i="55" a="1"/>
  <c r="P21" i="55" s="1"/>
  <c r="N21" i="55" a="1"/>
  <c r="N21" i="55" s="1"/>
  <c r="L21" i="55" a="1"/>
  <c r="L21" i="55" s="1"/>
  <c r="J21" i="55" a="1"/>
  <c r="J21" i="55" s="1"/>
  <c r="H21" i="55" a="1"/>
  <c r="H21" i="55" s="1"/>
  <c r="F21" i="55" a="1"/>
  <c r="F21" i="55" s="1"/>
  <c r="D21" i="55" a="1"/>
  <c r="D21" i="55" s="1"/>
  <c r="B21" i="55" a="1"/>
  <c r="B21" i="55" s="1"/>
  <c r="U20" i="55" a="1"/>
  <c r="U20" i="55" s="1"/>
  <c r="U19" i="55" s="1" a="1"/>
  <c r="U19" i="55" s="1"/>
  <c r="S20" i="55" a="1"/>
  <c r="S20" i="55" s="1"/>
  <c r="S19" i="55" s="1" a="1"/>
  <c r="S19" i="55" s="1"/>
  <c r="Q20" i="55" a="1"/>
  <c r="Q20" i="55" s="1"/>
  <c r="Q19" i="55" s="1" a="1"/>
  <c r="Q19" i="55" s="1"/>
  <c r="O20" i="55" a="1"/>
  <c r="O20" i="55" s="1"/>
  <c r="O19" i="55" s="1" a="1"/>
  <c r="O19" i="55" s="1"/>
  <c r="M20" i="55" a="1"/>
  <c r="M20" i="55" s="1"/>
  <c r="M19" i="55" s="1" a="1"/>
  <c r="M19" i="55" s="1"/>
  <c r="K20" i="55" a="1"/>
  <c r="K20" i="55" s="1"/>
  <c r="K19" i="55" s="1" a="1"/>
  <c r="K19" i="55" s="1"/>
  <c r="I20" i="55" a="1"/>
  <c r="I20" i="55" s="1"/>
  <c r="I19" i="55" s="1" a="1"/>
  <c r="I19" i="55" s="1"/>
  <c r="G20" i="55" a="1"/>
  <c r="G20" i="55" s="1"/>
  <c r="G19" i="55" s="1" a="1"/>
  <c r="G19" i="55" s="1"/>
  <c r="E20" i="55" a="1"/>
  <c r="E20" i="55" s="1"/>
  <c r="E19" i="55" s="1" a="1"/>
  <c r="E19" i="55" s="1"/>
  <c r="C20" i="55" a="1"/>
  <c r="C20" i="55" s="1"/>
  <c r="C19" i="55" s="1" a="1"/>
  <c r="C19" i="55" s="1"/>
  <c r="U21" i="55" a="1"/>
  <c r="U21" i="55" s="1"/>
  <c r="S21" i="55" a="1"/>
  <c r="S21" i="55" s="1"/>
  <c r="Q21" i="55" a="1"/>
  <c r="Q21" i="55" s="1"/>
  <c r="O21" i="55" a="1"/>
  <c r="O21" i="55" s="1"/>
  <c r="M21" i="55" a="1"/>
  <c r="M21" i="55" s="1"/>
  <c r="K21" i="55" a="1"/>
  <c r="K21" i="55" s="1"/>
  <c r="I21" i="55" a="1"/>
  <c r="I21" i="55" s="1"/>
  <c r="G21" i="55" a="1"/>
  <c r="G21" i="55" s="1"/>
  <c r="E21" i="55" a="1"/>
  <c r="E21" i="55" s="1"/>
  <c r="C21" i="55" a="1"/>
  <c r="C21" i="55" s="1"/>
  <c r="V20" i="55" a="1"/>
  <c r="V20" i="55" s="1"/>
  <c r="V19" i="55" s="1" a="1"/>
  <c r="V19" i="55" s="1"/>
  <c r="T20" i="55" a="1"/>
  <c r="T20" i="55" s="1"/>
  <c r="T19" i="55" s="1" a="1"/>
  <c r="T19" i="55" s="1"/>
  <c r="R20" i="55" a="1"/>
  <c r="R20" i="55" s="1"/>
  <c r="R19" i="55" s="1" a="1"/>
  <c r="R19" i="55" s="1"/>
  <c r="P20" i="55" a="1"/>
  <c r="P20" i="55" s="1"/>
  <c r="P19" i="55" s="1" a="1"/>
  <c r="P19" i="55" s="1"/>
  <c r="N20" i="55" a="1"/>
  <c r="N20" i="55" s="1"/>
  <c r="N19" i="55" s="1" a="1"/>
  <c r="N19" i="55" s="1"/>
  <c r="L20" i="55" a="1"/>
  <c r="L20" i="55" s="1"/>
  <c r="L19" i="55" s="1" a="1"/>
  <c r="L19" i="55" s="1"/>
  <c r="J20" i="55" a="1"/>
  <c r="J20" i="55" s="1"/>
  <c r="J19" i="55" s="1" a="1"/>
  <c r="J19" i="55" s="1"/>
  <c r="H20" i="55" a="1"/>
  <c r="H20" i="55" s="1"/>
  <c r="H19" i="55" s="1" a="1"/>
  <c r="H19" i="55" s="1"/>
  <c r="F20" i="55" a="1"/>
  <c r="F20" i="55" s="1"/>
  <c r="F19" i="55" s="1" a="1"/>
  <c r="F19" i="55" s="1"/>
  <c r="D20" i="55" a="1"/>
  <c r="D20" i="55" s="1"/>
  <c r="D19" i="55" s="1" a="1"/>
  <c r="D19" i="55" s="1"/>
  <c r="B20" i="55" a="1"/>
  <c r="B20" i="55" s="1"/>
  <c r="B19" i="55" s="1" a="1"/>
  <c r="B19" i="55" s="1"/>
  <c r="A10" i="55" l="1"/>
  <c r="B10" i="55" s="1"/>
  <c r="C10" i="55" s="1"/>
  <c r="D10" i="55" s="1"/>
  <c r="E10" i="55" s="1"/>
  <c r="F10" i="55" s="1"/>
  <c r="G10" i="55" s="1"/>
  <c r="H10" i="55" s="1"/>
  <c r="I10" i="55" s="1"/>
  <c r="J10" i="55" s="1"/>
  <c r="K10" i="55" s="1"/>
  <c r="L10" i="55" s="1"/>
  <c r="M10" i="55" s="1"/>
  <c r="N10" i="55" s="1"/>
  <c r="O10" i="55" s="1"/>
  <c r="P10" i="55" s="1"/>
  <c r="Q10" i="55" s="1"/>
  <c r="R10" i="55" s="1"/>
  <c r="S10" i="55" s="1"/>
  <c r="T10" i="55" s="1"/>
  <c r="U10" i="55" s="1"/>
  <c r="V10" i="55" s="1"/>
  <c r="A14" i="55"/>
  <c r="B14" i="55" s="1"/>
  <c r="C14" i="55" s="1"/>
  <c r="D14" i="55" s="1"/>
  <c r="E14" i="55" s="1"/>
  <c r="F14" i="55" s="1"/>
  <c r="G14" i="55" s="1"/>
  <c r="H14" i="55" s="1"/>
  <c r="I14" i="55" s="1"/>
  <c r="J14" i="55" s="1"/>
  <c r="K14" i="55" s="1"/>
  <c r="L14" i="55" s="1"/>
  <c r="M14" i="55" s="1"/>
  <c r="N14" i="55" s="1"/>
  <c r="O14" i="55" s="1"/>
  <c r="P14" i="55" s="1"/>
  <c r="Q14" i="55" s="1"/>
  <c r="R14" i="55" s="1"/>
  <c r="S14" i="55" s="1"/>
  <c r="T14" i="55" s="1"/>
  <c r="U14" i="55" s="1"/>
  <c r="V14" i="55" s="1"/>
  <c r="A18" i="55"/>
  <c r="B18" i="55" s="1"/>
  <c r="C18" i="55" s="1"/>
  <c r="D18" i="55" s="1"/>
  <c r="E18" i="55" s="1"/>
  <c r="F18" i="55" s="1"/>
  <c r="G18" i="55" s="1"/>
  <c r="H18" i="55" s="1"/>
  <c r="I18" i="55" s="1"/>
  <c r="J18" i="55" s="1"/>
  <c r="K18" i="55" s="1"/>
  <c r="L18" i="55" s="1"/>
  <c r="M18" i="55" s="1"/>
  <c r="N18" i="55" s="1"/>
  <c r="O18" i="55" s="1"/>
  <c r="P18" i="55" s="1"/>
  <c r="Q18" i="55" s="1"/>
  <c r="R18" i="55" s="1"/>
  <c r="S18" i="55" s="1"/>
  <c r="T18" i="55" s="1"/>
  <c r="U18" i="55" s="1"/>
  <c r="V18" i="55" s="1"/>
  <c r="I3" i="12" a="1"/>
  <c r="I3" i="12" s="1"/>
  <c r="B5" i="12" s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P5" i="12" s="1"/>
  <c r="Q5" i="12" s="1"/>
  <c r="R5" i="12" s="1"/>
  <c r="S5" i="12" s="1"/>
  <c r="T5" i="12" s="1"/>
  <c r="U5" i="12" s="1"/>
  <c r="V5" i="12" s="1"/>
  <c r="X8" i="12" a="1"/>
  <c r="X8" i="12" s="1"/>
  <c r="A2" i="55"/>
  <c r="B2" i="55" s="1"/>
  <c r="C2" i="55" s="1"/>
  <c r="D2" i="55" l="1"/>
  <c r="E2" i="55" l="1"/>
  <c r="F2" i="55" l="1"/>
  <c r="G2" i="55" l="1"/>
  <c r="H2" i="55" l="1"/>
  <c r="I2" i="55" l="1"/>
  <c r="J2" i="55" l="1"/>
  <c r="K2" i="55" l="1"/>
  <c r="L2" i="55" l="1"/>
  <c r="M2" i="55" l="1"/>
  <c r="N2" i="55" l="1"/>
  <c r="O2" i="55" l="1"/>
  <c r="P2" i="55" l="1"/>
  <c r="Q2" i="55" l="1"/>
  <c r="R2" i="55" l="1"/>
  <c r="S2" i="55" l="1"/>
  <c r="T2" i="55" l="1"/>
  <c r="U2" i="55" l="1"/>
  <c r="V2" i="5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B72B6C-BDEB-44F6-837B-2C47598E771C}" keepAlive="1" name="ThisWorkbookDataModel" description="Tietomall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B1B86F0-10E4-475C-B037-2E70F6C8B789}" name="WorksheetConnection_rotaattori (1).xlsm!tbl_r_koonnit" type="102" refreshedVersion="8" minRefreshableVersion="5">
    <extLst>
      <ext xmlns:x15="http://schemas.microsoft.com/office/spreadsheetml/2010/11/main" uri="{DE250136-89BD-433C-8126-D09CA5730AF9}">
        <x15:connection id="tbl_r_koonnit">
          <x15:rangePr sourceName="_xlcn.WorksheetConnection_rotaattori1.xlsmtbl_r_koonnit1"/>
        </x15:connection>
      </ext>
    </extLst>
  </connection>
  <connection id="3" xr16:uid="{102035EE-CFA6-489C-AA49-451077975FD1}" name="WorksheetConnection_rotaattori (1).xlsm!tbl_r_työntekijät" type="102" refreshedVersion="8" minRefreshableVersion="5">
    <extLst>
      <ext xmlns:x15="http://schemas.microsoft.com/office/spreadsheetml/2010/11/main" uri="{DE250136-89BD-433C-8126-D09CA5730AF9}">
        <x15:connection id="tbl_r_työntekijät">
          <x15:rangePr sourceName="_xlcn.WorksheetConnection_rotaattori1.xlsmtbl_r_työntekijät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<sst xmlns="http://schemas.openxmlformats.org/spreadsheetml/2006/main" count="343" uniqueCount="165">
  <si>
    <t>Etusivu | Rotaattori</t>
  </si>
  <si>
    <t>© Lauri Laattala &amp;
Jaakko Haavisto</t>
  </si>
  <si>
    <t/>
  </si>
  <si>
    <t>Moi! Olen Tapio. Työvuorojen suunnittelun apulaisesi.
Mitä jaksoa haluat tarkastella?
Kirjoita laatikkoon numero, paina Enter ja sitten napsauta OK.
Jos haluat aloittaa suunnittelun, listalle työnimi laatikkoon ja paina "Luo".</t>
  </si>
  <si>
    <t>Tarvitsetko työvuorolistat, joihin voisi tehdä muutoksia? Valitse haluamasi jakso ensin, sitten kirjoita tähän haluamasi nimi 'suttulistalle' ja paina 'Luo'.
Nimen pitää olla 3-15 merkkiä pitkä ja ei välilyöntejä.</t>
  </si>
  <si>
    <t>Etusivu</t>
  </si>
  <si>
    <t>Etusivun kautta valitaan tarkasteltava työvuorojakso. Jakso vaihtuu kaikissa työkalun osioissa tätä kautta</t>
  </si>
  <si>
    <t>Koonnit</t>
  </si>
  <si>
    <t>Yhteenvetoja eri tyyppisten työvuorojen määristä talossa tai per työntekijä.</t>
  </si>
  <si>
    <t>Vuorokoodit</t>
  </si>
  <si>
    <t>Määrittele millaiset työvuorot talossa tulisi olla. Kaikki mahdolliset työvuorot saavat oman kirjaimensa täällä.</t>
  </si>
  <si>
    <t>Työntekijät</t>
  </si>
  <si>
    <t>Lista kaikista työntekijöistä. Tämä luettelo päivittyy automaattisesti Hoitoajat-työkalusta.</t>
  </si>
  <si>
    <t>Kiertotunnus</t>
  </si>
  <si>
    <t>Tähän listataan missä järjestyksessä työvuorot tulevat titaniaan 3 viikon listassa.</t>
  </si>
  <si>
    <t>Liitokset</t>
  </si>
  <si>
    <t>Valitse ryhmät, joiden perusteella kaikki suunnitelmat tehdään.</t>
  </si>
  <si>
    <t>Ryhmäasetukset</t>
  </si>
  <si>
    <t>Valitse värit kullekin ryhmälle.</t>
  </si>
  <si>
    <t>Omakierto</t>
  </si>
  <si>
    <t>Koonti työntekijöistä ja niistä mahdollisista työvuorolistoista, joita kullekin kierrossa syntyy.</t>
  </si>
  <si>
    <t>Omakausi</t>
  </si>
  <si>
    <t>Yhden työntekijän työvuorolistat tulevalle viidelle listalle. (15 viikkoa)</t>
  </si>
  <si>
    <t>Hiekkalaatikko</t>
  </si>
  <si>
    <t>Sivu, jonka avulla voit hahmotella erilaisia työvuoroja tai tehdä väliaikaisia työvuorolistoja.</t>
  </si>
  <si>
    <t>Tehtavat</t>
  </si>
  <si>
    <t>Toistuvat SAK-ajat ym. tehtävät.</t>
  </si>
  <si>
    <t>Koontilista</t>
  </si>
  <si>
    <t>Kerää yhteen käyttäjän antamat tiedot. Tämä välilehti on pääasiassa virheentarkistusta varten.</t>
  </si>
  <si>
    <t>Ryhmä</t>
  </si>
  <si>
    <t>Iltatuulet</t>
  </si>
  <si>
    <t>Tuuliaiset</t>
  </si>
  <si>
    <t>Lounatuulet</t>
  </si>
  <si>
    <t>Myötätuulet</t>
  </si>
  <si>
    <t>Eija Uotila</t>
  </si>
  <si>
    <t>Rotaattori - Vuorokoodit</t>
  </si>
  <si>
    <t>Työvuorojen tunnukset</t>
  </si>
  <si>
    <t xml:space="preserve"> - </t>
  </si>
  <si>
    <t>Tunnus</t>
  </si>
  <si>
    <t>Alku</t>
  </si>
  <si>
    <t>Loppu</t>
  </si>
  <si>
    <t>Kesto</t>
  </si>
  <si>
    <t>Koko vuoro</t>
  </si>
  <si>
    <t>Tyyppi</t>
  </si>
  <si>
    <t>Työntekijät | Rotaattori</t>
  </si>
  <si>
    <t>Kutsumanimi</t>
  </si>
  <si>
    <t>Koko nimi</t>
  </si>
  <si>
    <t>Vastuullinen</t>
  </si>
  <si>
    <t>Nimike</t>
  </si>
  <si>
    <t>Kiertopohja</t>
  </si>
  <si>
    <t>Prosentti</t>
  </si>
  <si>
    <t>Aktiivinen</t>
  </si>
  <si>
    <t>Usvaset</t>
  </si>
  <si>
    <t>Utuset</t>
  </si>
  <si>
    <t>Kiertolista</t>
  </si>
  <si>
    <t>Ma1</t>
  </si>
  <si>
    <t>Ti1</t>
  </si>
  <si>
    <t>Ke1</t>
  </si>
  <si>
    <t>To1</t>
  </si>
  <si>
    <t>Pe1</t>
  </si>
  <si>
    <t>La1</t>
  </si>
  <si>
    <t>Su1</t>
  </si>
  <si>
    <t>Ma2</t>
  </si>
  <si>
    <t>Ti2</t>
  </si>
  <si>
    <t>Ke4</t>
  </si>
  <si>
    <t>To5</t>
  </si>
  <si>
    <t>Pe6</t>
  </si>
  <si>
    <t>La7</t>
  </si>
  <si>
    <t>Su8</t>
  </si>
  <si>
    <t>Ma9</t>
  </si>
  <si>
    <t>Ti10</t>
  </si>
  <si>
    <t>Ke11</t>
  </si>
  <si>
    <t>To12</t>
  </si>
  <si>
    <t>Pe13</t>
  </si>
  <si>
    <t>La14</t>
  </si>
  <si>
    <t>Su15</t>
  </si>
  <si>
    <t>Todellinen vuoro</t>
  </si>
  <si>
    <t>Liitokset | Rotaattori</t>
  </si>
  <si>
    <t>Nimi</t>
  </si>
  <si>
    <t>Ryhmät</t>
  </si>
  <si>
    <t>Poistettavat työntekijät</t>
  </si>
  <si>
    <t>Isot</t>
  </si>
  <si>
    <t>Pienet</t>
  </si>
  <si>
    <t xml:space="preserve">TYÖVUOROTAULUKKO    </t>
  </si>
  <si>
    <t>Jos lista on valmis, voit tästä vahvistaa sen toteutuneeksi.</t>
  </si>
  <si>
    <t xml:space="preserve">Jakso </t>
  </si>
  <si>
    <t xml:space="preserve">                                                </t>
  </si>
  <si>
    <t xml:space="preserve"> ma                      </t>
  </si>
  <si>
    <t xml:space="preserve"> ti                      </t>
  </si>
  <si>
    <t xml:space="preserve"> ke                      </t>
  </si>
  <si>
    <t xml:space="preserve"> to                      </t>
  </si>
  <si>
    <t xml:space="preserve"> pe                      </t>
  </si>
  <si>
    <t xml:space="preserve"> la                      </t>
  </si>
  <si>
    <t xml:space="preserve"> SU                      </t>
  </si>
  <si>
    <t>Yhteensä</t>
  </si>
  <si>
    <t>Työaika</t>
  </si>
  <si>
    <t>SAK / muu sovittu tehtävä</t>
  </si>
  <si>
    <t>Väri</t>
  </si>
  <si>
    <t>Jakso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</si>
  <si>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</si>
  <si>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</si>
  <si>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</si>
  <si>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</si>
  <si>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</si>
  <si>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</si>
  <si>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</si>
  <si>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</si>
  <si>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</si>
  <si>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</si>
  <si>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</si>
  <si>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</si>
  <si>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</si>
  <si>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</si>
  <si>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</si>
  <si>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</si>
  <si>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</si>
  <si>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</si>
  <si>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 xml:space="preserve"> </t>
  </si>
  <si>
    <t>Ma</t>
  </si>
  <si>
    <t>Ti</t>
  </si>
  <si>
    <t>Ke</t>
  </si>
  <si>
    <t>To</t>
  </si>
  <si>
    <t>Pe</t>
  </si>
  <si>
    <t>La</t>
  </si>
  <si>
    <t>Su</t>
  </si>
  <si>
    <t>su</t>
  </si>
  <si>
    <t>Ti3</t>
  </si>
  <si>
    <t xml:space="preserve">                              Työntekijä                  </t>
  </si>
  <si>
    <t xml:space="preserve"> ma                      2</t>
  </si>
  <si>
    <t xml:space="preserve"> ti                      3</t>
  </si>
  <si>
    <t xml:space="preserve"> ke                      4</t>
  </si>
  <si>
    <t xml:space="preserve"> to                      5</t>
  </si>
  <si>
    <t xml:space="preserve"> pe                      6</t>
  </si>
  <si>
    <t xml:space="preserve"> la                      7</t>
  </si>
  <si>
    <t xml:space="preserve"> SU                      8</t>
  </si>
  <si>
    <t xml:space="preserve"> ma                      9</t>
  </si>
  <si>
    <t xml:space="preserve"> ti                      10</t>
  </si>
  <si>
    <t xml:space="preserve"> ke                      11</t>
  </si>
  <si>
    <t xml:space="preserve"> to                      12</t>
  </si>
  <si>
    <t xml:space="preserve"> pe                      13</t>
  </si>
  <si>
    <t xml:space="preserve"> la                      14</t>
  </si>
  <si>
    <t xml:space="preserve"> SU                      15</t>
  </si>
  <si>
    <t>KL2</t>
  </si>
  <si>
    <t>KL3</t>
  </si>
  <si>
    <t>KL4</t>
  </si>
  <si>
    <t>KL5</t>
  </si>
  <si>
    <t>Tehtävät:</t>
  </si>
  <si>
    <t>Yht.</t>
  </si>
  <si>
    <t>Työaika:</t>
  </si>
  <si>
    <t>Vapaat</t>
  </si>
  <si>
    <t>Vahvistetussa listassa ei ole enää laskukaavoja.</t>
  </si>
  <si>
    <t>Kiertotunnukset | Rotaattori</t>
  </si>
  <si>
    <t>Sumu-Usvaset</t>
  </si>
  <si>
    <t>e54d2e</t>
  </si>
  <si>
    <t>IltaSuvituulet</t>
  </si>
  <si>
    <t>Eskari</t>
  </si>
  <si>
    <t>Päiväkoti</t>
  </si>
  <si>
    <t>f5d90a</t>
  </si>
  <si>
    <t>99d52a</t>
  </si>
  <si>
    <t>Suvituulet</t>
  </si>
  <si>
    <t>Sumuset</t>
  </si>
  <si>
    <t>0091ff</t>
  </si>
  <si>
    <t>68ddfd</t>
  </si>
  <si>
    <t>lista</t>
  </si>
  <si>
    <t>Versio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</si>
</sst>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hh:mm;@"/>
    <numFmt numFmtId="166" formatCode="d\.m\.;@"/>
    <numFmt numFmtId="167" formatCode="[h]:mm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Arial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name val="Arial"/>
      <family val="2"/>
    </font>
    <font>
      <sz val="10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1"/>
      <name val="Arial"/>
      <family val="2"/>
    </font>
    <font>
      <sz val="24"/>
      <color theme="2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28"/>
      <color rgb="FF0070C0"/>
      <name val="Calibri"/>
      <family val="2"/>
      <scheme val="minor"/>
    </font>
    <font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 tint="4.9989318521683403E-2"/>
      <name val="Calibri"/>
      <family val="2"/>
    </font>
    <font>
      <b/>
      <sz val="36"/>
      <color theme="0"/>
      <name val="Verdana"/>
      <family val="2"/>
    </font>
    <font>
      <sz val="1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Verdana"/>
      <family val="2"/>
    </font>
    <font>
      <sz val="18"/>
      <color theme="0"/>
      <name val="Verdana"/>
      <family val="2"/>
    </font>
    <font>
      <b/>
      <sz val="12"/>
      <color theme="0"/>
      <name val="Verdana"/>
      <family val="2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gray0625">
        <fgColor indexed="1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FF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rgb="FFFFFFFF"/>
      </patternFill>
    </fill>
    <fill>
      <patternFill patternType="gray0625">
        <fgColor rgb="FFFA606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A6060"/>
        <bgColor indexed="64"/>
      </patternFill>
    </fill>
    <fill>
      <patternFill patternType="solid">
        <fgColor rgb="FFFFEAC9"/>
        <bgColor indexed="64"/>
      </patternFill>
    </fill>
    <fill>
      <patternFill patternType="gray0625">
        <fgColor rgb="FFFF0000"/>
        <bgColor auto="1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43" fillId="0" borderId="0"/>
    <xf numFmtId="0" fontId="44" fillId="53" borderId="25" applyNumberFormat="0" applyFill="0" applyBorder="0" applyProtection="0">
      <alignment horizontal="center" vertical="center"/>
    </xf>
    <xf numFmtId="0" fontId="43" fillId="0" borderId="0"/>
    <xf numFmtId="0" fontId="43" fillId="0" borderId="0"/>
    <xf numFmtId="0" fontId="43" fillId="0" borderId="0"/>
  </cellStyleXfs>
  <cellXfs count="150">
    <xf numFmtId="0" fontId="0" fillId="0" borderId="0" xfId="0"/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8" fillId="33" borderId="10" xfId="0" applyFont="1" applyFill="1" applyBorder="1" applyAlignment="1">
      <alignment horizontal="center" vertical="center" wrapText="1"/>
    </xf>
    <xf numFmtId="165" fontId="0" fillId="0" borderId="0" xfId="0" applyNumberFormat="1"/>
    <xf numFmtId="0" fontId="16" fillId="0" borderId="0" xfId="0" applyFont="1"/>
    <xf numFmtId="0" fontId="16" fillId="34" borderId="0" xfId="0" applyFont="1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37" borderId="0" xfId="0" applyFill="1"/>
    <xf numFmtId="0" fontId="16" fillId="37" borderId="0" xfId="0" applyFont="1" applyFill="1"/>
    <xf numFmtId="0" fontId="22" fillId="0" borderId="0" xfId="0" applyFont="1" applyAlignment="1">
      <alignment vertical="top" wrapText="1"/>
    </xf>
    <xf numFmtId="0" fontId="24" fillId="0" borderId="0" xfId="0" applyFont="1"/>
    <xf numFmtId="0" fontId="25" fillId="0" borderId="0" xfId="0" applyFont="1"/>
    <xf numFmtId="0" fontId="0" fillId="0" borderId="12" xfId="0" applyBorder="1" applyAlignment="1">
      <alignment horizontal="center" vertical="center" wrapText="1"/>
    </xf>
    <xf numFmtId="0" fontId="25" fillId="37" borderId="0" xfId="0" applyFont="1" applyFill="1"/>
    <xf numFmtId="0" fontId="13" fillId="37" borderId="0" xfId="0" applyFont="1" applyFill="1"/>
    <xf numFmtId="0" fontId="17" fillId="37" borderId="0" xfId="0" applyFont="1" applyFill="1"/>
    <xf numFmtId="164" fontId="17" fillId="37" borderId="0" xfId="0" applyNumberFormat="1" applyFont="1" applyFill="1"/>
    <xf numFmtId="0" fontId="22" fillId="0" borderId="0" xfId="0" applyFont="1" applyAlignment="1">
      <alignment horizontal="center" vertical="center"/>
    </xf>
    <xf numFmtId="0" fontId="22" fillId="42" borderId="0" xfId="0" applyFont="1" applyFill="1" applyAlignment="1">
      <alignment horizontal="left" vertical="center"/>
    </xf>
    <xf numFmtId="0" fontId="16" fillId="45" borderId="0" xfId="0" applyFont="1" applyFill="1"/>
    <xf numFmtId="0" fontId="0" fillId="41" borderId="0" xfId="0" applyFill="1"/>
    <xf numFmtId="0" fontId="29" fillId="0" borderId="12" xfId="0" applyFont="1" applyBorder="1" applyAlignment="1">
      <alignment horizontal="center" vertical="center" wrapText="1"/>
    </xf>
    <xf numFmtId="164" fontId="29" fillId="0" borderId="0" xfId="0" applyNumberFormat="1" applyFont="1" applyAlignment="1">
      <alignment horizontal="center" vertical="center" wrapText="1"/>
    </xf>
    <xf numFmtId="164" fontId="29" fillId="33" borderId="10" xfId="0" applyNumberFormat="1" applyFont="1" applyFill="1" applyBorder="1" applyAlignment="1">
      <alignment horizontal="center" vertical="center" wrapText="1"/>
    </xf>
    <xf numFmtId="0" fontId="29" fillId="47" borderId="12" xfId="0" applyFont="1" applyFill="1" applyBorder="1" applyAlignment="1">
      <alignment horizontal="center" vertical="center" wrapText="1"/>
    </xf>
    <xf numFmtId="0" fontId="21" fillId="38" borderId="0" xfId="0" applyFont="1" applyFill="1"/>
    <xf numFmtId="0" fontId="0" fillId="38" borderId="0" xfId="0" applyFill="1"/>
    <xf numFmtId="0" fontId="21" fillId="41" borderId="0" xfId="0" applyFont="1" applyFill="1"/>
    <xf numFmtId="0" fontId="21" fillId="44" borderId="0" xfId="0" applyFont="1" applyFill="1"/>
    <xf numFmtId="0" fontId="0" fillId="44" borderId="0" xfId="0" applyFill="1"/>
    <xf numFmtId="0" fontId="21" fillId="43" borderId="0" xfId="0" applyFont="1" applyFill="1"/>
    <xf numFmtId="0" fontId="0" fillId="43" borderId="0" xfId="0" applyFill="1"/>
    <xf numFmtId="0" fontId="21" fillId="35" borderId="0" xfId="0" applyFont="1" applyFill="1"/>
    <xf numFmtId="0" fontId="30" fillId="48" borderId="0" xfId="0" applyFont="1" applyFill="1"/>
    <xf numFmtId="0" fontId="17" fillId="48" borderId="0" xfId="0" applyFont="1" applyFill="1"/>
    <xf numFmtId="0" fontId="21" fillId="49" borderId="0" xfId="0" applyFont="1" applyFill="1"/>
    <xf numFmtId="0" fontId="0" fillId="49" borderId="0" xfId="0" applyFill="1"/>
    <xf numFmtId="0" fontId="21" fillId="50" borderId="0" xfId="0" applyFont="1" applyFill="1"/>
    <xf numFmtId="0" fontId="0" fillId="50" borderId="0" xfId="0" applyFill="1"/>
    <xf numFmtId="0" fontId="31" fillId="0" borderId="0" xfId="0" applyFont="1" applyAlignment="1">
      <alignment horizontal="center" vertical="center"/>
    </xf>
    <xf numFmtId="0" fontId="32" fillId="36" borderId="11" xfId="0" applyFont="1" applyFill="1" applyBorder="1" applyAlignment="1">
      <alignment horizontal="center" vertical="center"/>
    </xf>
    <xf numFmtId="0" fontId="22" fillId="37" borderId="0" xfId="0" applyFont="1" applyFill="1" applyAlignment="1">
      <alignment horizontal="left" vertical="center" wrapText="1"/>
    </xf>
    <xf numFmtId="0" fontId="32" fillId="37" borderId="0" xfId="0" applyFont="1" applyFill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165" fontId="25" fillId="40" borderId="19" xfId="0" applyNumberFormat="1" applyFont="1" applyFill="1" applyBorder="1"/>
    <xf numFmtId="165" fontId="25" fillId="40" borderId="19" xfId="0" applyNumberFormat="1" applyFont="1" applyFill="1" applyBorder="1" applyAlignment="1">
      <alignment horizontal="center"/>
    </xf>
    <xf numFmtId="165" fontId="37" fillId="40" borderId="19" xfId="0" applyNumberFormat="1" applyFont="1" applyFill="1" applyBorder="1"/>
    <xf numFmtId="0" fontId="0" fillId="0" borderId="14" xfId="0" applyBorder="1"/>
    <xf numFmtId="0" fontId="16" fillId="45" borderId="13" xfId="0" applyFont="1" applyFill="1" applyBorder="1"/>
    <xf numFmtId="0" fontId="26" fillId="0" borderId="0" xfId="0" applyFont="1"/>
    <xf numFmtId="166" fontId="39" fillId="39" borderId="12" xfId="0" applyNumberFormat="1" applyFont="1" applyFill="1" applyBorder="1" applyAlignment="1">
      <alignment horizontal="center" vertical="center" wrapText="1"/>
    </xf>
    <xf numFmtId="0" fontId="21" fillId="51" borderId="0" xfId="0" applyFont="1" applyFill="1"/>
    <xf numFmtId="0" fontId="0" fillId="51" borderId="0" xfId="0" applyFill="1"/>
    <xf numFmtId="164" fontId="29" fillId="0" borderId="12" xfId="0" applyNumberFormat="1" applyFont="1" applyBorder="1" applyAlignment="1">
      <alignment horizontal="center" vertical="center" wrapText="1"/>
    </xf>
    <xf numFmtId="0" fontId="0" fillId="52" borderId="0" xfId="0" applyFill="1"/>
    <xf numFmtId="0" fontId="24" fillId="0" borderId="12" xfId="0" applyFont="1" applyBorder="1" applyAlignment="1">
      <alignment horizontal="center" vertical="center" wrapText="1"/>
    </xf>
    <xf numFmtId="0" fontId="24" fillId="47" borderId="12" xfId="0" applyFont="1" applyFill="1" applyBorder="1" applyAlignment="1">
      <alignment horizontal="center" vertical="center" wrapText="1"/>
    </xf>
    <xf numFmtId="164" fontId="24" fillId="0" borderId="12" xfId="0" applyNumberFormat="1" applyFont="1" applyBorder="1" applyAlignment="1">
      <alignment horizontal="center" vertical="center" wrapText="1"/>
    </xf>
    <xf numFmtId="164" fontId="24" fillId="47" borderId="12" xfId="0" applyNumberFormat="1" applyFont="1" applyFill="1" applyBorder="1" applyAlignment="1">
      <alignment horizontal="center" vertical="center" wrapText="1"/>
    </xf>
    <xf numFmtId="0" fontId="0" fillId="0" borderId="12" xfId="0" applyBorder="1" applyAlignment="1">
      <alignment wrapText="1"/>
    </xf>
    <xf numFmtId="0" fontId="0" fillId="0" borderId="22" xfId="0" applyBorder="1" applyAlignment="1">
      <alignment wrapText="1"/>
    </xf>
    <xf numFmtId="166" fontId="18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27" fillId="45" borderId="24" xfId="0" applyFont="1" applyFill="1" applyBorder="1" applyAlignment="1">
      <alignment horizontal="center" vertical="center"/>
    </xf>
    <xf numFmtId="0" fontId="27" fillId="45" borderId="23" xfId="0" applyFont="1" applyFill="1" applyBorder="1" applyAlignment="1">
      <alignment horizontal="center" vertical="center"/>
    </xf>
    <xf numFmtId="164" fontId="29" fillId="47" borderId="12" xfId="0" applyNumberFormat="1" applyFont="1" applyFill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33" borderId="12" xfId="0" applyFont="1" applyFill="1" applyBorder="1" applyAlignment="1">
      <alignment horizontal="center" vertical="center" wrapText="1"/>
    </xf>
    <xf numFmtId="0" fontId="25" fillId="40" borderId="20" xfId="0" applyFont="1" applyFill="1" applyBorder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40" fillId="37" borderId="0" xfId="0" applyFont="1" applyFill="1"/>
    <xf numFmtId="0" fontId="0" fillId="37" borderId="0" xfId="0" quotePrefix="1" applyFill="1"/>
    <xf numFmtId="0" fontId="25" fillId="46" borderId="12" xfId="0" applyFont="1" applyFill="1" applyBorder="1" applyAlignment="1">
      <alignment horizontal="center" vertical="center" wrapText="1"/>
    </xf>
    <xf numFmtId="0" fontId="28" fillId="0" borderId="12" xfId="0" applyFont="1" applyBorder="1"/>
    <xf numFmtId="0" fontId="46" fillId="0" borderId="0" xfId="0" applyFont="1"/>
    <xf numFmtId="0" fontId="25" fillId="40" borderId="18" xfId="0" applyFont="1" applyFill="1" applyBorder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 applyAlignment="1">
      <alignment horizontal="left"/>
    </xf>
    <xf numFmtId="0" fontId="0" fillId="54" borderId="0" xfId="0" applyFill="1"/>
    <xf numFmtId="0" fontId="0" fillId="0" borderId="22" xfId="0" applyBorder="1" applyAlignment="1">
      <alignment horizontal="center" vertical="center" wrapText="1"/>
    </xf>
    <xf numFmtId="0" fontId="0" fillId="0" borderId="13" xfId="0" applyBorder="1" applyAlignment="1">
      <alignment wrapText="1"/>
    </xf>
    <xf numFmtId="166" fontId="0" fillId="0" borderId="26" xfId="0" applyNumberFormat="1" applyBorder="1" applyAlignment="1">
      <alignment horizontal="left" wrapText="1"/>
    </xf>
    <xf numFmtId="166" fontId="0" fillId="0" borderId="27" xfId="0" applyNumberFormat="1" applyBorder="1" applyAlignment="1">
      <alignment horizontal="left" wrapText="1"/>
    </xf>
    <xf numFmtId="166" fontId="0" fillId="0" borderId="28" xfId="0" applyNumberFormat="1" applyBorder="1" applyAlignment="1">
      <alignment horizontal="left" wrapText="1"/>
    </xf>
    <xf numFmtId="0" fontId="17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17" fillId="0" borderId="0" xfId="0" applyFont="1" applyAlignment="1">
      <alignment horizontal="right" vertical="center"/>
    </xf>
    <xf numFmtId="0" fontId="0" fillId="47" borderId="0" xfId="0" applyFill="1" applyAlignment="1">
      <alignment horizontal="center" vertical="center" wrapText="1"/>
    </xf>
    <xf numFmtId="0" fontId="18" fillId="0" borderId="19" xfId="0" applyFont="1" applyBorder="1" applyAlignment="1">
      <alignment horizontal="center" vertical="center" wrapText="1"/>
    </xf>
    <xf numFmtId="0" fontId="18" fillId="0" borderId="19" xfId="0" applyFont="1" applyBorder="1"/>
    <xf numFmtId="0" fontId="35" fillId="0" borderId="19" xfId="0" applyFont="1" applyBorder="1" applyAlignment="1">
      <alignment horizontal="left" vertical="center"/>
    </xf>
    <xf numFmtId="0" fontId="18" fillId="0" borderId="19" xfId="0" applyFont="1" applyBorder="1" applyAlignment="1">
      <alignment horizontal="left"/>
    </xf>
    <xf numFmtId="0" fontId="18" fillId="0" borderId="19" xfId="0" applyFont="1" applyBorder="1" applyAlignment="1">
      <alignment horizontal="right" vertical="center"/>
    </xf>
    <xf numFmtId="0" fontId="18" fillId="0" borderId="20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5" xfId="0" applyFont="1" applyBorder="1" applyAlignment="1">
      <alignment horizontal="left" vertical="center"/>
    </xf>
    <xf numFmtId="0" fontId="18" fillId="0" borderId="17" xfId="0" applyFont="1" applyBorder="1" applyAlignment="1">
      <alignment horizontal="left" vertical="center"/>
    </xf>
    <xf numFmtId="0" fontId="18" fillId="0" borderId="21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0" borderId="18" xfId="0" applyFont="1" applyBorder="1" applyAlignment="1">
      <alignment horizontal="left"/>
    </xf>
    <xf numFmtId="0" fontId="18" fillId="0" borderId="14" xfId="0" applyFont="1" applyBorder="1" applyAlignment="1">
      <alignment horizontal="left"/>
    </xf>
    <xf numFmtId="0" fontId="18" fillId="0" borderId="14" xfId="0" applyFont="1" applyBorder="1" applyAlignment="1">
      <alignment horizontal="left" vertical="center"/>
    </xf>
    <xf numFmtId="0" fontId="38" fillId="0" borderId="0" xfId="0" applyFont="1" applyAlignment="1">
      <alignment vertical="center" wrapText="1"/>
    </xf>
    <xf numFmtId="0" fontId="42" fillId="43" borderId="0" xfId="0" applyFont="1" applyFill="1" applyAlignment="1">
      <alignment horizontal="center" vertical="center" wrapText="1"/>
    </xf>
    <xf numFmtId="0" fontId="16" fillId="46" borderId="27" xfId="0" applyFont="1" applyFill="1" applyBorder="1" applyAlignment="1">
      <alignment horizontal="left" vertical="center"/>
    </xf>
    <xf numFmtId="0" fontId="21" fillId="56" borderId="0" xfId="0" applyFont="1" applyFill="1"/>
    <xf numFmtId="0" fontId="0" fillId="56" borderId="0" xfId="0" applyFill="1"/>
    <xf numFmtId="0" fontId="21" fillId="57" borderId="0" xfId="0" applyFont="1" applyFill="1"/>
    <xf numFmtId="0" fontId="0" fillId="57" borderId="0" xfId="0" applyFill="1"/>
    <xf numFmtId="0" fontId="45" fillId="55" borderId="0" xfId="0" applyFont="1" applyFill="1" applyAlignment="1">
      <alignment vertical="center"/>
    </xf>
    <xf numFmtId="1" fontId="21" fillId="37" borderId="11" xfId="0" applyNumberFormat="1" applyFont="1" applyFill="1" applyBorder="1" applyAlignment="1">
      <alignment horizontal="center" vertical="center"/>
    </xf>
    <xf numFmtId="1" fontId="41" fillId="42" borderId="0" xfId="0" applyNumberFormat="1" applyFont="1" applyFill="1" applyAlignment="1">
      <alignment horizontal="center" vertical="center"/>
    </xf>
    <xf numFmtId="1" fontId="47" fillId="42" borderId="0" xfId="0" applyNumberFormat="1" applyFont="1" applyFill="1" applyAlignment="1">
      <alignment horizontal="center" vertical="center"/>
    </xf>
    <xf numFmtId="1" fontId="20" fillId="0" borderId="0" xfId="0" applyNumberFormat="1" applyFont="1" applyAlignment="1">
      <alignment horizontal="center" vertical="center" wrapText="1"/>
    </xf>
    <xf numFmtId="1" fontId="20" fillId="0" borderId="0" xfId="0" applyNumberFormat="1" applyFont="1" applyAlignment="1">
      <alignment horizontal="center" vertical="center"/>
    </xf>
    <xf numFmtId="0" fontId="49" fillId="55" borderId="0" xfId="0" applyFont="1" applyFill="1" applyAlignment="1">
      <alignment vertical="center"/>
    </xf>
    <xf numFmtId="167" fontId="0" fillId="0" borderId="0" xfId="0" applyNumberFormat="1" applyAlignment="1">
      <alignment horizontal="center" vertical="center" wrapText="1"/>
    </xf>
    <xf numFmtId="9" fontId="23" fillId="0" borderId="0" xfId="0" applyNumberFormat="1" applyFont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1" fontId="23" fillId="58" borderId="0" xfId="0" applyNumberFormat="1" applyFont="1" applyFill="1" applyAlignment="1">
      <alignment horizontal="center" vertical="center"/>
    </xf>
    <xf numFmtId="167" fontId="0" fillId="58" borderId="0" xfId="0" quotePrefix="1" applyNumberFormat="1" applyFill="1" applyAlignment="1">
      <alignment horizontal="center" vertical="center"/>
    </xf>
    <xf numFmtId="49" fontId="0" fillId="0" borderId="0" xfId="0" applyNumberFormat="1"/>
    <xf numFmtId="1" fontId="0" fillId="0" borderId="0" xfId="0" applyNumberFormat="1"/>
    <xf numFmtId="0" fontId="50" fillId="55" borderId="0" xfId="0" applyFont="1" applyFill="1" applyAlignment="1">
      <alignment vertical="center"/>
    </xf>
    <xf numFmtId="166" fontId="18" fillId="59" borderId="0" xfId="0" applyNumberFormat="1" applyFont="1" applyFill="1" applyAlignment="1">
      <alignment horizontal="center" vertical="center" wrapText="1"/>
    </xf>
    <xf numFmtId="0" fontId="0" fillId="59" borderId="12" xfId="0" applyFill="1" applyBorder="1" applyAlignment="1">
      <alignment horizontal="center" vertical="center" wrapText="1"/>
    </xf>
    <xf numFmtId="0" fontId="0" fillId="37" borderId="0" xfId="0" applyFill="1" applyAlignment="1">
      <alignment horizontal="left" vertical="top" wrapText="1"/>
    </xf>
    <xf numFmtId="0" fontId="22" fillId="36" borderId="0" xfId="0" applyFont="1" applyFill="1" applyAlignment="1">
      <alignment horizontal="left" vertical="center" wrapText="1"/>
    </xf>
    <xf numFmtId="0" fontId="48" fillId="55" borderId="0" xfId="0" applyFont="1" applyFill="1" applyAlignment="1">
      <alignment horizontal="right" vertical="center" wrapText="1"/>
    </xf>
    <xf numFmtId="0" fontId="49" fillId="55" borderId="0" xfId="0" applyFont="1" applyFill="1" applyAlignment="1">
      <alignment horizontal="center" vertical="center"/>
    </xf>
    <xf numFmtId="0" fontId="18" fillId="0" borderId="19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</cellXfs>
  <cellStyles count="4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IsoFontti" xfId="43" xr:uid="{55F495A5-9EAD-48A8-B241-3DF72940DFBE}"/>
    <cellStyle name="Linked Cell" xfId="12" builtinId="24" customBuiltin="1"/>
    <cellStyle name="Neutral" xfId="8" builtinId="28" customBuiltin="1"/>
    <cellStyle name="Normaali 2" xfId="44" xr:uid="{61E9D2C7-6CC1-4CF5-AA49-76EE8AD6F21C}"/>
    <cellStyle name="Normaali 3" xfId="45" xr:uid="{AF4F2FA7-9EBC-4602-99EE-B06A6A33A1EB}"/>
    <cellStyle name="Normaali 4" xfId="46" xr:uid="{BAC8753B-1773-4D3A-872E-5A32F91AA5CA}"/>
    <cellStyle name="Normal" xfId="0" builtinId="0"/>
    <cellStyle name="Normal 2" xfId="42" xr:uid="{6803BE8C-621E-4A2A-BB68-72DCEB9CABA7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81">
    <dxf>
      <fill>
        <patternFill>
          <bgColor theme="7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F5D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933FF"/>
        </patternFill>
      </fill>
    </dxf>
    <dxf>
      <fill>
        <patternFill>
          <bgColor rgb="FF9933FF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numFmt numFmtId="166" formatCode="d\.m\.;@"/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</dxf>
    <dxf>
      <fill>
        <patternFill patternType="gray0625">
          <fgColor rgb="FFFA6060"/>
          <bgColor indexed="65"/>
        </patternFill>
      </fill>
    </dxf>
    <dxf>
      <fill>
        <patternFill patternType="gray0625">
          <fgColor rgb="FFFA6060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gray0625">
          <fgColor rgb="FFFA6060"/>
          <bgColor indexed="65"/>
        </patternFill>
      </fill>
    </dxf>
    <dxf>
      <fill>
        <patternFill patternType="gray0625">
          <fgColor rgb="FFFA6060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gray0625">
          <fgColor rgb="FFFA6060"/>
          <bgColor indexed="65"/>
        </patternFill>
      </fill>
    </dxf>
    <dxf>
      <fill>
        <patternFill patternType="gray0625">
          <fgColor rgb="FFFA6060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165" formatCode="hh:mm;@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4" formatCode="h:mm;@"/>
      <alignment horizontal="center" vertical="center" textRotation="0" wrapText="0" indent="0" justifyLastLine="0" shrinkToFit="0" readingOrder="0"/>
    </dxf>
    <dxf>
      <numFmt numFmtId="164" formatCode="h:mm;@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hh:mm;@"/>
    </dxf>
  </dxfs>
  <tableStyles count="0" defaultTableStyle="TableStyleMedium2" defaultPivotStyle="PivotStyleLight16"/>
  <colors>
    <mruColors>
      <color rgb="FFFA6060"/>
      <color rgb="FF3B3BFF"/>
      <color rgb="FF113FB3"/>
      <color rgb="FFFFF5D9"/>
      <color rgb="FFFFB7DB"/>
      <color rgb="FFFF6969"/>
      <color rgb="FFCC99FF"/>
      <color rgb="FFFF99CC"/>
      <color rgb="FFFFA3A3"/>
      <color rgb="FFFFFF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https://teams.microsoft.com/l/entity/0d820ecd-def2-4297-adad-78056cde7c78/_djb2_msteams_prefix_2619569719?context=%7B%22subEntityId%22%3Anull%2C%22channelId%22%3A%2219%3A7cf6a773fc714c48a0c1a4ad8bd7ef2c%40thread.tacv2%22%7D&amp;groupId=8dfd6b4b-c63b-4f43-a722-9c7ae125ee69&amp;tenantId=fc34d05c-a2f2-4ac2-89c5-b44f3a9f451c&amp;allowXTenantAccess=false" TargetMode="Externa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609971</xdr:colOff>
      <xdr:row>2</xdr:row>
      <xdr:rowOff>46128</xdr:rowOff>
    </xdr:from>
    <xdr:to>
      <xdr:col>5</xdr:col>
      <xdr:colOff>97098</xdr:colOff>
      <xdr:row>9</xdr:row>
      <xdr:rowOff>0</xdr:rowOff>
    </xdr:to>
    <xdr:pic>
      <xdr:nvPicPr>
        <xdr:cNvPr id="3" name="Kuv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8920"/>
        <a:stretch/>
      </xdr:blipFill>
      <xdr:spPr>
        <a:xfrm>
          <a:off x="609971" y="512853"/>
          <a:ext cx="2494306" cy="3049497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6</xdr:col>
      <xdr:colOff>239486</xdr:colOff>
      <xdr:row>1</xdr:row>
      <xdr:rowOff>10886</xdr:rowOff>
    </xdr:from>
    <xdr:to>
      <xdr:col>15</xdr:col>
      <xdr:colOff>370974</xdr:colOff>
      <xdr:row>8</xdr:row>
      <xdr:rowOff>57598</xdr:rowOff>
    </xdr:to>
    <xdr:sp macro="" textlink="">
      <xdr:nvSpPr>
        <xdr:cNvPr id="5" name="Ajatuskupla: Pilvi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554186" y="612866"/>
          <a:ext cx="5335948" cy="2995652"/>
        </a:xfrm>
        <a:prstGeom prst="cloudCallout">
          <a:avLst>
            <a:gd name="adj1" fmla="val -71256"/>
            <a:gd name="adj2" fmla="val -20640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14</xdr:col>
      <xdr:colOff>289113</xdr:colOff>
      <xdr:row>9</xdr:row>
      <xdr:rowOff>0</xdr:rowOff>
    </xdr:from>
    <xdr:to>
      <xdr:col>16</xdr:col>
      <xdr:colOff>510989</xdr:colOff>
      <xdr:row>19</xdr:row>
      <xdr:rowOff>950259</xdr:rowOff>
    </xdr:to>
    <xdr:sp macro="[0]!siirra_jakso" textlink="">
      <xdr:nvSpPr>
        <xdr:cNvPr id="7" name="Rectangle 4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554572" y="3442447"/>
          <a:ext cx="1441076" cy="950259"/>
        </a:xfrm>
        <a:prstGeom prst="rect">
          <a:avLst/>
        </a:prstGeom>
        <a:gradFill flip="none" rotWithShape="1">
          <a:gsLst>
            <a:gs pos="2000">
              <a:schemeClr val="accent6">
                <a:lumMod val="75000"/>
              </a:schemeClr>
            </a:gs>
            <a:gs pos="96000">
              <a:srgbClr val="00B050"/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OK</a:t>
          </a:r>
        </a:p>
      </xdr:txBody>
    </xdr:sp>
    <xdr:clientData/>
  </xdr:twoCellAnchor>
  <xdr:twoCellAnchor>
    <xdr:from>
      <xdr:col>14</xdr:col>
      <xdr:colOff>259976</xdr:colOff>
      <xdr:row>20</xdr:row>
      <xdr:rowOff>499075</xdr:rowOff>
    </xdr:from>
    <xdr:to>
      <xdr:col>16</xdr:col>
      <xdr:colOff>481852</xdr:colOff>
      <xdr:row>20</xdr:row>
      <xdr:rowOff>938345</xdr:rowOff>
    </xdr:to>
    <xdr:sp macro="[0]!kopsuri" textlink="">
      <xdr:nvSpPr>
        <xdr:cNvPr id="2" name="Rectangle 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90792" y="5361838"/>
          <a:ext cx="1445086" cy="439270"/>
        </a:xfrm>
        <a:prstGeom prst="rect">
          <a:avLst/>
        </a:prstGeom>
        <a:gradFill flip="none" rotWithShape="1">
          <a:gsLst>
            <a:gs pos="2000">
              <a:schemeClr val="bg2">
                <a:lumMod val="25000"/>
              </a:schemeClr>
            </a:gs>
            <a:gs pos="96000">
              <a:schemeClr val="bg2">
                <a:lumMod val="50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LUO</a:t>
          </a:r>
        </a:p>
      </xdr:txBody>
    </xdr:sp>
    <xdr:clientData/>
  </xdr:twoCellAnchor>
  <xdr:twoCellAnchor>
    <xdr:from>
      <xdr:col>13</xdr:col>
      <xdr:colOff>555458</xdr:colOff>
      <xdr:row>21</xdr:row>
      <xdr:rowOff>172553</xdr:rowOff>
    </xdr:from>
    <xdr:to>
      <xdr:col>14</xdr:col>
      <xdr:colOff>483870</xdr:colOff>
      <xdr:row>21</xdr:row>
      <xdr:rowOff>1196340</xdr:rowOff>
    </xdr:to>
    <xdr:sp macro="[0]!impor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03683" y="6287603"/>
          <a:ext cx="2995462" cy="1023787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Korvaa ohjelman tiedot varmuuskopiosta löytyvillä tiedoilla</a:t>
          </a:r>
        </a:p>
      </xdr:txBody>
    </xdr:sp>
    <xdr:clientData/>
  </xdr:twoCellAnchor>
  <xdr:twoCellAnchor>
    <xdr:from>
      <xdr:col>3</xdr:col>
      <xdr:colOff>460510</xdr:colOff>
      <xdr:row>21</xdr:row>
      <xdr:rowOff>172051</xdr:rowOff>
    </xdr:from>
    <xdr:to>
      <xdr:col>13</xdr:col>
      <xdr:colOff>86192</xdr:colOff>
      <xdr:row>21</xdr:row>
      <xdr:rowOff>1188765</xdr:rowOff>
    </xdr:to>
    <xdr:sp macro="[0]!expor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946410" y="6287101"/>
          <a:ext cx="2988007" cy="1016714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Varmuuskopioi tiedot</a:t>
          </a:r>
        </a:p>
        <a:p>
          <a:pPr algn="ctr"/>
          <a:r>
            <a:rPr lang="en-US" sz="1800"/>
            <a:t>data-tiedostoon</a:t>
          </a:r>
        </a:p>
      </xdr:txBody>
    </xdr:sp>
    <xdr:clientData/>
  </xdr:twoCellAnchor>
  <xdr:twoCellAnchor>
    <xdr:from>
      <xdr:col>13</xdr:col>
      <xdr:colOff>1418824</xdr:colOff>
      <xdr:row>0</xdr:row>
      <xdr:rowOff>79810</xdr:rowOff>
    </xdr:from>
    <xdr:to>
      <xdr:col>13</xdr:col>
      <xdr:colOff>2863910</xdr:colOff>
      <xdr:row>0</xdr:row>
      <xdr:rowOff>524795</xdr:rowOff>
    </xdr:to>
    <xdr:sp macro="[0]!OpenUrl" textlink="">
      <xdr:nvSpPr>
        <xdr:cNvPr id="10" name="Rectangle 4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267049" y="79810"/>
          <a:ext cx="1445086" cy="444985"/>
        </a:xfrm>
        <a:prstGeom prst="rect">
          <a:avLst/>
        </a:prstGeom>
        <a:gradFill flip="none" rotWithShape="1">
          <a:gsLst>
            <a:gs pos="2000">
              <a:schemeClr val="bg2">
                <a:lumMod val="25000"/>
              </a:schemeClr>
            </a:gs>
            <a:gs pos="96000">
              <a:schemeClr val="bg2">
                <a:lumMod val="50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Ohje</a:t>
          </a:r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1</xdr:col>
      <xdr:colOff>549254</xdr:colOff>
      <xdr:row>1</xdr:row>
      <xdr:rowOff>0</xdr:rowOff>
    </xdr:to>
    <xdr:pic>
      <xdr:nvPicPr>
        <xdr:cNvPr id="4" name="Kuva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810238" cy="6000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146</xdr:row>
      <xdr:rowOff>0</xdr:rowOff>
    </xdr:from>
    <xdr:to>
      <xdr:col>13</xdr:col>
      <xdr:colOff>963706</xdr:colOff>
      <xdr:row>154</xdr:row>
      <xdr:rowOff>168089</xdr:rowOff>
    </xdr:to>
    <xdr:sp macro="[0]!Helper.Poista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073088" y="32239324"/>
          <a:ext cx="3686736" cy="1692089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Poista</a:t>
          </a:r>
          <a:r>
            <a:rPr lang="en-US" sz="2800" baseline="0"/>
            <a:t> kaikki data</a:t>
          </a:r>
          <a:br>
            <a:rPr lang="en-US" sz="2800" baseline="0"/>
          </a:br>
          <a:r>
            <a:rPr lang="en-US" sz="2800" baseline="0"/>
            <a:t>(Älä paina </a:t>
          </a:r>
          <a:r>
            <a:rPr lang="fi-FI" sz="2800" baseline="0"/>
            <a:t>😁)</a:t>
          </a:r>
          <a:endParaRPr lang="en-US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130988</xdr:colOff>
      <xdr:row>1</xdr:row>
      <xdr:rowOff>0</xdr:rowOff>
    </xdr:to>
    <xdr:pic>
      <xdr:nvPicPr>
        <xdr:cNvPr id="2" name="Kuv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814882" cy="6000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817061</xdr:colOff>
      <xdr:row>1</xdr:row>
      <xdr:rowOff>0</xdr:rowOff>
    </xdr:to>
    <xdr:pic>
      <xdr:nvPicPr>
        <xdr:cNvPr id="4" name="Kuva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7061" cy="6019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</xdr:colOff>
      <xdr:row>0</xdr:row>
      <xdr:rowOff>591125</xdr:rowOff>
    </xdr:to>
    <xdr:pic>
      <xdr:nvPicPr>
        <xdr:cNvPr id="7" name="Kuva 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781050" cy="58731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778867</xdr:colOff>
      <xdr:row>0</xdr:row>
      <xdr:rowOff>586740</xdr:rowOff>
    </xdr:to>
    <xdr:pic>
      <xdr:nvPicPr>
        <xdr:cNvPr id="3" name="Kuva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8867" cy="5810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156883</xdr:colOff>
      <xdr:row>0</xdr:row>
      <xdr:rowOff>67235</xdr:rowOff>
    </xdr:from>
    <xdr:to>
      <xdr:col>1</xdr:col>
      <xdr:colOff>1469618</xdr:colOff>
      <xdr:row>1</xdr:row>
      <xdr:rowOff>93343</xdr:rowOff>
    </xdr:to>
    <xdr:pic>
      <xdr:nvPicPr>
        <xdr:cNvPr id="3" name="Kuva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3589" y="67235"/>
          <a:ext cx="1312735" cy="1583726"/>
        </a:xfrm>
        <a:prstGeom prst="rect">
          <a:avLst/>
        </a:prstGeom>
      </xdr:spPr>
    </xdr:pic>
    <xdr:clientData/>
  </xdr:twoCellAnchor>
  <xdr:twoCellAnchor>
    <xdr:from>
      <xdr:col>2</xdr:col>
      <xdr:colOff>261396</xdr:colOff>
      <xdr:row>0</xdr:row>
      <xdr:rowOff>78445</xdr:rowOff>
    </xdr:from>
    <xdr:to>
      <xdr:col>17</xdr:col>
      <xdr:colOff>154943</xdr:colOff>
      <xdr:row>0</xdr:row>
      <xdr:rowOff>1479179</xdr:rowOff>
    </xdr:to>
    <xdr:sp macro="" textlink="">
      <xdr:nvSpPr>
        <xdr:cNvPr id="2" name="Puhekupla: Suorakulmi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rot="5400000">
          <a:off x="5749184" y="-3303817"/>
          <a:ext cx="1400734" cy="8165258"/>
        </a:xfrm>
        <a:prstGeom prst="wedgeRectCallou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2</xdr:col>
      <xdr:colOff>387129</xdr:colOff>
      <xdr:row>0</xdr:row>
      <xdr:rowOff>196104</xdr:rowOff>
    </xdr:from>
    <xdr:to>
      <xdr:col>17</xdr:col>
      <xdr:colOff>9265</xdr:colOff>
      <xdr:row>0</xdr:row>
      <xdr:rowOff>1438358</xdr:rowOff>
    </xdr:to>
    <xdr:sp macro="" textlink="">
      <xdr:nvSpPr>
        <xdr:cNvPr id="4" name="Tekstiruutu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2437805" y="196104"/>
          <a:ext cx="7690372" cy="12422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i-FI" sz="1400">
              <a:latin typeface="Comic Sans MS" panose="030F0702030302020204" pitchFamily="66" charset="0"/>
            </a:rPr>
            <a:t>Tällä</a:t>
          </a:r>
          <a:r>
            <a:rPr lang="fi-FI" sz="1400" baseline="0">
              <a:latin typeface="Comic Sans MS" panose="030F0702030302020204" pitchFamily="66" charset="0"/>
            </a:rPr>
            <a:t> välilehdellä voi kokeilla erilaisia kiertolistoja. Vaihda harmaalla taustalla olevan koodin kohdalle haluamasi kiertolista, niin näet koko 3 viikon vuorot ja vastuutehtävät. Voit vaihtaa myös yksittäisen vuoron koodin, mutta muista ajoittain nollata hiekkalaatikko nappulasta, jotta kaikki funktiot toimivat.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476250</xdr:colOff>
          <xdr:row>0</xdr:row>
          <xdr:rowOff>247650</xdr:rowOff>
        </xdr:from>
        <xdr:to>
          <xdr:col>21</xdr:col>
          <xdr:colOff>438150</xdr:colOff>
          <xdr:row>0</xdr:row>
          <xdr:rowOff>819150</xdr:rowOff>
        </xdr:to>
        <xdr:sp macro="" textlink="">
          <xdr:nvSpPr>
            <xdr:cNvPr id="144385" name="Button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9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Valitse kiertopohjat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485775</xdr:colOff>
          <xdr:row>0</xdr:row>
          <xdr:rowOff>895350</xdr:rowOff>
        </xdr:from>
        <xdr:to>
          <xdr:col>21</xdr:col>
          <xdr:colOff>447675</xdr:colOff>
          <xdr:row>0</xdr:row>
          <xdr:rowOff>1457325</xdr:rowOff>
        </xdr:to>
        <xdr:sp macro="" textlink="">
          <xdr:nvSpPr>
            <xdr:cNvPr id="144387" name="Button 3" hidden="1">
              <a:extLst>
                <a:ext uri="{63B3BB69-23CF-44E3-9099-C40C66FF867C}">
                  <a14:compatExt spid="_x0000_s144387"/>
                </a:ext>
                <a:ext uri="{FF2B5EF4-FFF2-40B4-BE49-F238E27FC236}">
                  <a16:creationId xmlns:a16="http://schemas.microsoft.com/office/drawing/2014/main" id="{00000000-0008-0000-0900-00000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Nollaa Hiekkalaatikko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0</xdr:row>
          <xdr:rowOff>57150</xdr:rowOff>
        </xdr:from>
        <xdr:to>
          <xdr:col>19</xdr:col>
          <xdr:colOff>495300</xdr:colOff>
          <xdr:row>1</xdr:row>
          <xdr:rowOff>180975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Vahvista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0</xdr:row>
          <xdr:rowOff>47625</xdr:rowOff>
        </xdr:from>
        <xdr:to>
          <xdr:col>21</xdr:col>
          <xdr:colOff>495300</xdr:colOff>
          <xdr:row>1</xdr:row>
          <xdr:rowOff>171450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Vuorokoodit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204439</xdr:colOff>
      <xdr:row>0</xdr:row>
      <xdr:rowOff>0</xdr:rowOff>
    </xdr:from>
    <xdr:to>
      <xdr:col>0</xdr:col>
      <xdr:colOff>1622635</xdr:colOff>
      <xdr:row>5</xdr:row>
      <xdr:rowOff>18585</xdr:rowOff>
    </xdr:to>
    <xdr:pic>
      <xdr:nvPicPr>
        <xdr:cNvPr id="2" name="Kuv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439" y="0"/>
          <a:ext cx="1423911" cy="9571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150612</xdr:colOff>
      <xdr:row>3</xdr:row>
      <xdr:rowOff>8787</xdr:rowOff>
    </xdr:from>
    <xdr:to>
      <xdr:col>39</xdr:col>
      <xdr:colOff>548993</xdr:colOff>
      <xdr:row>34</xdr:row>
      <xdr:rowOff>134819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13900230" y="815611"/>
          <a:ext cx="7648587" cy="6031532"/>
          <a:chOff x="13636780" y="2401131"/>
          <a:chExt cx="7654078" cy="5693674"/>
        </a:xfrm>
      </xdr:grpSpPr>
      <xdr:pic>
        <xdr:nvPicPr>
          <xdr:cNvPr id="2" name="Kuva 1">
            <a:extLst>
              <a:ext uri="{FF2B5EF4-FFF2-40B4-BE49-F238E27FC236}">
                <a16:creationId xmlns:a16="http://schemas.microsoft.com/office/drawing/2014/main" id="{00000000-0008-0000-0C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985489" y="3838434"/>
            <a:ext cx="3305369" cy="4256371"/>
          </a:xfrm>
          <a:prstGeom prst="rect">
            <a:avLst/>
          </a:prstGeom>
        </xdr:spPr>
      </xdr:pic>
      <xdr:sp macro="" textlink="">
        <xdr:nvSpPr>
          <xdr:cNvPr id="3" name="Ajatuskupla: Pilvi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13636780" y="2401131"/>
            <a:ext cx="4254701" cy="3100103"/>
          </a:xfrm>
          <a:prstGeom prst="cloudCallout">
            <a:avLst>
              <a:gd name="adj1" fmla="val 80103"/>
              <a:gd name="adj2" fmla="val 11818"/>
            </a:avLst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i-FI" sz="1100"/>
          </a:p>
        </xdr:txBody>
      </xdr:sp>
      <xdr:sp macro="" textlink="">
        <xdr:nvSpPr>
          <xdr:cNvPr id="5" name="Tekstiruutu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 txBox="1"/>
        </xdr:nvSpPr>
        <xdr:spPr>
          <a:xfrm>
            <a:off x="14276495" y="2855929"/>
            <a:ext cx="3005505" cy="23150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i-FI" sz="1500"/>
              <a:t>Koontilista on tämän työkalun sydän. Tältä sivulta tieto kulkeutuu muihin työkalun osioihin. </a:t>
            </a:r>
          </a:p>
          <a:p>
            <a:endParaRPr lang="fi-FI" sz="1500"/>
          </a:p>
          <a:p>
            <a:r>
              <a:rPr lang="fi-FI" sz="1500"/>
              <a:t>Tämä</a:t>
            </a:r>
            <a:r>
              <a:rPr lang="fi-FI" sz="1500" baseline="0"/>
              <a:t> sivu on nähtävillä vain ongelmien selvittelyä varten. Jos kaikki toimii hyvin, ei tällä sivulla tarvitse tehdä mitään.</a:t>
            </a:r>
            <a:endParaRPr lang="fi-FI" sz="15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DC0437-0697-4DEE-AF79-9BCD9FD88202}" name="tbl_r_vuorokoodit" displayName="tbl_r_vuorokoodit" ref="A3:F4" insertRow="1" totalsRowShown="0" headerRowDxfId="780" tableBorderDxfId="779">
  <autoFilter ref="A3:F4" xr:uid="{45DC0437-0697-4DEE-AF79-9BCD9FD88202}"/>
  <tableColumns count="6">
    <tableColumn id="1" xr3:uid="{40A6FEF9-8064-46BA-A823-E9069A7D761B}" name="Tunnus" dataDxfId="778"/>
    <tableColumn id="2" xr3:uid="{77772B68-3478-4B3D-81BC-D6F29969147F}" name="Alku" dataDxfId="777"/>
    <tableColumn id="3" xr3:uid="{DDAE63DB-8CB5-4154-8E9E-1BEE3B479609}" name="Loppu" dataDxfId="776"/>
    <tableColumn id="4" xr3:uid="{802BE179-C87D-4C0C-AC9A-A3D3FA7B12F3}" name="Kesto" dataDxfId="775"/>
    <tableColumn id="5" xr3:uid="{AE980418-03FB-4795-82D1-0C74106CF0B5}" name="Koko vuoro" dataDxfId="774"/>
    <tableColumn id="6" xr3:uid="{136EDAD2-19FC-4209-9680-4EA14F703567}" name="Tyyppi" dataDxfId="773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12EEB1-0150-4CAA-B45C-70F92F967C4A}" name="tbl_r_työntekijät" displayName="tbl_r_työntekijät" ref="A2:H3" insertRow="1" totalsRowShown="0">
  <autoFilter ref="A2:H3" xr:uid="{FB8E8B1F-D1B8-4A75-9946-49DAEF0598EC}"/>
  <tableColumns count="8">
    <tableColumn id="1" xr3:uid="{F41CE054-2011-45EA-9224-0DF6A6C46D97}" name="Kutsumanimi" dataDxfId="772"/>
    <tableColumn id="2" xr3:uid="{F43D1C9C-879E-4516-A743-85E59CC4FA86}" name="Koko nimi" dataDxfId="771"/>
    <tableColumn id="3" xr3:uid="{B422F4CC-A29F-459D-AE1C-CD5C64CAB16F}" name="Ryhmä" dataDxfId="770"/>
    <tableColumn id="4" xr3:uid="{0EF70C2D-6E03-4C00-BB47-04265DBB336D}" name="Vastuullinen" dataDxfId="769"/>
    <tableColumn id="5" xr3:uid="{6348E9D1-D56D-4211-AF19-38F1A8DE3023}" name="Nimike" dataDxfId="768"/>
    <tableColumn id="6" xr3:uid="{BC7EFCCC-E00B-487A-B41F-5BE2BB4C0BFA}" name="Kiertopohja" dataDxfId="767"/>
    <tableColumn id="7" xr3:uid="{2A99B076-DCBD-4B1F-8A3F-0C7C475FBEF3}" name="Prosentti" dataDxfId="766"/>
    <tableColumn id="8" xr3:uid="{EF5BA513-BD5B-4FA8-8B71-84E0A02706C2}" name="Aktiivinen" dataDxfId="7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91F5F9-4E56-4326-B91B-6DA4769E6C73}" name="tbl_r_kiertotunnus" displayName="tbl_r_kiertotunnus" ref="A2:W3" insertRow="1" totalsRowShown="0">
  <tableColumns count="23">
    <tableColumn id="1" xr3:uid="{1342BB4A-C5B0-4AFF-BDAD-00A56E3359A8}" name="Kiertolista"/>
    <tableColumn id="2" xr3:uid="{B3E7C0D0-BBBC-4AC1-BAB4-C542428FA73C}" name="Ma1" dataDxfId="764"/>
    <tableColumn id="3" xr3:uid="{9669DAE9-A17A-48BC-9FA6-E2BA2EC8EC96}" name="Ti1" dataDxfId="763"/>
    <tableColumn id="4" xr3:uid="{B94D8342-0EA2-4577-A50B-7153DAA110EE}" name="Ke1" dataDxfId="762"/>
    <tableColumn id="5" xr3:uid="{76AD8EC0-CEB1-4526-9E38-328DA37437A4}" name="To1" dataDxfId="761"/>
    <tableColumn id="6" xr3:uid="{DF2AEA0C-08EC-47B5-9284-E385908351D2}" name="Pe1" dataDxfId="760"/>
    <tableColumn id="7" xr3:uid="{EC916826-7ED4-4998-AB8E-0F8FCEAC62DE}" name="La1" dataDxfId="759"/>
    <tableColumn id="8" xr3:uid="{94540DFC-F408-43A8-83FC-7712BE9BDE22}" name="Su1" dataDxfId="758"/>
    <tableColumn id="9" xr3:uid="{F3371827-1BE6-4F53-A65D-5D336478148E}" name="Ma2" dataDxfId="757"/>
    <tableColumn id="10" xr3:uid="{A9F5DC80-9C2D-4532-A5A8-759829DB6593}" name="Ti2" dataDxfId="756"/>
    <tableColumn id="11" xr3:uid="{A6D4F94E-D06C-4D58-814E-A1A00379C916}" name="Ke4" dataDxfId="755"/>
    <tableColumn id="12" xr3:uid="{58FD96FF-7B14-437C-9F07-2B6F1B7E0CCB}" name="To5" dataDxfId="754"/>
    <tableColumn id="13" xr3:uid="{63EE92C2-D51A-4CD6-AFCE-79991633171A}" name="Pe6" dataDxfId="753"/>
    <tableColumn id="14" xr3:uid="{BEAC61F9-25FC-4233-8CAE-C0D4C08B7010}" name="La7" dataDxfId="752"/>
    <tableColumn id="15" xr3:uid="{2E252180-884E-48F9-B7F4-A3708650D068}" name="Su8" dataDxfId="751"/>
    <tableColumn id="16" xr3:uid="{13B9AF6B-254E-43D0-AFD9-6215E7CC5140}" name="Ma9" dataDxfId="750"/>
    <tableColumn id="17" xr3:uid="{E1031E3A-8337-4247-BC8A-5F269F7A26DA}" name="Ti10" dataDxfId="749"/>
    <tableColumn id="18" xr3:uid="{26762784-0554-4787-AAEE-DBCDE65E67CF}" name="Ke11" dataDxfId="748"/>
    <tableColumn id="19" xr3:uid="{CBA8D8A1-0020-4C1B-8FF5-3D0A8F31CD78}" name="To12" dataDxfId="747"/>
    <tableColumn id="20" xr3:uid="{15B79EF8-A295-4490-84F8-C97232E90D00}" name="Pe13" dataDxfId="746"/>
    <tableColumn id="21" xr3:uid="{E80B3314-4706-4200-B7BE-7088726C3C98}" name="La14" dataDxfId="745"/>
    <tableColumn id="22" xr3:uid="{9014A31E-32C6-4DB9-A787-63C4045C67A4}" name="Su15" dataDxfId="744"/>
    <tableColumn id="23" xr3:uid="{F6C3F4C6-2490-452E-9C3C-A8588D809D15}" name="Ryhmä" dataDxfId="743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C72548-97E7-44B7-91E0-C177122272CD}" name="tbl_r_liitokset" displayName="tbl_r_liitokset" ref="A2:C3" insertRow="1" totalsRowShown="0" headerRowDxfId="742">
  <autoFilter ref="A2:C3" xr:uid="{41C72548-97E7-44B7-91E0-C177122272CD}"/>
  <tableColumns count="3">
    <tableColumn id="1" xr3:uid="{6482CA45-D32C-4FDA-93B7-D6126BED1531}" name="Nimi" dataDxfId="741"/>
    <tableColumn id="2" xr3:uid="{5CFBADE7-DD4B-4048-AB5F-548165F761C4}" name="Ryhmät" dataDxfId="740"/>
    <tableColumn id="4" xr3:uid="{321EBDAF-1BA6-4B9D-A90F-6BEA82799718}" name="Poistettavat työntekijät" dataDxfId="7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505607-56E7-4A4B-B07E-C08FD676367B}" name="tbl_r_omakierto" displayName="tbl_r_omakierto" ref="A3:S4" insertRow="1" totalsRowShown="0" headerRowDxfId="738">
  <autoFilter ref="A3:S4" xr:uid="{23505607-56E7-4A4B-B07E-C08FD676367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4738DCD3-5A4E-4B74-8CB6-577FD403E8B4}" name="Jakso" dataDxfId="737"/>
    <tableColumn id="2" xr3:uid="{5BFF6E37-9778-405B-8D69-F72F0A8BAD0B}" name="1" dataDxfId="736"/>
    <tableColumn id="3" xr3:uid="{4BBD9BC3-2E1A-4A1F-BF60-09A3C8273624}" name="2" dataDxfId="735"/>
    <tableColumn id="4" xr3:uid="{54F3F693-F75B-4469-AB7C-F29E52DC7D30}" name="3" dataDxfId="734"/>
    <tableColumn id="5" xr3:uid="{6C0C706E-8DF7-4C7A-B819-D69268784202}" name="4" dataDxfId="733"/>
    <tableColumn id="6" xr3:uid="{F6CB5DFA-752D-4763-8776-079B916318A9}" name="5" dataDxfId="732"/>
    <tableColumn id="7" xr3:uid="{170BA851-560C-4A1F-A208-49B16D6A2C6E}" name="6" dataDxfId="731"/>
    <tableColumn id="8" xr3:uid="{E67F6363-0392-458A-BF28-B8FF9677AF5C}" name="7" dataDxfId="730"/>
    <tableColumn id="9" xr3:uid="{4A3CA013-3543-4A91-9A02-44458FDFDF41}" name="8" dataDxfId="729"/>
    <tableColumn id="10" xr3:uid="{FBEE6A5B-72FB-4E30-8F17-CD7AFE1AB9BB}" name="9" dataDxfId="728"/>
    <tableColumn id="11" xr3:uid="{71DD86C5-2EF6-4D24-BFDC-8AEE3170C078}" name="10" dataDxfId="727"/>
    <tableColumn id="12" xr3:uid="{9A715194-6F2B-4A5D-8665-56281EB2501D}" name="11" dataDxfId="726"/>
    <tableColumn id="13" xr3:uid="{17E0C9FA-0F0D-4A55-B5E1-8C0782B6A4D3}" name="12" dataDxfId="725"/>
    <tableColumn id="14" xr3:uid="{76C3272A-492A-42C0-9BB5-24DA9925373F}" name="13" dataDxfId="724"/>
    <tableColumn id="15" xr3:uid="{61E2F5E3-792D-4343-8D45-8C408E05DA5F}" name="14" dataDxfId="723"/>
    <tableColumn id="16" xr3:uid="{0F2DD7C8-1F4F-4477-8BCF-6A0F6463D7CC}" name="15" dataDxfId="722"/>
    <tableColumn id="17" xr3:uid="{54C5D8BC-A790-41E6-9852-F62CCDE6E287}" name="16" dataDxfId="721"/>
    <tableColumn id="18" xr3:uid="{4132E9A9-01E6-4439-919C-5E34D4C822A7}" name="17" dataDxfId="720"/>
    <tableColumn id="19" xr3:uid="{13BD3308-F757-412E-9F5B-680014E95231}" name="18" dataDxfId="7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2352D4-16AD-4D4E-9DB8-7E12442FCB17}" name="tbl_r_tehtavat" displayName="tbl_r_tehtavat" ref="A1:V2" insertRow="1" totalsRowShown="0" headerRowDxfId="718" dataDxfId="716" headerRowBorderDxfId="717" tableBorderDxfId="715">
  <tableColumns count="22">
    <tableColumn id="1" xr3:uid="{44CFB60A-944F-4B94-9D27-05F8D4B86B07}" name="Kiertolista" dataDxfId="714"/>
    <tableColumn id="2" xr3:uid="{2743F309-9336-4928-BB6D-754338D8B30B}" name="Ma" dataDxfId="713"/>
    <tableColumn id="3" xr3:uid="{A3A50E7B-07F4-4976-A200-529F63766FAA}" name="Ti" dataDxfId="712"/>
    <tableColumn id="4" xr3:uid="{6E86C4F4-450E-45AB-9ED5-6A79F3BE9603}" name="Ke" dataDxfId="711"/>
    <tableColumn id="5" xr3:uid="{982BA136-3DAB-4F6F-826D-E832099C5904}" name="To" dataDxfId="710"/>
    <tableColumn id="6" xr3:uid="{8776203F-C015-4E10-B708-9631A6F7E558}" name="Pe" dataDxfId="709"/>
    <tableColumn id="7" xr3:uid="{7676F155-C3FD-4BBD-8AA3-AE882B9CC5E3}" name="La" dataDxfId="708"/>
    <tableColumn id="8" xr3:uid="{74B14317-6E4F-4A9E-A714-0893AF77BA68}" name="Su" dataDxfId="707"/>
    <tableColumn id="9" xr3:uid="{7CF7DC76-E153-487E-A7E0-1D64E61A6AA2}" name="Ma2" dataDxfId="706"/>
    <tableColumn id="10" xr3:uid="{DDC8BD73-E19B-4D16-AA05-FF40D22C84B3}" name="Ti3" dataDxfId="705"/>
    <tableColumn id="11" xr3:uid="{4F428424-580C-4C80-A335-E71F41B68CD8}" name="Ke4" dataDxfId="704"/>
    <tableColumn id="12" xr3:uid="{F73F10AC-7DE3-4E75-9200-B993B428C5CE}" name="To5" dataDxfId="703"/>
    <tableColumn id="13" xr3:uid="{414CC20B-1105-4F95-99DD-1220B19065BD}" name="Pe6" dataDxfId="702"/>
    <tableColumn id="14" xr3:uid="{E6F4BF15-7574-455C-994B-1081EADE9579}" name="La7" dataDxfId="701"/>
    <tableColumn id="15" xr3:uid="{5A7559D3-3772-47E7-B73F-C06BE51230BE}" name="Su8" dataDxfId="700"/>
    <tableColumn id="16" xr3:uid="{5DD81928-5A89-4F65-ABFC-6B1B62B11569}" name="Ma9" dataDxfId="699"/>
    <tableColumn id="17" xr3:uid="{779DE72C-0F4A-4ABC-9566-E0251685DF02}" name="Ti10" dataDxfId="698"/>
    <tableColumn id="18" xr3:uid="{691E629F-6739-4614-9C32-716DFFFCAA7A}" name="Ke11" dataDxfId="697"/>
    <tableColumn id="19" xr3:uid="{78045829-92F2-4678-A8D7-8A897166E47D}" name="To12" dataDxfId="696"/>
    <tableColumn id="20" xr3:uid="{C689B391-A483-4D8C-8A4C-BC74F47AB3F9}" name="Pe13" dataDxfId="695"/>
    <tableColumn id="21" xr3:uid="{A13E6353-9812-478D-8162-B4E106473F19}" name="La14" dataDxfId="694"/>
    <tableColumn id="22" xr3:uid="{DD437DD1-B094-4FE2-B89A-35817FC095BC}" name="Su15" dataDxfId="69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A98D21-CBF8-4D2E-A0CF-C7B112A61C98}" name="tbl_r_ryhmäasetukset" displayName="tbl_r_ryhmäasetukset" ref="A1:B15" totalsRowShown="0">
  <autoFilter ref="A1:B15" xr:uid="{0FA98D21-CBF8-4D2E-A0CF-C7B112A61C98}"/>
  <tableColumns count="2">
    <tableColumn id="1" xr3:uid="{F0F5CE70-0C18-43DD-806B-73417760F089}" name="Nimi"/>
    <tableColumn id="2" xr3:uid="{69F7091E-DC05-4267-ACC8-F99D5FA71870}" name="Väri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7849E50-7A68-40B6-A05C-B5C625A6E74B}" name="tbl_r_koontilista" displayName="tbl_r_koontilista" ref="A1:AA2" insertRow="1" totalsRowShown="0" headerRowDxfId="692" dataDxfId="691">
  <autoFilter ref="A1:AA2" xr:uid="{F7849E50-7A68-40B6-A05C-B5C625A6E74B}"/>
  <tableColumns count="27">
    <tableColumn id="1" xr3:uid="{4B55FED2-DD4A-4CC6-92F9-52503F8AE7C7}" name="                              Työntekijä                  " dataDxfId="690"/>
    <tableColumn id="2" xr3:uid="{F1704CDE-D712-41E3-9CF8-C1CD7636349E}" name=" ma                      " dataDxfId="689"/>
    <tableColumn id="3" xr3:uid="{1EF31794-3D56-465A-8EC2-C03BB3CB01F4}" name=" ti                      " dataDxfId="688"/>
    <tableColumn id="4" xr3:uid="{A4679C6B-3192-4620-8CD4-B843249C26A9}" name=" ke                      " dataDxfId="687"/>
    <tableColumn id="5" xr3:uid="{818C5E90-07B0-46C2-AA29-3D1B0646FC9E}" name=" to                      " dataDxfId="686"/>
    <tableColumn id="6" xr3:uid="{7E30EB49-82D3-4369-AABE-05DA3C9AEFBB}" name=" pe                      " dataDxfId="685"/>
    <tableColumn id="7" xr3:uid="{7900D987-2EC9-4044-A6CA-CB73A3C66168}" name=" la                      " dataDxfId="684"/>
    <tableColumn id="8" xr3:uid="{F1850C1F-3483-49DC-8B6F-3C9413CBB084}" name=" SU                      " dataDxfId="683"/>
    <tableColumn id="9" xr3:uid="{C05C12F4-12F2-4F80-A44D-3F2A5DE28743}" name=" ma                      2" dataDxfId="682"/>
    <tableColumn id="10" xr3:uid="{5E40F2D3-BEC7-4687-8C10-03E2AB72E239}" name=" ti                      3" dataDxfId="681"/>
    <tableColumn id="11" xr3:uid="{1CD6F90D-E1D8-439D-A90C-A49877F20D5C}" name=" ke                      4" dataDxfId="680"/>
    <tableColumn id="12" xr3:uid="{59829694-1ED4-4AD9-96F2-E8617B0E09EC}" name=" to                      5" dataDxfId="679"/>
    <tableColumn id="13" xr3:uid="{139F1DB8-F9FE-49DF-B3B1-C4CC783E28DB}" name=" pe                      6" dataDxfId="678"/>
    <tableColumn id="14" xr3:uid="{1C0A4686-6058-4662-A948-236BFB538686}" name=" la                      7" dataDxfId="677"/>
    <tableColumn id="15" xr3:uid="{E062078C-A3A5-4E0D-917A-8865470E87C2}" name=" SU                      8" dataDxfId="676"/>
    <tableColumn id="16" xr3:uid="{F16CA6FB-A0A4-4F5B-8A26-F54E89DB7F9C}" name=" ma                      9" dataDxfId="675"/>
    <tableColumn id="17" xr3:uid="{326E9EDE-27BB-4678-BDD2-D9405088FD07}" name=" ti                      10" dataDxfId="674"/>
    <tableColumn id="18" xr3:uid="{0C809DC5-22CE-4F5A-B0A4-0AA14DE41E46}" name=" ke                      11" dataDxfId="673"/>
    <tableColumn id="19" xr3:uid="{851F58A2-CDD4-41F7-B513-08D95E97A582}" name=" to                      12" dataDxfId="672"/>
    <tableColumn id="20" xr3:uid="{215F7555-C6B8-4EC9-B453-0C4E6D9C3FD4}" name=" pe                      13" dataDxfId="671"/>
    <tableColumn id="21" xr3:uid="{A11494E0-0FA7-4342-98AD-17813CE3987C}" name=" la                      14" dataDxfId="670"/>
    <tableColumn id="22" xr3:uid="{B10CF7B1-CF68-4114-A440-4048C8518B90}" name=" SU                      15" dataDxfId="669"/>
    <tableColumn id="23" xr3:uid="{73804CCD-7F0E-46C7-BB42-E86D79CA51D0}" name="Kiertolista" dataDxfId="668"/>
    <tableColumn id="24" xr3:uid="{C9991A77-802B-4FEC-8628-E3F740A5C9C6}" name="KL2" dataDxfId="667"/>
    <tableColumn id="25" xr3:uid="{39811DAE-F30D-44D2-A2D2-D66233AAAA9A}" name="KL3" dataDxfId="666"/>
    <tableColumn id="26" xr3:uid="{F249014B-68B7-45E6-9BB2-06429104F5BE}" name="KL4" dataDxfId="665"/>
    <tableColumn id="27" xr3:uid="{E95B7206-4E32-4875-8055-A9D4015CF413}" name="KL5" dataDxfId="664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9996F-9F2C-4B3E-8638-7005437C03FF}">
  <sheetPr codeName="Taul1">
    <tabColor theme="0" tint="-0.14999847407452621"/>
  </sheetPr>
  <dimension ref="A1:R35"/>
  <sheetViews>
    <sheetView showGridLines="0" tabSelected="1" zoomScale="85" zoomScaleNormal="85" workbookViewId="0">
      <selection activeCell="V21" sqref="V21"/>
    </sheetView>
  </sheetViews>
  <sheetFormatPr defaultRowHeight="15" x14ac:dyDescent="0.25"/>
  <cols>
    <col min="1" max="1" width="3.85546875" customWidth="1"/>
    <col min="9" max="9" width="4.5703125" customWidth="1"/>
    <col min="10" max="12" width="0" hidden="1" customWidth="1"/>
    <col min="13" max="13" width="7.5703125" hidden="1" customWidth="1"/>
    <col min="14" max="14" width="44.7109375" customWidth="1"/>
    <col min="18" max="18" width="21.5703125" customWidth="1"/>
  </cols>
  <sheetData>
    <row r="1" spans="1:18" s="125" customFormat="1" ht="47.45" customHeight="1" x14ac:dyDescent="0.25">
      <c r="D1" s="131" t="s">
        <v>0</v>
      </c>
      <c r="O1" s="145" t="s">
        <v>1</v>
      </c>
      <c r="P1" s="145"/>
      <c r="Q1" s="145"/>
      <c r="R1" s="140" t="s">
        <v>164</v>
      </c>
    </row>
    <row r="2" spans="1:18" ht="5.25" customHeight="1" x14ac:dyDescent="0.55000000000000004">
      <c r="A2" s="17"/>
      <c r="B2" s="85" t="s">
        <v>2</v>
      </c>
      <c r="C2" s="17"/>
      <c r="D2" s="17"/>
      <c r="E2" s="84"/>
      <c r="F2" s="84"/>
      <c r="G2" s="84"/>
      <c r="H2" s="84"/>
      <c r="I2" s="84"/>
      <c r="J2" s="17"/>
      <c r="K2" s="17"/>
      <c r="L2" s="17"/>
      <c r="M2" s="17"/>
      <c r="N2" s="17"/>
      <c r="O2" s="17"/>
      <c r="P2" s="17"/>
      <c r="Q2" s="17"/>
      <c r="R2" s="17"/>
    </row>
    <row r="3" spans="1:18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6" customHeight="1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6" customHeight="1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6" customHeight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80.75" customHeight="1" x14ac:dyDescent="0.2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9" t="s">
        <v>3</v>
      </c>
      <c r="O7" s="17"/>
      <c r="P7" s="17"/>
      <c r="Q7" s="17"/>
      <c r="R7" s="17"/>
    </row>
    <row r="8" spans="1:18" x14ac:dyDescent="0.2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8" ht="15.75" thickBot="1" x14ac:dyDescent="0.3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8" ht="15.75" hidden="1" thickBot="1" x14ac:dyDescent="0.3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8" ht="15.75" hidden="1" thickBot="1" x14ac:dyDescent="0.3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8" ht="15.75" hidden="1" thickBot="1" x14ac:dyDescent="0.3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1:18" ht="15.75" hidden="1" thickBot="1" x14ac:dyDescent="0.3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</row>
    <row r="14" spans="1:18" ht="15.75" hidden="1" thickBot="1" x14ac:dyDescent="0.3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</row>
    <row r="15" spans="1:18" ht="15.75" hidden="1" thickBot="1" x14ac:dyDescent="0.3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</row>
    <row r="16" spans="1:18" ht="15.75" hidden="1" thickBot="1" x14ac:dyDescent="0.3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7" spans="1:18" ht="15.75" hidden="1" thickBo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 ht="15.75" hidden="1" thickBot="1" x14ac:dyDescent="0.3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 ht="15.75" hidden="1" thickBot="1" x14ac:dyDescent="0.3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18" ht="82.15" customHeight="1" thickBot="1" x14ac:dyDescent="0.3">
      <c r="A20" s="17"/>
      <c r="B20" s="143"/>
      <c r="C20" s="143"/>
      <c r="D20" s="143"/>
      <c r="E20" s="143"/>
      <c r="F20" s="143"/>
      <c r="G20" s="143"/>
      <c r="H20" s="143"/>
      <c r="I20" s="17"/>
      <c r="J20" s="17"/>
      <c r="K20" s="17"/>
      <c r="L20" s="17"/>
      <c r="M20" s="17"/>
      <c r="N20" s="126">
        <v>14</v>
      </c>
      <c r="O20" s="17"/>
      <c r="P20" s="17"/>
      <c r="Q20" s="17"/>
      <c r="R20" s="17"/>
    </row>
    <row r="21" spans="1:18" ht="105" customHeight="1" thickBot="1" x14ac:dyDescent="0.3">
      <c r="A21" s="17"/>
      <c r="B21" s="144" t="s">
        <v>4</v>
      </c>
      <c r="C21" s="144"/>
      <c r="D21" s="144"/>
      <c r="E21" s="144"/>
      <c r="F21" s="144"/>
      <c r="G21" s="144"/>
      <c r="H21" s="144"/>
      <c r="I21" s="12"/>
      <c r="J21" s="12"/>
      <c r="K21" s="12"/>
      <c r="L21" s="12"/>
      <c r="M21" s="12"/>
      <c r="N21" s="50" t="s">
        <v>163</v>
      </c>
      <c r="O21" s="12"/>
      <c r="P21" s="12"/>
      <c r="Q21" s="12"/>
      <c r="R21" s="17"/>
    </row>
    <row r="22" spans="1:18" ht="105.6" customHeight="1" x14ac:dyDescent="0.25">
      <c r="A22" s="17"/>
      <c r="B22" s="51"/>
      <c r="C22" s="51"/>
      <c r="D22" s="51"/>
      <c r="E22" s="51"/>
      <c r="F22" s="51"/>
      <c r="G22" s="51"/>
      <c r="H22" s="51"/>
      <c r="I22" s="17"/>
      <c r="J22" s="17"/>
      <c r="K22" s="17"/>
      <c r="L22" s="17"/>
      <c r="M22" s="17"/>
      <c r="N22" s="52"/>
      <c r="O22" s="17"/>
      <c r="P22" s="17"/>
      <c r="Q22" s="17"/>
    </row>
    <row r="23" spans="1:18" ht="25.15" customHeight="1" x14ac:dyDescent="0.35">
      <c r="A23" s="17"/>
      <c r="B23" s="35" t="s">
        <v>5</v>
      </c>
      <c r="C23" s="36"/>
      <c r="D23" s="36"/>
      <c r="E23" s="17" t="s">
        <v>6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</row>
    <row r="24" spans="1:18" ht="25.15" hidden="1" customHeight="1" x14ac:dyDescent="0.35">
      <c r="A24" s="17"/>
      <c r="B24" s="47" t="s">
        <v>7</v>
      </c>
      <c r="C24" s="48"/>
      <c r="D24" s="48"/>
      <c r="E24" s="17" t="s">
        <v>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spans="1:18" ht="25.15" customHeight="1" x14ac:dyDescent="0.35">
      <c r="A25" s="17"/>
      <c r="B25" s="37" t="s">
        <v>9</v>
      </c>
      <c r="C25" s="30"/>
      <c r="D25" s="30"/>
      <c r="E25" s="17" t="s">
        <v>10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18" ht="25.15" customHeight="1" x14ac:dyDescent="0.35">
      <c r="A26" s="17"/>
      <c r="B26" s="37" t="s">
        <v>11</v>
      </c>
      <c r="C26" s="30"/>
      <c r="D26" s="30"/>
      <c r="E26" s="17" t="s">
        <v>12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18" ht="25.15" customHeight="1" x14ac:dyDescent="0.35">
      <c r="A27" s="17"/>
      <c r="B27" s="38" t="s">
        <v>13</v>
      </c>
      <c r="C27" s="39"/>
      <c r="D27" s="39"/>
      <c r="E27" s="17" t="s">
        <v>14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18" ht="25.15" customHeight="1" x14ac:dyDescent="0.35">
      <c r="A28" s="17"/>
      <c r="B28" s="121" t="s">
        <v>15</v>
      </c>
      <c r="C28" s="122"/>
      <c r="D28" s="122"/>
      <c r="E28" s="17" t="s">
        <v>16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  <row r="29" spans="1:18" ht="25.15" customHeight="1" x14ac:dyDescent="0.35">
      <c r="A29" s="17"/>
      <c r="B29" s="123" t="s">
        <v>17</v>
      </c>
      <c r="C29" s="124"/>
      <c r="D29" s="124"/>
      <c r="E29" s="17" t="s">
        <v>18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</row>
    <row r="30" spans="1:18" ht="25.15" customHeight="1" x14ac:dyDescent="0.35">
      <c r="A30" s="17"/>
      <c r="B30" s="42" t="s">
        <v>19</v>
      </c>
      <c r="C30" s="11"/>
      <c r="D30" s="11"/>
      <c r="E30" s="17" t="s">
        <v>20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</row>
    <row r="31" spans="1:18" ht="25.15" customHeight="1" x14ac:dyDescent="0.35">
      <c r="A31" s="17"/>
      <c r="B31" s="43" t="s">
        <v>21</v>
      </c>
      <c r="C31" s="44"/>
      <c r="D31" s="44"/>
      <c r="E31" s="17" t="s">
        <v>22</v>
      </c>
      <c r="O31" s="17"/>
      <c r="P31" s="17"/>
      <c r="Q31" s="17"/>
    </row>
    <row r="32" spans="1:18" ht="25.15" customHeight="1" x14ac:dyDescent="0.35">
      <c r="A32" s="17"/>
      <c r="B32" s="45" t="s">
        <v>23</v>
      </c>
      <c r="C32" s="46"/>
      <c r="D32" s="46"/>
      <c r="E32" s="17" t="s">
        <v>24</v>
      </c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7" ht="21" x14ac:dyDescent="0.35">
      <c r="B33" s="63" t="s">
        <v>25</v>
      </c>
      <c r="C33" s="64"/>
      <c r="D33" s="64"/>
      <c r="E33" s="17" t="s">
        <v>26</v>
      </c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</row>
    <row r="34" spans="1:17" ht="25.15" customHeight="1" x14ac:dyDescent="0.35">
      <c r="A34" s="17"/>
      <c r="B34" s="40" t="s">
        <v>27</v>
      </c>
      <c r="C34" s="41"/>
      <c r="D34" s="41"/>
      <c r="E34" s="17" t="s">
        <v>28</v>
      </c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</row>
    <row r="35" spans="1:17" x14ac:dyDescent="0.25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</row>
  </sheetData>
  <mergeCells count="3">
    <mergeCell ref="B20:H20"/>
    <mergeCell ref="B21:H21"/>
    <mergeCell ref="O1:Q1"/>
  </mergeCells>
  <dataValidations count="1">
    <dataValidation type="textLength" allowBlank="1" showInputMessage="1" showErrorMessage="1" sqref="N21:N22" xr:uid="{967C562E-40BA-43EE-9172-3522DFAF5E18}">
      <formula1>3</formula1>
      <formula2>15</formula2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314AE3-BECD-40A3-BFD8-724820DEFB45}">
          <x14:formula1>
            <xm:f>Omakierto!$B$1:$S$1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FCF1F-6963-4388-BDF9-A95A1FECF64B}">
  <sheetPr codeName="Taul30">
    <tabColor rgb="FFFFC000"/>
  </sheetPr>
  <dimension ref="A1:H51"/>
  <sheetViews>
    <sheetView showGridLines="0" zoomScaleNormal="100" workbookViewId="0">
      <selection activeCell="B8" sqref="B8"/>
    </sheetView>
  </sheetViews>
  <sheetFormatPr defaultRowHeight="15" x14ac:dyDescent="0.25"/>
  <cols>
    <col min="1" max="1" width="10.140625" style="55" customWidth="1"/>
    <col min="2" max="2" width="7.42578125" style="7" customWidth="1"/>
    <col min="3" max="3" width="8.42578125" style="7" customWidth="1"/>
    <col min="4" max="4" width="9" style="7" customWidth="1"/>
    <col min="5" max="5" width="17.5703125" style="13" customWidth="1"/>
    <col min="6" max="6" width="8.7109375" style="55" customWidth="1"/>
    <col min="7" max="7" width="2.7109375" customWidth="1"/>
    <col min="8" max="8" width="6.7109375" customWidth="1"/>
  </cols>
  <sheetData>
    <row r="1" spans="1:8" s="125" customFormat="1" ht="47.45" customHeight="1" thickBot="1" x14ac:dyDescent="0.3">
      <c r="C1" s="131" t="s">
        <v>35</v>
      </c>
    </row>
    <row r="2" spans="1:8" s="21" customFormat="1" ht="15.75" x14ac:dyDescent="0.25">
      <c r="A2" s="89" t="s">
        <v>36</v>
      </c>
      <c r="B2" s="56"/>
      <c r="C2" s="56"/>
      <c r="D2" s="58" t="s">
        <v>37</v>
      </c>
      <c r="E2" s="57"/>
      <c r="F2" s="81"/>
      <c r="G2" s="23"/>
      <c r="H2" s="23"/>
    </row>
    <row r="3" spans="1:8" s="8" customFormat="1" x14ac:dyDescent="0.25">
      <c r="A3" s="90" t="s">
        <v>38</v>
      </c>
      <c r="B3" s="91" t="s">
        <v>39</v>
      </c>
      <c r="C3" s="91" t="s">
        <v>40</v>
      </c>
      <c r="D3" s="91" t="s">
        <v>41</v>
      </c>
      <c r="E3" s="91" t="s">
        <v>42</v>
      </c>
      <c r="F3" s="91" t="s">
        <v>43</v>
      </c>
      <c r="G3" s="18"/>
      <c r="H3" s="18"/>
    </row>
    <row r="4" spans="1:8" ht="20.100000000000001" customHeight="1" x14ac:dyDescent="0.25">
      <c r="B4" s="15"/>
      <c r="C4" s="15"/>
      <c r="D4" s="75"/>
    </row>
    <row r="5" spans="1:8" ht="20.100000000000001" customHeight="1" x14ac:dyDescent="0.25"/>
    <row r="6" spans="1:8" ht="20.100000000000001" customHeight="1" x14ac:dyDescent="0.25"/>
    <row r="7" spans="1:8" ht="20.100000000000001" customHeight="1" x14ac:dyDescent="0.25"/>
    <row r="8" spans="1:8" ht="20.100000000000001" customHeight="1" x14ac:dyDescent="0.25"/>
    <row r="9" spans="1:8" ht="20.100000000000001" customHeight="1" x14ac:dyDescent="0.25"/>
    <row r="10" spans="1:8" ht="20.100000000000001" customHeight="1" x14ac:dyDescent="0.25"/>
    <row r="11" spans="1:8" ht="20.100000000000001" customHeight="1" x14ac:dyDescent="0.25"/>
    <row r="12" spans="1:8" ht="20.100000000000001" customHeight="1" x14ac:dyDescent="0.25"/>
    <row r="13" spans="1:8" ht="20.100000000000001" customHeight="1" x14ac:dyDescent="0.25"/>
    <row r="14" spans="1:8" ht="20.100000000000001" customHeight="1" x14ac:dyDescent="0.25"/>
    <row r="15" spans="1:8" ht="20.100000000000001" customHeight="1" x14ac:dyDescent="0.25"/>
    <row r="16" spans="1:8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0FCBD-2C51-4DF3-95EC-75573BABBF51}">
  <sheetPr codeName="Sheet5">
    <tabColor rgb="FFFFC000"/>
  </sheetPr>
  <dimension ref="A1:H3"/>
  <sheetViews>
    <sheetView zoomScaleNormal="100" workbookViewId="0">
      <selection activeCell="B12" sqref="B12"/>
    </sheetView>
  </sheetViews>
  <sheetFormatPr defaultRowHeight="15" x14ac:dyDescent="0.25"/>
  <cols>
    <col min="1" max="1" width="21.28515625" bestFit="1" customWidth="1"/>
    <col min="2" max="2" width="25.7109375" bestFit="1" customWidth="1"/>
    <col min="3" max="3" width="18" bestFit="1" customWidth="1"/>
    <col min="4" max="4" width="15.28515625" customWidth="1"/>
    <col min="5" max="5" width="9.5703125" customWidth="1"/>
    <col min="6" max="6" width="13.5703125" customWidth="1"/>
    <col min="7" max="7" width="11.28515625" customWidth="1"/>
    <col min="8" max="8" width="12.28515625" customWidth="1"/>
  </cols>
  <sheetData>
    <row r="1" spans="1:8" s="125" customFormat="1" ht="47.45" customHeight="1" x14ac:dyDescent="0.25">
      <c r="B1" s="131" t="s">
        <v>44</v>
      </c>
    </row>
    <row r="2" spans="1:8" x14ac:dyDescent="0.25">
      <c r="A2" t="s">
        <v>45</v>
      </c>
      <c r="B2" t="s">
        <v>46</v>
      </c>
      <c r="C2" t="s">
        <v>29</v>
      </c>
      <c r="D2" t="s">
        <v>47</v>
      </c>
      <c r="E2" t="s">
        <v>48</v>
      </c>
      <c r="F2" t="s">
        <v>49</v>
      </c>
      <c r="G2" t="s">
        <v>50</v>
      </c>
      <c r="H2" t="s">
        <v>51</v>
      </c>
    </row>
    <row r="3" spans="1:8" x14ac:dyDescent="0.25">
      <c r="A3" s="138"/>
      <c r="B3" s="138"/>
      <c r="C3" s="138"/>
      <c r="D3" s="138"/>
      <c r="E3" s="138"/>
      <c r="F3" s="138"/>
      <c r="G3" s="139"/>
      <c r="H3" s="138"/>
    </row>
  </sheetData>
  <dataConsolidate/>
  <dataValidations count="3">
    <dataValidation type="list" allowBlank="1" showInputMessage="1" showErrorMessage="1" errorTitle="Virheellinen syöte" error="Syötä vain ryhmiä, jotka ovat alasvetoluettelossa" promptTitle="Valitse ryhmä" prompt="Valitse ryhmä alasvetoluettelosta" sqref="C3" xr:uid="{DF011C26-E0B3-4497-AFBE-0E9CF7F82C57}">
      <formula1>"Iltatuulet,Lounatuulet,Myötätuulet,Sumuset,Suvituulet,Tuuliaiset,Usvaset,Utuset,Vain koko päiväkoti,Ei"</formula1>
    </dataValidation>
    <dataValidation type="whole" allowBlank="1" showInputMessage="1" showErrorMessage="1" errorTitle="Virhe" error="Työaikaprosentin on oltava välillä 0-100" prompt="Työajan prosentti" sqref="G3" xr:uid="{7A4E36ED-7A8A-4388-9C3A-854F7D4070F1}">
      <formula1>0</formula1>
      <formula2>100</formula2>
    </dataValidation>
    <dataValidation type="list" allowBlank="1" showInputMessage="1" showErrorMessage="1" sqref="D3 H3" xr:uid="{43824C4D-DCA0-4710-982F-3ACE991ED824}">
      <formula1>"Kyllä,Ei"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484A-2E88-4E7A-BF94-ECF1888EAF59}">
  <sheetPr codeName="Taul2">
    <tabColor rgb="FFFFFF97"/>
  </sheetPr>
  <dimension ref="A1:BR3"/>
  <sheetViews>
    <sheetView zoomScaleNormal="100" workbookViewId="0">
      <selection activeCell="O27" sqref="O27"/>
    </sheetView>
  </sheetViews>
  <sheetFormatPr defaultRowHeight="15" x14ac:dyDescent="0.25"/>
  <cols>
    <col min="1" max="1" width="11.28515625" customWidth="1"/>
    <col min="2" max="6" width="3.140625" customWidth="1"/>
    <col min="7" max="8" width="3.140625" style="92" customWidth="1"/>
    <col min="9" max="13" width="3.140625" customWidth="1"/>
    <col min="14" max="15" width="3.140625" style="92" customWidth="1"/>
    <col min="16" max="20" width="3.140625" customWidth="1"/>
    <col min="21" max="22" width="3.140625" style="92" customWidth="1"/>
    <col min="23" max="23" width="13.42578125" customWidth="1"/>
    <col min="24" max="45" width="3.28515625" style="25" hidden="1" customWidth="1"/>
    <col min="46" max="46" width="8.7109375" style="25" hidden="1" customWidth="1"/>
    <col min="47" max="47" width="5.5703125" style="25" hidden="1" customWidth="1"/>
    <col min="48" max="69" width="3.28515625" style="25" hidden="1" customWidth="1"/>
    <col min="70" max="70" width="106.7109375" style="25" customWidth="1"/>
    <col min="71" max="158" width="8" customWidth="1"/>
  </cols>
  <sheetData>
    <row r="1" spans="1:70" s="125" customFormat="1" ht="47.45" customHeight="1" x14ac:dyDescent="0.25">
      <c r="A1" s="146" t="s">
        <v>151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31"/>
    </row>
    <row r="2" spans="1:70" s="8" customFormat="1" x14ac:dyDescent="0.25">
      <c r="A2" s="8" t="s">
        <v>54</v>
      </c>
      <c r="B2" s="8" t="s">
        <v>55</v>
      </c>
      <c r="C2" s="8" t="s">
        <v>56</v>
      </c>
      <c r="D2" s="8" t="s">
        <v>57</v>
      </c>
      <c r="E2" s="8" t="s">
        <v>58</v>
      </c>
      <c r="F2" s="8" t="s">
        <v>59</v>
      </c>
      <c r="G2" s="8" t="s">
        <v>60</v>
      </c>
      <c r="H2" s="8" t="s">
        <v>61</v>
      </c>
      <c r="I2" s="8" t="s">
        <v>62</v>
      </c>
      <c r="J2" s="8" t="s">
        <v>63</v>
      </c>
      <c r="K2" s="8" t="s">
        <v>64</v>
      </c>
      <c r="L2" s="8" t="s">
        <v>65</v>
      </c>
      <c r="M2" s="8" t="s">
        <v>66</v>
      </c>
      <c r="N2" s="8" t="s">
        <v>67</v>
      </c>
      <c r="O2" s="8" t="s">
        <v>68</v>
      </c>
      <c r="P2" s="8" t="s">
        <v>69</v>
      </c>
      <c r="Q2" s="8" t="s">
        <v>70</v>
      </c>
      <c r="R2" s="8" t="s">
        <v>71</v>
      </c>
      <c r="S2" s="8" t="s">
        <v>72</v>
      </c>
      <c r="T2" s="8" t="s">
        <v>73</v>
      </c>
      <c r="U2" s="8" t="s">
        <v>74</v>
      </c>
      <c r="V2" s="8" t="s">
        <v>75</v>
      </c>
      <c r="W2" s="8" t="s">
        <v>29</v>
      </c>
      <c r="X2" s="24" t="s">
        <v>76</v>
      </c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</row>
    <row r="3" spans="1:70" x14ac:dyDescent="0.25">
      <c r="W3" s="12"/>
      <c r="X3" s="25" t="e" cm="1">
        <f t="array" ref="X3">_xlfn.XLOOKUP(TRUE,EXACT(#REF!:#REF!,B3),#REF!:#REF!,"Ei löydy")</f>
        <v>#REF!</v>
      </c>
      <c r="Y3" s="25" t="e" cm="1">
        <f t="array" ref="Y3">_xlfn.XLOOKUP(TRUE,EXACT(#REF!:#REF!,C3),#REF!:#REF!,"Ei löydy")</f>
        <v>#REF!</v>
      </c>
      <c r="Z3" s="25" t="e" cm="1">
        <f t="array" ref="Z3">_xlfn.XLOOKUP(TRUE,EXACT(#REF!:#REF!,D3),#REF!:#REF!,"Ei löydy")</f>
        <v>#REF!</v>
      </c>
      <c r="AA3" s="25" t="e" cm="1">
        <f t="array" ref="AA3">_xlfn.XLOOKUP(TRUE,EXACT(#REF!:#REF!,E3),#REF!:#REF!,"Ei löydy")</f>
        <v>#REF!</v>
      </c>
      <c r="AB3" s="25" t="e" cm="1">
        <f t="array" ref="AB3">_xlfn.XLOOKUP(TRUE,EXACT(#REF!:#REF!,F3),#REF!:#REF!,"Ei löydy")</f>
        <v>#REF!</v>
      </c>
      <c r="AC3" s="25" t="e" cm="1">
        <f t="array" ref="AC3">_xlfn.XLOOKUP(TRUE,EXACT(#REF!:#REF!,G3),#REF!:#REF!,"Ei löydy")</f>
        <v>#REF!</v>
      </c>
      <c r="AD3" s="25" t="e" cm="1">
        <f t="array" ref="AD3">_xlfn.XLOOKUP(TRUE,EXACT(#REF!:#REF!,H3),#REF!:#REF!,"Ei löydy")</f>
        <v>#REF!</v>
      </c>
      <c r="AE3" s="25" t="e" cm="1">
        <f t="array" ref="AE3">_xlfn.XLOOKUP(TRUE,EXACT(#REF!:#REF!,I3),#REF!:#REF!,"Ei löydy")</f>
        <v>#REF!</v>
      </c>
      <c r="AF3" s="25" t="e" cm="1">
        <f t="array" ref="AF3">_xlfn.XLOOKUP(TRUE,EXACT(#REF!:#REF!,J3),#REF!:#REF!,"Ei löydy")</f>
        <v>#REF!</v>
      </c>
      <c r="AG3" s="25" t="e" cm="1">
        <f t="array" ref="AG3">_xlfn.XLOOKUP(TRUE,EXACT(#REF!:#REF!,K3),#REF!:#REF!,"Ei löydy")</f>
        <v>#REF!</v>
      </c>
      <c r="AH3" s="25" t="e" cm="1">
        <f t="array" ref="AH3">_xlfn.XLOOKUP(TRUE,EXACT(#REF!:#REF!,L3),#REF!:#REF!,"Ei löydy")</f>
        <v>#REF!</v>
      </c>
      <c r="AI3" s="25" t="e" cm="1">
        <f t="array" ref="AI3">_xlfn.XLOOKUP(TRUE,EXACT(#REF!:#REF!,M3),#REF!:#REF!,"Ei löydy")</f>
        <v>#REF!</v>
      </c>
      <c r="AJ3" s="25" t="e" cm="1">
        <f t="array" ref="AJ3">_xlfn.XLOOKUP(TRUE,EXACT(#REF!:#REF!,N3),#REF!:#REF!,"Ei löydy")</f>
        <v>#REF!</v>
      </c>
      <c r="AK3" s="25" t="e" cm="1">
        <f t="array" ref="AK3">_xlfn.XLOOKUP(TRUE,EXACT(#REF!:#REF!,O3),#REF!:#REF!,"Ei löydy")</f>
        <v>#REF!</v>
      </c>
      <c r="AL3" s="25" t="e" cm="1">
        <f t="array" ref="AL3">_xlfn.XLOOKUP(TRUE,EXACT(#REF!:#REF!,P3),#REF!:#REF!,"Ei löydy")</f>
        <v>#REF!</v>
      </c>
      <c r="AM3" s="25" t="e" cm="1">
        <f t="array" ref="AM3">_xlfn.XLOOKUP(TRUE,EXACT(#REF!:#REF!,Q3),#REF!:#REF!,"Ei löydy")</f>
        <v>#REF!</v>
      </c>
      <c r="AN3" s="25" t="e" cm="1">
        <f t="array" ref="AN3">_xlfn.XLOOKUP(TRUE,EXACT(#REF!:#REF!,R3),#REF!:#REF!,"Ei löydy")</f>
        <v>#REF!</v>
      </c>
      <c r="AO3" s="25" t="e" cm="1">
        <f t="array" ref="AO3">_xlfn.XLOOKUP(TRUE,EXACT(#REF!:#REF!,S3),#REF!:#REF!,"Ei löydy")</f>
        <v>#REF!</v>
      </c>
      <c r="AP3" s="25" t="e" cm="1">
        <f t="array" ref="AP3">_xlfn.XLOOKUP(TRUE,EXACT(#REF!:#REF!,T3),#REF!:#REF!,"Ei löydy")</f>
        <v>#REF!</v>
      </c>
      <c r="AQ3" s="25" t="e" cm="1">
        <f t="array" ref="AQ3">_xlfn.XLOOKUP(TRUE,EXACT(#REF!:#REF!,U3),#REF!:#REF!,"Ei löydy")</f>
        <v>#REF!</v>
      </c>
      <c r="AR3" s="25" t="e" cm="1">
        <f t="array" ref="AR3">_xlfn.XLOOKUP(TRUE,EXACT(#REF!:#REF!,V3),#REF!:#REF!,"Ei löydy")</f>
        <v>#REF!</v>
      </c>
      <c r="AT3" s="26" t="e" cm="1">
        <f t="array" ref="AT3">_xlfn.XLOOKUP(TRUE,EXACT(#REF!:#REF!,B3),#REF!:#REF!,"Ei löydy")</f>
        <v>#REF!</v>
      </c>
      <c r="AU3" s="26" t="e" cm="1">
        <f t="array" ref="AU3">_xlfn.XLOOKUP(TRUE,EXACT(#REF!:#REF!,C3),#REF!:#REF!,"Ei löydy")</f>
        <v>#REF!</v>
      </c>
      <c r="AV3" s="26" t="e" cm="1">
        <f t="array" ref="AV3">_xlfn.XLOOKUP(TRUE,EXACT(#REF!:#REF!,D3),#REF!:#REF!,"Ei löydy")</f>
        <v>#REF!</v>
      </c>
      <c r="AW3" s="26" t="e" cm="1">
        <f t="array" ref="AW3">_xlfn.XLOOKUP(TRUE,EXACT(#REF!:#REF!,E3),#REF!:#REF!,"Ei löydy")</f>
        <v>#REF!</v>
      </c>
      <c r="AX3" s="26" t="e" cm="1">
        <f t="array" ref="AX3">_xlfn.XLOOKUP(TRUE,EXACT(#REF!:#REF!,F3),#REF!:#REF!,"Ei löydy")</f>
        <v>#REF!</v>
      </c>
      <c r="AY3" s="26" t="e" cm="1">
        <f t="array" ref="AY3">_xlfn.XLOOKUP(TRUE,EXACT(#REF!:#REF!,G3),#REF!:#REF!,"Ei löydy")</f>
        <v>#REF!</v>
      </c>
      <c r="AZ3" s="26" t="e" cm="1">
        <f t="array" ref="AZ3">_xlfn.XLOOKUP(TRUE,EXACT(#REF!:#REF!,H3),#REF!:#REF!,"Ei löydy")</f>
        <v>#REF!</v>
      </c>
      <c r="BA3" s="26" t="e" cm="1">
        <f t="array" ref="BA3">_xlfn.XLOOKUP(TRUE,EXACT(#REF!:#REF!,I3),#REF!:#REF!,"Ei löydy")</f>
        <v>#REF!</v>
      </c>
      <c r="BB3" s="26" t="e" cm="1">
        <f t="array" ref="BB3">_xlfn.XLOOKUP(TRUE,EXACT(#REF!:#REF!,J3),#REF!:#REF!,"Ei löydy")</f>
        <v>#REF!</v>
      </c>
      <c r="BC3" s="26" t="e" cm="1">
        <f t="array" ref="BC3">_xlfn.XLOOKUP(TRUE,EXACT(#REF!:#REF!,K3),#REF!:#REF!,"Ei löydy")</f>
        <v>#REF!</v>
      </c>
      <c r="BD3" s="26" t="e" cm="1">
        <f t="array" ref="BD3">_xlfn.XLOOKUP(TRUE,EXACT(#REF!:#REF!,L3),#REF!:#REF!,"Ei löydy")</f>
        <v>#REF!</v>
      </c>
      <c r="BE3" s="26" t="e" cm="1">
        <f t="array" ref="BE3">_xlfn.XLOOKUP(TRUE,EXACT(#REF!:#REF!,M3),#REF!:#REF!,"Ei löydy")</f>
        <v>#REF!</v>
      </c>
      <c r="BF3" s="26" t="e" cm="1">
        <f t="array" ref="BF3">_xlfn.XLOOKUP(TRUE,EXACT(#REF!:#REF!,N3),#REF!:#REF!,"Ei löydy")</f>
        <v>#REF!</v>
      </c>
      <c r="BG3" s="26" t="e" cm="1">
        <f t="array" ref="BG3">_xlfn.XLOOKUP(TRUE,EXACT(#REF!:#REF!,O3),#REF!:#REF!,"Ei löydy")</f>
        <v>#REF!</v>
      </c>
      <c r="BH3" s="26" t="e" cm="1">
        <f t="array" ref="BH3">_xlfn.XLOOKUP(TRUE,EXACT(#REF!:#REF!,P3),#REF!:#REF!,"Ei löydy")</f>
        <v>#REF!</v>
      </c>
      <c r="BI3" s="26" t="e" cm="1">
        <f t="array" ref="BI3">_xlfn.XLOOKUP(TRUE,EXACT(#REF!:#REF!,Q3),#REF!:#REF!,"Ei löydy")</f>
        <v>#REF!</v>
      </c>
      <c r="BJ3" s="26" t="e" cm="1">
        <f t="array" ref="BJ3">_xlfn.XLOOKUP(TRUE,EXACT(#REF!:#REF!,R3),#REF!:#REF!,"Ei löydy")</f>
        <v>#REF!</v>
      </c>
      <c r="BK3" s="26" t="e" cm="1">
        <f t="array" ref="BK3">_xlfn.XLOOKUP(TRUE,EXACT(#REF!:#REF!,S3),#REF!:#REF!,"Ei löydy")</f>
        <v>#REF!</v>
      </c>
      <c r="BL3" s="26" t="e" cm="1">
        <f t="array" ref="BL3">_xlfn.XLOOKUP(TRUE,EXACT(#REF!:#REF!,T3),#REF!:#REF!,"Ei löydy")</f>
        <v>#REF!</v>
      </c>
      <c r="BM3" s="26" t="e" cm="1">
        <f t="array" ref="BM3">_xlfn.XLOOKUP(TRUE,EXACT(#REF!:#REF!,U3),#REF!:#REF!,"Ei löydy")</f>
        <v>#REF!</v>
      </c>
      <c r="BN3" s="26" t="e" cm="1">
        <f t="array" ref="BN3">_xlfn.XLOOKUP(TRUE,EXACT(#REF!:#REF!,V3),#REF!:#REF!,"Ei löydy")</f>
        <v>#REF!</v>
      </c>
      <c r="BO3" s="26" t="e" cm="1">
        <f t="array" ref="BO3">_xlfn.XLOOKUP(TRUE,EXACT(#REF!:#REF!,W3),#REF!:#REF!,"Ei löydy")</f>
        <v>#REF!</v>
      </c>
      <c r="BP3" s="26" t="e" cm="1">
        <f t="array" ref="BP3">_xlfn.XLOOKUP(TRUE,EXACT(#REF!:#REF!,#REF!),#REF!:#REF!,"Ei löydy")</f>
        <v>#REF!</v>
      </c>
      <c r="BQ3" s="26"/>
    </row>
  </sheetData>
  <mergeCells count="1">
    <mergeCell ref="A1:V1"/>
  </mergeCells>
  <phoneticPr fontId="19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7EE4B-5BE1-4877-B240-39D340C28B23}">
  <sheetPr codeName="Sheet1">
    <tabColor rgb="FF92D050"/>
  </sheetPr>
  <dimension ref="A1:C6"/>
  <sheetViews>
    <sheetView zoomScaleNormal="100" workbookViewId="0">
      <selection activeCell="A18" sqref="A18"/>
    </sheetView>
  </sheetViews>
  <sheetFormatPr defaultRowHeight="15" x14ac:dyDescent="0.25"/>
  <cols>
    <col min="1" max="1" width="29.28515625" style="82" customWidth="1"/>
    <col min="2" max="2" width="42.28515625" style="83" customWidth="1"/>
    <col min="3" max="3" width="28.140625" style="82" customWidth="1"/>
  </cols>
  <sheetData>
    <row r="1" spans="1:3" s="125" customFormat="1" ht="47.45" customHeight="1" x14ac:dyDescent="0.25">
      <c r="B1" s="131" t="s">
        <v>77</v>
      </c>
    </row>
    <row r="2" spans="1:3" ht="23.45" customHeight="1" x14ac:dyDescent="0.25">
      <c r="A2" s="82" t="s">
        <v>78</v>
      </c>
      <c r="B2" s="83" t="s">
        <v>79</v>
      </c>
      <c r="C2" s="82" t="s">
        <v>80</v>
      </c>
    </row>
    <row r="6" spans="1:3" ht="30" x14ac:dyDescent="0.25"/>
  </sheetData>
  <dataConsolidate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42FC-BF15-43BF-B033-A6E4E1E9CF44}">
  <sheetPr codeName="Taul3">
    <tabColor theme="7" tint="0.59999389629810485"/>
  </sheetPr>
  <dimension ref="A1:S4"/>
  <sheetViews>
    <sheetView zoomScale="115" zoomScaleNormal="115" workbookViewId="0">
      <pane xSplit="1" topLeftCell="B1" activePane="topRight" state="frozen"/>
      <selection pane="topRight" activeCell="D4" sqref="D4"/>
    </sheetView>
  </sheetViews>
  <sheetFormatPr defaultRowHeight="15" x14ac:dyDescent="0.25"/>
  <cols>
    <col min="1" max="1" width="26.85546875" customWidth="1"/>
    <col min="14" max="14" width="9.140625" style="8"/>
    <col min="25" max="25" width="8.140625" customWidth="1"/>
  </cols>
  <sheetData>
    <row r="1" spans="1:19" s="112" customFormat="1" ht="20.45" customHeight="1" x14ac:dyDescent="0.25">
      <c r="A1" s="2">
        <v>14</v>
      </c>
      <c r="B1" s="129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</row>
    <row r="2" spans="1:19" s="118" customFormat="1" ht="34.15" customHeight="1" x14ac:dyDescent="0.25">
      <c r="A2" s="119">
        <v>2023</v>
      </c>
      <c r="B2" s="118" t="str" cm="1">
        <f t="array" ref="B2">titaniajakso($A$2,B1,$A$1)</f>
        <v>15.01.2024-04.02.2024</v>
      </c>
      <c r="C2" s="118" t="str" cm="1">
        <f t="array" ref="C2">titaniajakso($A$2,C1,$A$1)</f>
        <v>05.02.2024-25.02.2024</v>
      </c>
      <c r="D2" s="118" t="str" cm="1">
        <f t="array" ref="D2">titaniajakso($A$2,D1,$A$1)</f>
        <v>26.02.2024-17.03.2024</v>
      </c>
      <c r="E2" s="118" t="str" cm="1">
        <f t="array" ref="E2">titaniajakso($A$2,E1,$A$1)</f>
        <v>18.03.2024-07.04.2024</v>
      </c>
      <c r="F2" s="118" t="str" cm="1">
        <f t="array" ref="F2">titaniajakso($A$2,F1,$A$1)</f>
        <v>08.04.2024-28.04.2024</v>
      </c>
      <c r="G2" s="118" t="str" cm="1">
        <f t="array" ref="G2">titaniajakso($A$2,G1,$A$1)</f>
        <v>29.04.2024-19.05.2024</v>
      </c>
      <c r="H2" s="118" t="str" cm="1">
        <f t="array" ref="H2">titaniajakso($A$2,H1,$A$1)</f>
        <v>20.05.2024-09.06.2024</v>
      </c>
      <c r="I2" s="118" t="str" cm="1">
        <f t="array" ref="I2">titaniajakso($A$2,I1,$A$1)</f>
        <v>10.06.2024-30.06.2024</v>
      </c>
      <c r="J2" s="118" t="str" cm="1">
        <f t="array" ref="J2">titaniajakso($A$2,J1,$A$1)</f>
        <v>01.07.2024-21.07.2024</v>
      </c>
      <c r="K2" s="118" t="str" cm="1">
        <f t="array" ref="K2">titaniajakso($A$2,K1,$A$1)</f>
        <v>22.07.2024-11.08.2024</v>
      </c>
      <c r="L2" s="118" t="str" cm="1">
        <f t="array" ref="L2">titaniajakso($A$2,L1,$A$1)</f>
        <v>12.08.2024-01.09.2024</v>
      </c>
      <c r="M2" s="118" t="str" cm="1">
        <f t="array" ref="M2">titaniajakso($A$2,M1,$A$1)</f>
        <v>02.09.2024-22.09.2024</v>
      </c>
      <c r="N2" s="118" t="str" cm="1">
        <f t="array" ref="N2">titaniajakso($A$2,N1,$A$1)</f>
        <v>23.09.2024-13.10.2024</v>
      </c>
      <c r="O2" s="118" t="str" cm="1">
        <f t="array" ref="O2">titaniajakso($A$2,O1,$A$1)</f>
        <v>02.10.2023-22.10.2023</v>
      </c>
      <c r="P2" s="118" t="str" cm="1">
        <f t="array" ref="P2">titaniajakso($A$2,P1,$A$1)</f>
        <v>23.10.2023-12.11.2023</v>
      </c>
      <c r="Q2" s="118" t="str" cm="1">
        <f t="array" ref="Q2">titaniajakso($A$2,Q1,$A$1)</f>
        <v>13.11.2023-03.12.2023</v>
      </c>
      <c r="R2" s="118" t="str" cm="1">
        <f t="array" ref="R2">titaniajakso($A$2,R1,$A$1)</f>
        <v>04.12.2023-24.12.2023</v>
      </c>
      <c r="S2" s="118" t="str" cm="1">
        <f t="array" ref="S2">titaniajakso($A$2,S1,$A$1)</f>
        <v>25.12.2023-14.01.2024</v>
      </c>
    </row>
    <row r="3" spans="1:19" s="27" customFormat="1" ht="19.149999999999999" customHeight="1" x14ac:dyDescent="0.25">
      <c r="A3" s="28" t="s">
        <v>98</v>
      </c>
      <c r="B3" s="127" t="s">
        <v>99</v>
      </c>
      <c r="C3" s="127" t="s">
        <v>100</v>
      </c>
      <c r="D3" s="127" t="s">
        <v>101</v>
      </c>
      <c r="E3" s="127" t="s">
        <v>102</v>
      </c>
      <c r="F3" s="127" t="s">
        <v>103</v>
      </c>
      <c r="G3" s="127" t="s">
        <v>104</v>
      </c>
      <c r="H3" s="127" t="s">
        <v>105</v>
      </c>
      <c r="I3" s="127" t="s">
        <v>106</v>
      </c>
      <c r="J3" s="127" t="s">
        <v>107</v>
      </c>
      <c r="K3" s="127" t="s">
        <v>108</v>
      </c>
      <c r="L3" s="127" t="s">
        <v>109</v>
      </c>
      <c r="M3" s="127" t="s">
        <v>110</v>
      </c>
      <c r="N3" s="128" t="s">
        <v>111</v>
      </c>
      <c r="O3" s="127" t="s">
        <v>112</v>
      </c>
      <c r="P3" s="127" t="s">
        <v>113</v>
      </c>
      <c r="Q3" s="127" t="s">
        <v>114</v>
      </c>
      <c r="R3" s="127" t="s">
        <v>115</v>
      </c>
      <c r="S3" s="127" t="s">
        <v>116</v>
      </c>
    </row>
    <row r="4" spans="1:19" x14ac:dyDescent="0.25">
      <c r="A4" s="66"/>
      <c r="B4" s="9"/>
      <c r="C4" s="10"/>
      <c r="D4" s="10"/>
      <c r="E4" s="10"/>
      <c r="F4" s="10"/>
      <c r="G4" s="11"/>
      <c r="H4" s="11"/>
      <c r="I4" s="11"/>
      <c r="J4" s="11"/>
      <c r="K4" s="11"/>
      <c r="L4" s="10"/>
      <c r="M4" s="10"/>
      <c r="N4" s="10"/>
      <c r="O4" s="9"/>
      <c r="P4" s="10"/>
      <c r="Q4" s="11"/>
      <c r="R4" s="11"/>
      <c r="S4" s="11"/>
    </row>
  </sheetData>
  <phoneticPr fontId="19" type="noConversion"/>
  <pageMargins left="0.70866141732283472" right="0.70866141732283472" top="0.74803149606299213" bottom="0.74803149606299213" header="0.31496062992125984" footer="0.31496062992125984"/>
  <pageSetup paperSize="9" fitToWidth="0" fitToHeight="0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4AF32-7959-4101-A9A6-A1526589D24F}">
  <sheetPr codeName="Taul5">
    <tabColor theme="9" tint="0.39997558519241921"/>
  </sheetPr>
  <dimension ref="A1:V2"/>
  <sheetViews>
    <sheetView zoomScale="94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2.7109375" customWidth="1"/>
  </cols>
  <sheetData>
    <row r="1" spans="1:22" x14ac:dyDescent="0.25">
      <c r="A1" t="s">
        <v>54</v>
      </c>
      <c r="B1" s="95" t="s">
        <v>118</v>
      </c>
      <c r="C1" s="96" t="s">
        <v>119</v>
      </c>
      <c r="D1" s="96" t="s">
        <v>120</v>
      </c>
      <c r="E1" s="96" t="s">
        <v>121</v>
      </c>
      <c r="F1" s="96" t="s">
        <v>122</v>
      </c>
      <c r="G1" s="96" t="s">
        <v>123</v>
      </c>
      <c r="H1" s="96" t="s">
        <v>124</v>
      </c>
      <c r="I1" s="96" t="s">
        <v>62</v>
      </c>
      <c r="J1" s="96" t="s">
        <v>126</v>
      </c>
      <c r="K1" s="96" t="s">
        <v>64</v>
      </c>
      <c r="L1" s="96" t="s">
        <v>65</v>
      </c>
      <c r="M1" s="96" t="s">
        <v>66</v>
      </c>
      <c r="N1" s="96" t="s">
        <v>67</v>
      </c>
      <c r="O1" s="96" t="s">
        <v>68</v>
      </c>
      <c r="P1" s="96" t="s">
        <v>69</v>
      </c>
      <c r="Q1" s="96" t="s">
        <v>70</v>
      </c>
      <c r="R1" s="96" t="s">
        <v>71</v>
      </c>
      <c r="S1" s="96" t="s">
        <v>72</v>
      </c>
      <c r="T1" s="96" t="s">
        <v>73</v>
      </c>
      <c r="U1" s="96" t="s">
        <v>74</v>
      </c>
      <c r="V1" s="97" t="s">
        <v>75</v>
      </c>
    </row>
    <row r="2" spans="1:22" x14ac:dyDescent="0.25">
      <c r="A2" s="93"/>
      <c r="B2" s="72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65"/>
      <c r="R2" s="71"/>
      <c r="S2" s="71"/>
      <c r="T2" s="71"/>
      <c r="U2" s="71"/>
      <c r="V2" s="94"/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A116F-0E10-4153-A0DA-D30324E2A7A5}">
  <sheetPr codeName="Taul6">
    <tabColor theme="5" tint="-0.249977111117893"/>
  </sheetPr>
  <dimension ref="A1:V21"/>
  <sheetViews>
    <sheetView zoomScale="115" zoomScaleNormal="115" workbookViewId="0">
      <selection activeCell="J3" sqref="J3"/>
    </sheetView>
  </sheetViews>
  <sheetFormatPr defaultRowHeight="15" x14ac:dyDescent="0.25"/>
  <cols>
    <col min="1" max="1" width="18.85546875" style="8" customWidth="1"/>
    <col min="2" max="22" width="5.85546875" style="4" customWidth="1"/>
    <col min="23" max="24" width="11" bestFit="1" customWidth="1"/>
  </cols>
  <sheetData>
    <row r="1" spans="1:22" ht="18" customHeight="1" x14ac:dyDescent="0.25">
      <c r="A1" s="87" t="s">
        <v>34</v>
      </c>
      <c r="B1" s="3" t="s">
        <v>118</v>
      </c>
      <c r="C1" s="3" t="s">
        <v>119</v>
      </c>
      <c r="D1" s="3" t="s">
        <v>120</v>
      </c>
      <c r="E1" s="3" t="s">
        <v>121</v>
      </c>
      <c r="F1" s="3" t="s">
        <v>122</v>
      </c>
      <c r="G1" s="3" t="s">
        <v>123</v>
      </c>
      <c r="H1" s="3" t="s">
        <v>124</v>
      </c>
      <c r="I1" s="3" t="s">
        <v>118</v>
      </c>
      <c r="J1" s="3" t="s">
        <v>119</v>
      </c>
      <c r="K1" s="3" t="s">
        <v>120</v>
      </c>
      <c r="L1" s="3" t="s">
        <v>121</v>
      </c>
      <c r="M1" s="3" t="s">
        <v>122</v>
      </c>
      <c r="N1" s="3" t="s">
        <v>123</v>
      </c>
      <c r="O1" s="3" t="s">
        <v>124</v>
      </c>
      <c r="P1" s="3" t="s">
        <v>118</v>
      </c>
      <c r="Q1" s="3" t="s">
        <v>119</v>
      </c>
      <c r="R1" s="3" t="s">
        <v>120</v>
      </c>
      <c r="S1" s="3" t="s">
        <v>121</v>
      </c>
      <c r="T1" s="3" t="s">
        <v>122</v>
      </c>
      <c r="U1" s="3" t="s">
        <v>123</v>
      </c>
      <c r="V1" s="3" t="s">
        <v>124</v>
      </c>
    </row>
    <row r="2" spans="1:22" s="20" customFormat="1" ht="18" customHeight="1" x14ac:dyDescent="0.2">
      <c r="A2" s="88" t="str">
        <f>LEFT(A3,10)</f>
        <v>02.10.2023</v>
      </c>
      <c r="B2" s="62">
        <f>DATEVALUE(A2)</f>
        <v>45201</v>
      </c>
      <c r="C2" s="62">
        <f>VALUE(B2+1)</f>
        <v>45202</v>
      </c>
      <c r="D2" s="62">
        <f>VALUE(C2+1)</f>
        <v>45203</v>
      </c>
      <c r="E2" s="62">
        <f t="shared" ref="E2:V2" si="0">VALUE(D2+1)</f>
        <v>45204</v>
      </c>
      <c r="F2" s="62">
        <f t="shared" si="0"/>
        <v>45205</v>
      </c>
      <c r="G2" s="62">
        <f t="shared" si="0"/>
        <v>45206</v>
      </c>
      <c r="H2" s="62">
        <f t="shared" si="0"/>
        <v>45207</v>
      </c>
      <c r="I2" s="62">
        <f t="shared" si="0"/>
        <v>45208</v>
      </c>
      <c r="J2" s="62">
        <f t="shared" si="0"/>
        <v>45209</v>
      </c>
      <c r="K2" s="62">
        <f t="shared" si="0"/>
        <v>45210</v>
      </c>
      <c r="L2" s="62">
        <f t="shared" si="0"/>
        <v>45211</v>
      </c>
      <c r="M2" s="62">
        <f t="shared" si="0"/>
        <v>45212</v>
      </c>
      <c r="N2" s="62">
        <f t="shared" si="0"/>
        <v>45213</v>
      </c>
      <c r="O2" s="62">
        <f t="shared" si="0"/>
        <v>45214</v>
      </c>
      <c r="P2" s="62">
        <f t="shared" si="0"/>
        <v>45215</v>
      </c>
      <c r="Q2" s="62">
        <f t="shared" si="0"/>
        <v>45216</v>
      </c>
      <c r="R2" s="62">
        <f t="shared" si="0"/>
        <v>45217</v>
      </c>
      <c r="S2" s="62">
        <f t="shared" si="0"/>
        <v>45218</v>
      </c>
      <c r="T2" s="62">
        <f t="shared" si="0"/>
        <v>45219</v>
      </c>
      <c r="U2" s="62">
        <f t="shared" si="0"/>
        <v>45220</v>
      </c>
      <c r="V2" s="62">
        <f t="shared" si="0"/>
        <v>45221</v>
      </c>
    </row>
    <row r="3" spans="1:22" ht="34.9" customHeight="1" x14ac:dyDescent="0.25">
      <c r="A3" s="86" t="str" cm="1">
        <f t="array" ref="A3">titaniajakso(Omakierto!$A$2,Omakierto!A1,Omakierto!$A$1)</f>
        <v>02.10.2023-22.10.2023</v>
      </c>
      <c r="B3" s="31" t="str" cm="1">
        <f t="array" ref="B3">_xlfn.XLOOKUP(TRUE,EXACT(Vuorokoodit!$A:$A,B4),Vuorokoodit!$E:$E,"Ei löydy")</f>
        <v>Ei löydy</v>
      </c>
      <c r="C3" s="31" t="str" cm="1">
        <f t="array" ref="C3">_xlfn.XLOOKUP(TRUE,EXACT(Vuorokoodit!$A:$A,C4),Vuorokoodit!$E:$E,"Ei löydy")</f>
        <v>Ei löydy</v>
      </c>
      <c r="D3" s="31" t="str" cm="1">
        <f t="array" ref="D3">_xlfn.XLOOKUP(TRUE,EXACT(Vuorokoodit!$A:$A,D4),Vuorokoodit!$E:$E,"Ei löydy")</f>
        <v>Ei löydy</v>
      </c>
      <c r="E3" s="31" t="str" cm="1">
        <f t="array" ref="E3">_xlfn.XLOOKUP(TRUE,EXACT(Vuorokoodit!$A:$A,E4),Vuorokoodit!$E:$E,"Ei löydy")</f>
        <v>Ei löydy</v>
      </c>
      <c r="F3" s="31" t="str" cm="1">
        <f t="array" ref="F3">_xlfn.XLOOKUP(TRUE,EXACT(Vuorokoodit!$A:$A,F4),Vuorokoodit!$E:$E,"Ei löydy")</f>
        <v>Ei löydy</v>
      </c>
      <c r="G3" s="31" t="str" cm="1">
        <f t="array" ref="G3">_xlfn.XLOOKUP(TRUE,EXACT(Vuorokoodit!$A:$A,G4),Vuorokoodit!$E:$E,"Ei löydy")</f>
        <v>Ei löydy</v>
      </c>
      <c r="H3" s="31" t="str" cm="1">
        <f t="array" ref="H3">_xlfn.XLOOKUP(TRUE,EXACT(Vuorokoodit!$A:$A,H4),Vuorokoodit!$E:$E,"Ei löydy")</f>
        <v>Ei löydy</v>
      </c>
      <c r="I3" s="31" t="str" cm="1">
        <f t="array" ref="I3">_xlfn.XLOOKUP(TRUE,EXACT(Vuorokoodit!$A:$A,I4),Vuorokoodit!$E:$E,"Ei löydy")</f>
        <v>Ei löydy</v>
      </c>
      <c r="J3" s="31" t="str" cm="1">
        <f t="array" ref="J3">_xlfn.XLOOKUP(TRUE,EXACT(Vuorokoodit!$A:$A,J4),Vuorokoodit!$E:$E,"Ei löydy")</f>
        <v>Ei löydy</v>
      </c>
      <c r="K3" s="31" t="str" cm="1">
        <f t="array" ref="K3">_xlfn.XLOOKUP(TRUE,EXACT(Vuorokoodit!$A:$A,K4),Vuorokoodit!$E:$E,"Ei löydy")</f>
        <v>Ei löydy</v>
      </c>
      <c r="L3" s="31" t="str" cm="1">
        <f t="array" ref="L3">_xlfn.XLOOKUP(TRUE,EXACT(Vuorokoodit!$A:$A,L4),Vuorokoodit!$E:$E,"Ei löydy")</f>
        <v>Ei löydy</v>
      </c>
      <c r="M3" s="31" t="str" cm="1">
        <f t="array" ref="M3">_xlfn.XLOOKUP(TRUE,EXACT(Vuorokoodit!$A:$A,M4),Vuorokoodit!$E:$E,"Ei löydy")</f>
        <v>Ei löydy</v>
      </c>
      <c r="N3" s="31" t="str" cm="1">
        <f t="array" ref="N3">_xlfn.XLOOKUP(TRUE,EXACT(Vuorokoodit!$A:$A,N4),Vuorokoodit!$E:$E,"Ei löydy")</f>
        <v>Ei löydy</v>
      </c>
      <c r="O3" s="31" t="str" cm="1">
        <f t="array" ref="O3">_xlfn.XLOOKUP(TRUE,EXACT(Vuorokoodit!$A:$A,O4),Vuorokoodit!$E:$E,"Ei löydy")</f>
        <v>Ei löydy</v>
      </c>
      <c r="P3" s="31" t="str" cm="1">
        <f t="array" ref="P3">_xlfn.XLOOKUP(TRUE,EXACT(Vuorokoodit!$A:$A,P4),Vuorokoodit!$E:$E,"Ei löydy")</f>
        <v>Ei löydy</v>
      </c>
      <c r="Q3" s="31" t="str" cm="1">
        <f t="array" ref="Q3">_xlfn.XLOOKUP(TRUE,EXACT(Vuorokoodit!$A:$A,Q4),Vuorokoodit!$E:$E,"Ei löydy")</f>
        <v>Ei löydy</v>
      </c>
      <c r="R3" s="31" t="str" cm="1">
        <f t="array" ref="R3">_xlfn.XLOOKUP(TRUE,EXACT(Vuorokoodit!$A:$A,R4),Vuorokoodit!$E:$E,"Ei löydy")</f>
        <v>Ei löydy</v>
      </c>
      <c r="S3" s="31" t="str" cm="1">
        <f t="array" ref="S3">_xlfn.XLOOKUP(TRUE,EXACT(Vuorokoodit!$A:$A,S4),Vuorokoodit!$E:$E,"Ei löydy")</f>
        <v>Ei löydy</v>
      </c>
      <c r="T3" s="31" t="str" cm="1">
        <f t="array" ref="T3">_xlfn.XLOOKUP(TRUE,EXACT(Vuorokoodit!$A:$A,T4),Vuorokoodit!$E:$E,"Ei löydy")</f>
        <v>Ei löydy</v>
      </c>
      <c r="U3" s="31" t="str" cm="1">
        <f t="array" ref="U3">_xlfn.XLOOKUP(TRUE,EXACT(Vuorokoodit!$A:$A,U4),Vuorokoodit!$E:$E,"Ei löydy")</f>
        <v>Ei löydy</v>
      </c>
      <c r="V3" s="31" t="str" cm="1">
        <f t="array" ref="V3">_xlfn.XLOOKUP(TRUE,EXACT(Vuorokoodit!$A:$A,V4),Vuorokoodit!$E:$E,"Ei löydy")</f>
        <v>Ei löydy</v>
      </c>
    </row>
    <row r="4" spans="1:22" ht="16.149999999999999" customHeight="1" x14ac:dyDescent="0.25">
      <c r="A4" s="27" t="e">
        <f>_xlfn.XLOOKUP($A$1,Koontilista!$A:$A,Koontilista!$W:$W)</f>
        <v>#N/A</v>
      </c>
      <c r="B4" s="31" t="e" cm="1">
        <f t="array" ref="B4">_xlfn.XLOOKUP($A4,Kiertotunnus!$A$2:'Kiertotunnus'!$A$11,Kiertotunnus!$E$2:'Kiertotunnus'!$E$11)</f>
        <v>#N/A</v>
      </c>
      <c r="C4" s="31" t="e" cm="1">
        <f t="array" ref="C4">_xlfn.XLOOKUP($A4,Kiertotunnus!$A$2:'Kiertotunnus'!$A$11,Kiertotunnus!C$2:'Kiertotunnus'!C$11)</f>
        <v>#N/A</v>
      </c>
      <c r="D4" s="31" t="e" cm="1">
        <f t="array" ref="D4">_xlfn.XLOOKUP($A4,Kiertotunnus!$A$2:'Kiertotunnus'!$A$11,Kiertotunnus!D$2:'Kiertotunnus'!D$11)</f>
        <v>#N/A</v>
      </c>
      <c r="E4" s="31" t="e" cm="1">
        <f t="array" ref="E4">_xlfn.XLOOKUP($A4,Kiertotunnus!$A$2:'Kiertotunnus'!$A$11,Kiertotunnus!E$2:'Kiertotunnus'!E$11)</f>
        <v>#N/A</v>
      </c>
      <c r="F4" s="31" t="e" cm="1">
        <f t="array" ref="F4">_xlfn.XLOOKUP($A4,Kiertotunnus!$A$2:'Kiertotunnus'!$A$11,Kiertotunnus!F$2:'Kiertotunnus'!F$11)</f>
        <v>#N/A</v>
      </c>
      <c r="G4" s="31" t="e" cm="1">
        <f t="array" ref="G4">_xlfn.XLOOKUP($A4,Kiertotunnus!$A$2:'Kiertotunnus'!$A$11,Kiertotunnus!G$2:'Kiertotunnus'!G$11)</f>
        <v>#N/A</v>
      </c>
      <c r="H4" s="31" t="e" cm="1">
        <f t="array" ref="H4">_xlfn.XLOOKUP($A4,Kiertotunnus!$A$2:'Kiertotunnus'!$A$11,Kiertotunnus!H$2:'Kiertotunnus'!H$11)</f>
        <v>#N/A</v>
      </c>
      <c r="I4" s="31" t="e" cm="1">
        <f t="array" ref="I4">_xlfn.XLOOKUP($A4,Kiertotunnus!$A$2:'Kiertotunnus'!$A$11,Kiertotunnus!I$2:'Kiertotunnus'!I$11)</f>
        <v>#N/A</v>
      </c>
      <c r="J4" s="31" t="e" cm="1">
        <f t="array" ref="J4">_xlfn.XLOOKUP($A4,Kiertotunnus!$A$2:'Kiertotunnus'!$A$11,Kiertotunnus!J$2:'Kiertotunnus'!J$11)</f>
        <v>#N/A</v>
      </c>
      <c r="K4" s="31" t="e" cm="1">
        <f t="array" ref="K4">_xlfn.XLOOKUP($A4,Kiertotunnus!$A$2:'Kiertotunnus'!$A$11,Kiertotunnus!K$2:'Kiertotunnus'!K$11)</f>
        <v>#N/A</v>
      </c>
      <c r="L4" s="31" t="e" cm="1">
        <f t="array" ref="L4">_xlfn.XLOOKUP($A4,Kiertotunnus!$A$2:'Kiertotunnus'!$A$11,Kiertotunnus!L$2:'Kiertotunnus'!L$11)</f>
        <v>#N/A</v>
      </c>
      <c r="M4" s="31" t="e" cm="1">
        <f t="array" ref="M4">_xlfn.XLOOKUP($A4,Kiertotunnus!$A$2:'Kiertotunnus'!$A$11,Kiertotunnus!M$2:'Kiertotunnus'!M$11)</f>
        <v>#N/A</v>
      </c>
      <c r="N4" s="31" t="e" cm="1">
        <f t="array" ref="N4">_xlfn.XLOOKUP($A4,Kiertotunnus!$A$2:'Kiertotunnus'!$A$11,Kiertotunnus!N$2:'Kiertotunnus'!N$11)</f>
        <v>#N/A</v>
      </c>
      <c r="O4" s="31" t="e" cm="1">
        <f t="array" ref="O4">_xlfn.XLOOKUP($A4,Kiertotunnus!$A$2:'Kiertotunnus'!$A$11,Kiertotunnus!O$2:'Kiertotunnus'!O$11)</f>
        <v>#N/A</v>
      </c>
      <c r="P4" s="31" t="e" cm="1">
        <f t="array" ref="P4">_xlfn.XLOOKUP($A4,Kiertotunnus!$A$2:'Kiertotunnus'!$A$11,Kiertotunnus!P$2:'Kiertotunnus'!P$11)</f>
        <v>#N/A</v>
      </c>
      <c r="Q4" s="31" t="e" cm="1">
        <f t="array" ref="Q4">_xlfn.XLOOKUP($A4,Kiertotunnus!$A$2:'Kiertotunnus'!$A$11,Kiertotunnus!Q$2:'Kiertotunnus'!Q$11)</f>
        <v>#N/A</v>
      </c>
      <c r="R4" s="31" t="e" cm="1">
        <f t="array" ref="R4">_xlfn.XLOOKUP($A4,Kiertotunnus!$A$2:'Kiertotunnus'!$A$11,Kiertotunnus!R$2:'Kiertotunnus'!R$11)</f>
        <v>#N/A</v>
      </c>
      <c r="S4" s="31" t="e" cm="1">
        <f t="array" ref="S4">_xlfn.XLOOKUP($A4,Kiertotunnus!$A$2:'Kiertotunnus'!$A$11,Kiertotunnus!S$2:'Kiertotunnus'!S$11)</f>
        <v>#N/A</v>
      </c>
      <c r="T4" s="31" t="e" cm="1">
        <f t="array" ref="T4">_xlfn.XLOOKUP($A4,Kiertotunnus!$A$2:'Kiertotunnus'!$A$11,Kiertotunnus!T$2:'Kiertotunnus'!T$11)</f>
        <v>#N/A</v>
      </c>
      <c r="U4" s="31" t="e" cm="1">
        <f t="array" ref="U4">_xlfn.XLOOKUP($A4,Kiertotunnus!$A$2:'Kiertotunnus'!$A$11,Kiertotunnus!U$2:'Kiertotunnus'!U$11)</f>
        <v>#N/A</v>
      </c>
      <c r="V4" s="31" t="e" cm="1">
        <f t="array" ref="V4">_xlfn.XLOOKUP($A4,Kiertotunnus!$A$2:'Kiertotunnus'!$A$11,Kiertotunnus!V$2:'Kiertotunnus'!V$11)</f>
        <v>#N/A</v>
      </c>
    </row>
    <row r="5" spans="1:22" ht="23.45" customHeight="1" x14ac:dyDescent="0.25">
      <c r="A5" s="20" t="s">
        <v>96</v>
      </c>
      <c r="B5" s="67" t="e" cm="1">
        <f t="array" ref="B5">_xlfn.XLOOKUP($A4,Tehtavat!$A$1:'Tehtavat'!$A$341,Tehtavat!B$1:'Tehtavat'!B$341)</f>
        <v>#N/A</v>
      </c>
      <c r="C5" s="67" t="e" cm="1">
        <f t="array" ref="C5">_xlfn.XLOOKUP($A4,Tehtavat!$A$1:'Tehtavat'!$A$341,Tehtavat!C$1:'Tehtavat'!C$341)</f>
        <v>#N/A</v>
      </c>
      <c r="D5" s="67" t="e" cm="1">
        <f t="array" ref="D5">_xlfn.XLOOKUP($A4,Tehtavat!$A$1:'Tehtavat'!$A$341,Tehtavat!D$1:'Tehtavat'!D$341)</f>
        <v>#N/A</v>
      </c>
      <c r="E5" s="67" t="e" cm="1">
        <f t="array" ref="E5">_xlfn.XLOOKUP($A4,Tehtavat!$A$1:'Tehtavat'!$A$341,Tehtavat!E$1:'Tehtavat'!E$341)</f>
        <v>#N/A</v>
      </c>
      <c r="F5" s="67" t="e" cm="1">
        <f t="array" ref="F5">_xlfn.XLOOKUP($A4,Tehtavat!$A$1:'Tehtavat'!$A$341,Tehtavat!F$1:'Tehtavat'!F$341)</f>
        <v>#N/A</v>
      </c>
      <c r="G5" s="68" t="e" cm="1">
        <f t="array" ref="G5">_xlfn.XLOOKUP($A4,Tehtavat!$A$1:'Tehtavat'!$A$341,Tehtavat!G$1:'Tehtavat'!G$341)</f>
        <v>#N/A</v>
      </c>
      <c r="H5" s="68" t="e" cm="1">
        <f t="array" ref="H5">_xlfn.XLOOKUP($A4,Tehtavat!$A$1:'Tehtavat'!$A$341,Tehtavat!H$1:'Tehtavat'!H$341)</f>
        <v>#N/A</v>
      </c>
      <c r="I5" s="67" t="e" cm="1">
        <f t="array" ref="I5">_xlfn.XLOOKUP($A4,Tehtavat!$A$1:'Tehtavat'!$A$341,Tehtavat!I$1:'Tehtavat'!I$341)</f>
        <v>#N/A</v>
      </c>
      <c r="J5" s="67" t="e" cm="1">
        <f t="array" ref="J5">_xlfn.XLOOKUP($A4,Tehtavat!$A$1:'Tehtavat'!$A$341,Tehtavat!J$1:'Tehtavat'!J$341)</f>
        <v>#N/A</v>
      </c>
      <c r="K5" s="67" t="e" cm="1">
        <f t="array" ref="K5">_xlfn.XLOOKUP($A4,Tehtavat!$A$1:'Tehtavat'!$A$341,Tehtavat!K$1:'Tehtavat'!K$341)</f>
        <v>#N/A</v>
      </c>
      <c r="L5" s="69" t="e" cm="1">
        <f t="array" ref="L5">_xlfn.XLOOKUP($A4,Tehtavat!$A$1:'Tehtavat'!$A$341,Tehtavat!L$1:'Tehtavat'!L$341)</f>
        <v>#N/A</v>
      </c>
      <c r="M5" s="67" t="e" cm="1">
        <f t="array" ref="M5">_xlfn.XLOOKUP($A4,Tehtavat!$A$1:'Tehtavat'!$A$341,Tehtavat!M$1:'Tehtavat'!M$341)</f>
        <v>#N/A</v>
      </c>
      <c r="N5" s="68" t="e" cm="1">
        <f t="array" ref="N5">_xlfn.XLOOKUP($A4,Tehtavat!$A$1:'Tehtavat'!$A$341,Tehtavat!N$1:'Tehtavat'!N$341)</f>
        <v>#N/A</v>
      </c>
      <c r="O5" s="68" t="e" cm="1">
        <f t="array" ref="O5">_xlfn.XLOOKUP($A4,Tehtavat!$A$1:'Tehtavat'!$A$341,Tehtavat!O$1:'Tehtavat'!O$341)</f>
        <v>#N/A</v>
      </c>
      <c r="P5" s="67" t="e" cm="1">
        <f t="array" ref="P5">_xlfn.XLOOKUP($A4,Tehtavat!$A$1:'Tehtavat'!$A$341,Tehtavat!P$1:'Tehtavat'!P$341)</f>
        <v>#N/A</v>
      </c>
      <c r="Q5" s="67" t="e" cm="1">
        <f t="array" ref="Q5">_xlfn.XLOOKUP($A4,Tehtavat!$A$1:'Tehtavat'!$A$341,Tehtavat!Q$1:'Tehtavat'!Q$341)</f>
        <v>#N/A</v>
      </c>
      <c r="R5" s="67" t="e" cm="1">
        <f t="array" ref="R5">_xlfn.XLOOKUP($A4,Tehtavat!$A$1:'Tehtavat'!$A$341,Tehtavat!R$1:'Tehtavat'!R$341)</f>
        <v>#N/A</v>
      </c>
      <c r="S5" s="67" t="e" cm="1">
        <f t="array" ref="S5">_xlfn.XLOOKUP($A4,Tehtavat!$A$1:'Tehtavat'!$A$341,Tehtavat!S$1:'Tehtavat'!S$341)</f>
        <v>#N/A</v>
      </c>
      <c r="T5" s="67" t="e" cm="1">
        <f t="array" ref="T5">_xlfn.XLOOKUP($A4,Tehtavat!$A$1:'Tehtavat'!$A$341,Tehtavat!T$1:'Tehtavat'!T$341)</f>
        <v>#N/A</v>
      </c>
      <c r="U5" s="68" t="e" cm="1">
        <f t="array" ref="U5">_xlfn.XLOOKUP($A4,Tehtavat!$A$1:'Tehtavat'!$A$341,Tehtavat!U$1:'Tehtavat'!U$341)</f>
        <v>#N/A</v>
      </c>
      <c r="V5" s="68" t="e" cm="1">
        <f t="array" ref="V5">_xlfn.XLOOKUP($A4,Tehtavat!$A$1:'Tehtavat'!$A$341,Tehtavat!V$1:'Tehtavat'!V$341)</f>
        <v>#N/A</v>
      </c>
    </row>
    <row r="6" spans="1:22" s="20" customFormat="1" ht="18" customHeight="1" x14ac:dyDescent="0.2">
      <c r="A6" s="88" t="str">
        <f>LEFT(A7,10)</f>
        <v>23.10.2023</v>
      </c>
      <c r="B6" s="62">
        <f>DATEVALUE(A6)</f>
        <v>45222</v>
      </c>
      <c r="C6" s="62">
        <f>VALUE(B6+1)</f>
        <v>45223</v>
      </c>
      <c r="D6" s="62">
        <f>VALUE(C6+1)</f>
        <v>45224</v>
      </c>
      <c r="E6" s="62">
        <f t="shared" ref="E6:U6" si="1">VALUE(D6+1)</f>
        <v>45225</v>
      </c>
      <c r="F6" s="62">
        <f t="shared" si="1"/>
        <v>45226</v>
      </c>
      <c r="G6" s="62">
        <f t="shared" si="1"/>
        <v>45227</v>
      </c>
      <c r="H6" s="62">
        <f t="shared" si="1"/>
        <v>45228</v>
      </c>
      <c r="I6" s="62">
        <f t="shared" si="1"/>
        <v>45229</v>
      </c>
      <c r="J6" s="62">
        <f t="shared" si="1"/>
        <v>45230</v>
      </c>
      <c r="K6" s="62">
        <f t="shared" si="1"/>
        <v>45231</v>
      </c>
      <c r="L6" s="62">
        <f t="shared" si="1"/>
        <v>45232</v>
      </c>
      <c r="M6" s="62">
        <f t="shared" si="1"/>
        <v>45233</v>
      </c>
      <c r="N6" s="62">
        <f t="shared" si="1"/>
        <v>45234</v>
      </c>
      <c r="O6" s="62">
        <f t="shared" si="1"/>
        <v>45235</v>
      </c>
      <c r="P6" s="62">
        <f t="shared" si="1"/>
        <v>45236</v>
      </c>
      <c r="Q6" s="62">
        <f t="shared" si="1"/>
        <v>45237</v>
      </c>
      <c r="R6" s="62">
        <f t="shared" si="1"/>
        <v>45238</v>
      </c>
      <c r="S6" s="62">
        <f t="shared" si="1"/>
        <v>45239</v>
      </c>
      <c r="T6" s="62">
        <f t="shared" si="1"/>
        <v>45240</v>
      </c>
      <c r="U6" s="62">
        <f t="shared" si="1"/>
        <v>45241</v>
      </c>
      <c r="V6" s="62">
        <f>VALUE(U6+1)</f>
        <v>45242</v>
      </c>
    </row>
    <row r="7" spans="1:22" ht="34.9" customHeight="1" x14ac:dyDescent="0.25">
      <c r="A7" s="86" t="str" cm="1">
        <f t="array" ref="A7">titaniajakso(Omakierto!$A$2,Omakierto!A1,Omakierto!$A$1, 1)</f>
        <v>23.10.2023-12.11.2023</v>
      </c>
      <c r="B7" s="31" t="str" cm="1">
        <f t="array" ref="B7">_xlfn.XLOOKUP(TRUE,EXACT(Vuorokoodit!$A:$A,B8),Vuorokoodit!$E:$E,"Ei löydy")</f>
        <v>Ei löydy</v>
      </c>
      <c r="C7" s="31" t="str" cm="1">
        <f t="array" ref="C7">_xlfn.XLOOKUP(TRUE,EXACT(Vuorokoodit!$A:$A,C8),Vuorokoodit!$E:$E,"Ei löydy")</f>
        <v>Ei löydy</v>
      </c>
      <c r="D7" s="31" t="str" cm="1">
        <f t="array" ref="D7">_xlfn.XLOOKUP(TRUE,EXACT(Vuorokoodit!$A:$A,D8),Vuorokoodit!$E:$E,"Ei löydy")</f>
        <v>Ei löydy</v>
      </c>
      <c r="E7" s="31" t="str" cm="1">
        <f t="array" ref="E7">_xlfn.XLOOKUP(TRUE,EXACT(Vuorokoodit!$A:$A,E8),Vuorokoodit!$E:$E,"Ei löydy")</f>
        <v>Ei löydy</v>
      </c>
      <c r="F7" s="31" t="str" cm="1">
        <f t="array" ref="F7">_xlfn.XLOOKUP(TRUE,EXACT(Vuorokoodit!$A:$A,F8),Vuorokoodit!$E:$E,"Ei löydy")</f>
        <v>Ei löydy</v>
      </c>
      <c r="G7" s="31" t="str" cm="1">
        <f t="array" ref="G7">_xlfn.XLOOKUP(TRUE,EXACT(Vuorokoodit!$A:$A,G8),Vuorokoodit!$E:$E,"Ei löydy")</f>
        <v>Ei löydy</v>
      </c>
      <c r="H7" s="31" t="str" cm="1">
        <f t="array" ref="H7">_xlfn.XLOOKUP(TRUE,EXACT(Vuorokoodit!$A:$A,H8),Vuorokoodit!$E:$E,"Ei löydy")</f>
        <v>Ei löydy</v>
      </c>
      <c r="I7" s="31" t="str" cm="1">
        <f t="array" ref="I7">_xlfn.XLOOKUP(TRUE,EXACT(Vuorokoodit!$A:$A,I8),Vuorokoodit!$E:$E,"Ei löydy")</f>
        <v>Ei löydy</v>
      </c>
      <c r="J7" s="31" t="str" cm="1">
        <f t="array" ref="J7">_xlfn.XLOOKUP(TRUE,EXACT(Vuorokoodit!$A:$A,J8),Vuorokoodit!$E:$E,"Ei löydy")</f>
        <v>Ei löydy</v>
      </c>
      <c r="K7" s="31" t="str" cm="1">
        <f t="array" ref="K7">_xlfn.XLOOKUP(TRUE,EXACT(Vuorokoodit!$A:$A,K8),Vuorokoodit!$E:$E,"Ei löydy")</f>
        <v>Ei löydy</v>
      </c>
      <c r="L7" s="31" t="str" cm="1">
        <f t="array" ref="L7">_xlfn.XLOOKUP(TRUE,EXACT(Vuorokoodit!$A:$A,L8),Vuorokoodit!$E:$E,"Ei löydy")</f>
        <v>Ei löydy</v>
      </c>
      <c r="M7" s="31" t="str" cm="1">
        <f t="array" ref="M7">_xlfn.XLOOKUP(TRUE,EXACT(Vuorokoodit!$A:$A,M8),Vuorokoodit!$E:$E,"Ei löydy")</f>
        <v>Ei löydy</v>
      </c>
      <c r="N7" s="31" t="str" cm="1">
        <f t="array" ref="N7">_xlfn.XLOOKUP(TRUE,EXACT(Vuorokoodit!$A:$A,N8),Vuorokoodit!$E:$E,"Ei löydy")</f>
        <v>Ei löydy</v>
      </c>
      <c r="O7" s="31" t="str" cm="1">
        <f t="array" ref="O7">_xlfn.XLOOKUP(TRUE,EXACT(Vuorokoodit!$A:$A,O8),Vuorokoodit!$E:$E,"Ei löydy")</f>
        <v>Ei löydy</v>
      </c>
      <c r="P7" s="31" t="str" cm="1">
        <f t="array" ref="P7">_xlfn.XLOOKUP(TRUE,EXACT(Vuorokoodit!$A:$A,P8),Vuorokoodit!$E:$E,"Ei löydy")</f>
        <v>Ei löydy</v>
      </c>
      <c r="Q7" s="31" t="str" cm="1">
        <f t="array" ref="Q7">_xlfn.XLOOKUP(TRUE,EXACT(Vuorokoodit!$A:$A,Q8),Vuorokoodit!$E:$E,"Ei löydy")</f>
        <v>Ei löydy</v>
      </c>
      <c r="R7" s="31" t="str" cm="1">
        <f t="array" ref="R7">_xlfn.XLOOKUP(TRUE,EXACT(Vuorokoodit!$A:$A,R8),Vuorokoodit!$E:$E,"Ei löydy")</f>
        <v>Ei löydy</v>
      </c>
      <c r="S7" s="31" t="str" cm="1">
        <f t="array" ref="S7">_xlfn.XLOOKUP(TRUE,EXACT(Vuorokoodit!$A:$A,S8),Vuorokoodit!$E:$E,"Ei löydy")</f>
        <v>Ei löydy</v>
      </c>
      <c r="T7" s="31" t="str" cm="1">
        <f t="array" ref="T7">_xlfn.XLOOKUP(TRUE,EXACT(Vuorokoodit!$A:$A,T8),Vuorokoodit!$E:$E,"Ei löydy")</f>
        <v>Ei löydy</v>
      </c>
      <c r="U7" s="31" t="str" cm="1">
        <f t="array" ref="U7">_xlfn.XLOOKUP(TRUE,EXACT(Vuorokoodit!$A:$A,U8),Vuorokoodit!$E:$E,"Ei löydy")</f>
        <v>Ei löydy</v>
      </c>
      <c r="V7" s="31" t="str" cm="1">
        <f t="array" ref="V7">_xlfn.XLOOKUP(TRUE,EXACT(Vuorokoodit!$A:$A,V8),Vuorokoodit!$E:$E,"Ei löydy")</f>
        <v>Ei löydy</v>
      </c>
    </row>
    <row r="8" spans="1:22" ht="16.149999999999999" customHeight="1" x14ac:dyDescent="0.25">
      <c r="A8" s="27" t="e">
        <f>_xlfn.XLOOKUP($A$1,Koontilista!$A:$A,Koontilista!$X:$X)</f>
        <v>#N/A</v>
      </c>
      <c r="B8" s="31" t="e" cm="1">
        <f t="array" ref="B8">_xlfn.XLOOKUP($A8,Kiertotunnus!$A$2:'Kiertotunnus'!$A$11,Kiertotunnus!B$2:'Kiertotunnus'!B$11)</f>
        <v>#N/A</v>
      </c>
      <c r="C8" s="31" t="e" cm="1">
        <f t="array" ref="C8">_xlfn.XLOOKUP($A8,Kiertotunnus!$A$2:'Kiertotunnus'!$A$11,Kiertotunnus!C$2:'Kiertotunnus'!C$11)</f>
        <v>#N/A</v>
      </c>
      <c r="D8" s="31" t="e" cm="1">
        <f t="array" ref="D8">_xlfn.XLOOKUP($A8,Kiertotunnus!$A$2:'Kiertotunnus'!$A$11,Kiertotunnus!D$2:'Kiertotunnus'!D$11)</f>
        <v>#N/A</v>
      </c>
      <c r="E8" s="31" t="e" cm="1">
        <f t="array" ref="E8">_xlfn.XLOOKUP($A8,Kiertotunnus!$A$2:'Kiertotunnus'!$A$11,Kiertotunnus!E$2:'Kiertotunnus'!E$11)</f>
        <v>#N/A</v>
      </c>
      <c r="F8" s="31" t="e" cm="1">
        <f t="array" ref="F8">_xlfn.XLOOKUP($A8,Kiertotunnus!$A$2:'Kiertotunnus'!$A$11,Kiertotunnus!F$2:'Kiertotunnus'!F$11)</f>
        <v>#N/A</v>
      </c>
      <c r="G8" s="31" t="e" cm="1">
        <f t="array" ref="G8">_xlfn.XLOOKUP($A8,Kiertotunnus!$A$2:'Kiertotunnus'!$A$11,Kiertotunnus!G$2:'Kiertotunnus'!G$11)</f>
        <v>#N/A</v>
      </c>
      <c r="H8" s="31" t="e" cm="1">
        <f t="array" ref="H8">_xlfn.XLOOKUP($A8,Kiertotunnus!$A$2:'Kiertotunnus'!$A$11,Kiertotunnus!H$2:'Kiertotunnus'!H$11)</f>
        <v>#N/A</v>
      </c>
      <c r="I8" s="31" t="e" cm="1">
        <f t="array" ref="I8">_xlfn.XLOOKUP($A8,Kiertotunnus!$A$2:'Kiertotunnus'!$A$11,Kiertotunnus!I$2:'Kiertotunnus'!I$11)</f>
        <v>#N/A</v>
      </c>
      <c r="J8" s="31" t="e" cm="1">
        <f t="array" ref="J8">_xlfn.XLOOKUP($A8,Kiertotunnus!$A$2:'Kiertotunnus'!$A$11,Kiertotunnus!J$2:'Kiertotunnus'!J$11)</f>
        <v>#N/A</v>
      </c>
      <c r="K8" s="31" t="e" cm="1">
        <f t="array" ref="K8">_xlfn.XLOOKUP($A8,Kiertotunnus!$A$2:'Kiertotunnus'!$A$11,Kiertotunnus!K$2:'Kiertotunnus'!K$11)</f>
        <v>#N/A</v>
      </c>
      <c r="L8" s="31" t="e" cm="1">
        <f t="array" ref="L8">_xlfn.XLOOKUP($A8,Kiertotunnus!$A$2:'Kiertotunnus'!$A$11,Kiertotunnus!L$2:'Kiertotunnus'!L$11)</f>
        <v>#N/A</v>
      </c>
      <c r="M8" s="31" t="e" cm="1">
        <f t="array" ref="M8">_xlfn.XLOOKUP($A8,Kiertotunnus!$A$2:'Kiertotunnus'!$A$11,Kiertotunnus!M$2:'Kiertotunnus'!M$11)</f>
        <v>#N/A</v>
      </c>
      <c r="N8" s="31" t="e" cm="1">
        <f t="array" ref="N8">_xlfn.XLOOKUP($A8,Kiertotunnus!$A$2:'Kiertotunnus'!$A$11,Kiertotunnus!N$2:'Kiertotunnus'!N$11)</f>
        <v>#N/A</v>
      </c>
      <c r="O8" s="31" t="e" cm="1">
        <f t="array" ref="O8">_xlfn.XLOOKUP($A8,Kiertotunnus!$A$2:'Kiertotunnus'!$A$11,Kiertotunnus!O$2:'Kiertotunnus'!O$11)</f>
        <v>#N/A</v>
      </c>
      <c r="P8" s="31" t="e" cm="1">
        <f t="array" ref="P8">_xlfn.XLOOKUP($A8,Kiertotunnus!$A$2:'Kiertotunnus'!$A$11,Kiertotunnus!P$2:'Kiertotunnus'!P$11)</f>
        <v>#N/A</v>
      </c>
      <c r="Q8" s="31" t="e" cm="1">
        <f t="array" ref="Q8">_xlfn.XLOOKUP($A8,Kiertotunnus!$A$2:'Kiertotunnus'!$A$11,Kiertotunnus!Q$2:'Kiertotunnus'!Q$11)</f>
        <v>#N/A</v>
      </c>
      <c r="R8" s="31" t="e" cm="1">
        <f t="array" ref="R8">_xlfn.XLOOKUP($A8,Kiertotunnus!$A$2:'Kiertotunnus'!$A$11,Kiertotunnus!R$2:'Kiertotunnus'!R$11)</f>
        <v>#N/A</v>
      </c>
      <c r="S8" s="31" t="e" cm="1">
        <f t="array" ref="S8">_xlfn.XLOOKUP($A8,Kiertotunnus!$A$2:'Kiertotunnus'!$A$11,Kiertotunnus!S$2:'Kiertotunnus'!S$11)</f>
        <v>#N/A</v>
      </c>
      <c r="T8" s="31" t="e" cm="1">
        <f t="array" ref="T8">_xlfn.XLOOKUP($A8,Kiertotunnus!$A$2:'Kiertotunnus'!$A$11,Kiertotunnus!T$2:'Kiertotunnus'!T$11)</f>
        <v>#N/A</v>
      </c>
      <c r="U8" s="31" t="e" cm="1">
        <f t="array" ref="U8">_xlfn.XLOOKUP($A8,Kiertotunnus!$A$2:'Kiertotunnus'!$A$11,Kiertotunnus!U$2:'Kiertotunnus'!U$11)</f>
        <v>#N/A</v>
      </c>
      <c r="V8" s="31" t="e" cm="1">
        <f t="array" ref="V8">_xlfn.XLOOKUP($A8,Kiertotunnus!$A$2:'Kiertotunnus'!$A$11,Kiertotunnus!V$2:'Kiertotunnus'!V$11)</f>
        <v>#N/A</v>
      </c>
    </row>
    <row r="9" spans="1:22" ht="23.45" customHeight="1" x14ac:dyDescent="0.25">
      <c r="A9" s="20" t="s">
        <v>96</v>
      </c>
      <c r="B9" s="67" t="e" cm="1">
        <f t="array" ref="B9">_xlfn.XLOOKUP($A8,Tehtavat!$A$1:'Tehtavat'!$A$341,Tehtavat!B$1:'Tehtavat'!B$341)</f>
        <v>#N/A</v>
      </c>
      <c r="C9" s="69" t="e" cm="1">
        <f t="array" ref="C9">_xlfn.XLOOKUP($A8,Tehtavat!$A$1:'Tehtavat'!$A$341,Tehtavat!C$1:'Tehtavat'!C$341)</f>
        <v>#N/A</v>
      </c>
      <c r="D9" s="69" t="e" cm="1">
        <f t="array" ref="D9">_xlfn.XLOOKUP($A8,Tehtavat!$A$1:'Tehtavat'!$A$341,Tehtavat!D$1:'Tehtavat'!D$341)</f>
        <v>#N/A</v>
      </c>
      <c r="E9" s="69" t="e" cm="1">
        <f t="array" ref="E9">_xlfn.XLOOKUP($A8,Tehtavat!$A$1:'Tehtavat'!$A$341,Tehtavat!E$1:'Tehtavat'!E$341)</f>
        <v>#N/A</v>
      </c>
      <c r="F9" s="69" t="e" cm="1">
        <f t="array" ref="F9">_xlfn.XLOOKUP($A8,Tehtavat!$A$1:'Tehtavat'!$A$341,Tehtavat!F$1:'Tehtavat'!F$341)</f>
        <v>#N/A</v>
      </c>
      <c r="G9" s="70" t="e" cm="1">
        <f t="array" ref="G9">_xlfn.XLOOKUP($A8,Tehtavat!$A$1:'Tehtavat'!$A$341,Tehtavat!G$1:'Tehtavat'!G$341)</f>
        <v>#N/A</v>
      </c>
      <c r="H9" s="70" t="e" cm="1">
        <f t="array" ref="H9">_xlfn.XLOOKUP($A8,Tehtavat!$A$1:'Tehtavat'!$A$341,Tehtavat!H$1:'Tehtavat'!H$341)</f>
        <v>#N/A</v>
      </c>
      <c r="I9" s="69" t="e" cm="1">
        <f t="array" ref="I9">_xlfn.XLOOKUP($A8,Tehtavat!$A$1:'Tehtavat'!$A$341,Tehtavat!I$1:'Tehtavat'!I$341)</f>
        <v>#N/A</v>
      </c>
      <c r="J9" s="69" t="e" cm="1">
        <f t="array" ref="J9">_xlfn.XLOOKUP($A8,Tehtavat!$A$1:'Tehtavat'!$A$341,Tehtavat!J$1:'Tehtavat'!J$341)</f>
        <v>#N/A</v>
      </c>
      <c r="K9" s="69" t="e" cm="1">
        <f t="array" ref="K9">_xlfn.XLOOKUP($A8,Tehtavat!$A$1:'Tehtavat'!$A$341,Tehtavat!K$1:'Tehtavat'!K$341)</f>
        <v>#N/A</v>
      </c>
      <c r="L9" s="69" t="e" cm="1">
        <f t="array" ref="L9">_xlfn.XLOOKUP($A8,Tehtavat!$A$1:'Tehtavat'!$A$341,Tehtavat!L$1:'Tehtavat'!L$341)</f>
        <v>#N/A</v>
      </c>
      <c r="M9" s="69" t="e" cm="1">
        <f t="array" ref="M9">_xlfn.XLOOKUP($A8,Tehtavat!$A$1:'Tehtavat'!$A$341,Tehtavat!M$1:'Tehtavat'!M$341)</f>
        <v>#N/A</v>
      </c>
      <c r="N9" s="70" t="e" cm="1">
        <f t="array" ref="N9">_xlfn.XLOOKUP($A8,Tehtavat!$A$1:'Tehtavat'!$A$341,Tehtavat!N$1:'Tehtavat'!N$341)</f>
        <v>#N/A</v>
      </c>
      <c r="O9" s="70" t="e" cm="1">
        <f t="array" ref="O9">_xlfn.XLOOKUP($A8,Tehtavat!$A$1:'Tehtavat'!$A$341,Tehtavat!O$1:'Tehtavat'!O$341)</f>
        <v>#N/A</v>
      </c>
      <c r="P9" s="69" t="e" cm="1">
        <f t="array" ref="P9">_xlfn.XLOOKUP($A8,Tehtavat!$A$1:'Tehtavat'!$A$341,Tehtavat!P$1:'Tehtavat'!P$341)</f>
        <v>#N/A</v>
      </c>
      <c r="Q9" s="69" t="e" cm="1">
        <f t="array" ref="Q9">_xlfn.XLOOKUP($A8,Tehtavat!$A$1:'Tehtavat'!$A$341,Tehtavat!Q$1:'Tehtavat'!Q$341)</f>
        <v>#N/A</v>
      </c>
      <c r="R9" s="69" t="e" cm="1">
        <f t="array" ref="R9">_xlfn.XLOOKUP($A8,Tehtavat!$A$1:'Tehtavat'!$A$341,Tehtavat!R$1:'Tehtavat'!R$341)</f>
        <v>#N/A</v>
      </c>
      <c r="S9" s="69" t="e" cm="1">
        <f t="array" ref="S9">_xlfn.XLOOKUP($A8,Tehtavat!$A$1:'Tehtavat'!$A$341,Tehtavat!S$1:'Tehtavat'!S$341)</f>
        <v>#N/A</v>
      </c>
      <c r="T9" s="69" t="e" cm="1">
        <f t="array" ref="T9">_xlfn.XLOOKUP($A8,Tehtavat!$A$1:'Tehtavat'!$A$341,Tehtavat!T$1:'Tehtavat'!T$341)</f>
        <v>#N/A</v>
      </c>
      <c r="U9" s="70" t="e" cm="1">
        <f t="array" ref="U9">_xlfn.XLOOKUP($A8,Tehtavat!$A$1:'Tehtavat'!$A$341,Tehtavat!U$1:'Tehtavat'!U$341)</f>
        <v>#N/A</v>
      </c>
      <c r="V9" s="70" t="e" cm="1">
        <f t="array" ref="V9">_xlfn.XLOOKUP($A8,Tehtavat!$A$1:'Tehtavat'!$A$341,Tehtavat!V$1:'Tehtavat'!V$341)</f>
        <v>#N/A</v>
      </c>
    </row>
    <row r="10" spans="1:22" s="20" customFormat="1" ht="18" customHeight="1" x14ac:dyDescent="0.2">
      <c r="A10" s="88" t="str">
        <f>LEFT(A11,10)</f>
        <v>13.11.2023</v>
      </c>
      <c r="B10" s="62">
        <f>DATEVALUE(A10)</f>
        <v>45243</v>
      </c>
      <c r="C10" s="62">
        <f t="shared" ref="C10:V10" si="2">VALUE(B10+1)</f>
        <v>45244</v>
      </c>
      <c r="D10" s="62">
        <f t="shared" si="2"/>
        <v>45245</v>
      </c>
      <c r="E10" s="62">
        <f t="shared" si="2"/>
        <v>45246</v>
      </c>
      <c r="F10" s="62">
        <f t="shared" si="2"/>
        <v>45247</v>
      </c>
      <c r="G10" s="62">
        <f t="shared" si="2"/>
        <v>45248</v>
      </c>
      <c r="H10" s="62">
        <f t="shared" si="2"/>
        <v>45249</v>
      </c>
      <c r="I10" s="62">
        <f t="shared" si="2"/>
        <v>45250</v>
      </c>
      <c r="J10" s="62">
        <f t="shared" si="2"/>
        <v>45251</v>
      </c>
      <c r="K10" s="62">
        <f t="shared" si="2"/>
        <v>45252</v>
      </c>
      <c r="L10" s="62">
        <f t="shared" si="2"/>
        <v>45253</v>
      </c>
      <c r="M10" s="62">
        <f t="shared" si="2"/>
        <v>45254</v>
      </c>
      <c r="N10" s="62">
        <f t="shared" si="2"/>
        <v>45255</v>
      </c>
      <c r="O10" s="62">
        <f t="shared" si="2"/>
        <v>45256</v>
      </c>
      <c r="P10" s="62">
        <f t="shared" si="2"/>
        <v>45257</v>
      </c>
      <c r="Q10" s="62">
        <f t="shared" si="2"/>
        <v>45258</v>
      </c>
      <c r="R10" s="62">
        <f t="shared" si="2"/>
        <v>45259</v>
      </c>
      <c r="S10" s="62">
        <f t="shared" si="2"/>
        <v>45260</v>
      </c>
      <c r="T10" s="62">
        <f t="shared" si="2"/>
        <v>45261</v>
      </c>
      <c r="U10" s="62">
        <f t="shared" si="2"/>
        <v>45262</v>
      </c>
      <c r="V10" s="62">
        <f t="shared" si="2"/>
        <v>45263</v>
      </c>
    </row>
    <row r="11" spans="1:22" ht="34.9" customHeight="1" x14ac:dyDescent="0.25">
      <c r="A11" s="86" t="str" cm="1">
        <f t="array" ref="A11">titaniajakso(Omakierto!$A$2,Omakierto!A1,Omakierto!$A$1, 2)</f>
        <v>13.11.2023-03.12.2023</v>
      </c>
      <c r="B11" s="31" t="str" cm="1">
        <f t="array" ref="B11">_xlfn.XLOOKUP(TRUE,EXACT(Vuorokoodit!$A:$A,B12),Vuorokoodit!$E:$E,"Ei löydy")</f>
        <v>Ei löydy</v>
      </c>
      <c r="C11" s="31" t="str" cm="1">
        <f t="array" ref="C11">_xlfn.XLOOKUP(TRUE,EXACT(Vuorokoodit!$A:$A,C12),Vuorokoodit!$E:$E,"Ei löydy")</f>
        <v>Ei löydy</v>
      </c>
      <c r="D11" s="31" t="str" cm="1">
        <f t="array" ref="D11">_xlfn.XLOOKUP(TRUE,EXACT(Vuorokoodit!$A:$A,D12),Vuorokoodit!$E:$E,"Ei löydy")</f>
        <v>Ei löydy</v>
      </c>
      <c r="E11" s="31" t="str" cm="1">
        <f t="array" ref="E11">_xlfn.XLOOKUP(TRUE,EXACT(Vuorokoodit!$A:$A,E12),Vuorokoodit!$E:$E,"Ei löydy")</f>
        <v>Ei löydy</v>
      </c>
      <c r="F11" s="31" t="str" cm="1">
        <f t="array" ref="F11">_xlfn.XLOOKUP(TRUE,EXACT(Vuorokoodit!$A:$A,F12),Vuorokoodit!$E:$E,"Ei löydy")</f>
        <v>Ei löydy</v>
      </c>
      <c r="G11" s="31" t="str" cm="1">
        <f t="array" ref="G11">_xlfn.XLOOKUP(TRUE,EXACT(Vuorokoodit!$A:$A,G12),Vuorokoodit!$E:$E,"Ei löydy")</f>
        <v>Ei löydy</v>
      </c>
      <c r="H11" s="31" t="str" cm="1">
        <f t="array" ref="H11">_xlfn.XLOOKUP(TRUE,EXACT(Vuorokoodit!$A:$A,H12),Vuorokoodit!$E:$E,"Ei löydy")</f>
        <v>Ei löydy</v>
      </c>
      <c r="I11" s="31" t="str" cm="1">
        <f t="array" ref="I11">_xlfn.XLOOKUP(TRUE,EXACT(Vuorokoodit!$A:$A,I12),Vuorokoodit!$E:$E,"Ei löydy")</f>
        <v>Ei löydy</v>
      </c>
      <c r="J11" s="31" t="str" cm="1">
        <f t="array" ref="J11">_xlfn.XLOOKUP(TRUE,EXACT(Vuorokoodit!$A:$A,J12),Vuorokoodit!$E:$E,"Ei löydy")</f>
        <v>Ei löydy</v>
      </c>
      <c r="K11" s="31" t="str" cm="1">
        <f t="array" ref="K11">_xlfn.XLOOKUP(TRUE,EXACT(Vuorokoodit!$A:$A,K12),Vuorokoodit!$E:$E,"Ei löydy")</f>
        <v>Ei löydy</v>
      </c>
      <c r="L11" s="31" t="str" cm="1">
        <f t="array" ref="L11">_xlfn.XLOOKUP(TRUE,EXACT(Vuorokoodit!$A:$A,L12),Vuorokoodit!$E:$E,"Ei löydy")</f>
        <v>Ei löydy</v>
      </c>
      <c r="M11" s="31" t="str" cm="1">
        <f t="array" ref="M11">_xlfn.XLOOKUP(TRUE,EXACT(Vuorokoodit!$A:$A,M12),Vuorokoodit!$E:$E,"Ei löydy")</f>
        <v>Ei löydy</v>
      </c>
      <c r="N11" s="31" t="str" cm="1">
        <f t="array" ref="N11">_xlfn.XLOOKUP(TRUE,EXACT(Vuorokoodit!$A:$A,N12),Vuorokoodit!$E:$E,"Ei löydy")</f>
        <v>Ei löydy</v>
      </c>
      <c r="O11" s="31" t="str" cm="1">
        <f t="array" ref="O11">_xlfn.XLOOKUP(TRUE,EXACT(Vuorokoodit!$A:$A,O12),Vuorokoodit!$E:$E,"Ei löydy")</f>
        <v>Ei löydy</v>
      </c>
      <c r="P11" s="31" t="str" cm="1">
        <f t="array" ref="P11">_xlfn.XLOOKUP(TRUE,EXACT(Vuorokoodit!$A:$A,P12),Vuorokoodit!$E:$E,"Ei löydy")</f>
        <v>Ei löydy</v>
      </c>
      <c r="Q11" s="31" t="str" cm="1">
        <f t="array" ref="Q11">_xlfn.XLOOKUP(TRUE,EXACT(Vuorokoodit!$A:$A,Q12),Vuorokoodit!$E:$E,"Ei löydy")</f>
        <v>Ei löydy</v>
      </c>
      <c r="R11" s="31" t="str" cm="1">
        <f t="array" ref="R11">_xlfn.XLOOKUP(TRUE,EXACT(Vuorokoodit!$A:$A,R12),Vuorokoodit!$E:$E,"Ei löydy")</f>
        <v>Ei löydy</v>
      </c>
      <c r="S11" s="31" t="str" cm="1">
        <f t="array" ref="S11">_xlfn.XLOOKUP(TRUE,EXACT(Vuorokoodit!$A:$A,S12),Vuorokoodit!$E:$E,"Ei löydy")</f>
        <v>Ei löydy</v>
      </c>
      <c r="T11" s="31" t="str" cm="1">
        <f t="array" ref="T11">_xlfn.XLOOKUP(TRUE,EXACT(Vuorokoodit!$A:$A,T12),Vuorokoodit!$E:$E,"Ei löydy")</f>
        <v>Ei löydy</v>
      </c>
      <c r="U11" s="31" t="str" cm="1">
        <f t="array" ref="U11">_xlfn.XLOOKUP(TRUE,EXACT(Vuorokoodit!$A:$A,U12),Vuorokoodit!$E:$E,"Ei löydy")</f>
        <v>Ei löydy</v>
      </c>
      <c r="V11" s="31" t="str" cm="1">
        <f t="array" ref="V11">_xlfn.XLOOKUP(TRUE,EXACT(Vuorokoodit!$A:$A,V12),Vuorokoodit!$E:$E,"Ei löydy")</f>
        <v>Ei löydy</v>
      </c>
    </row>
    <row r="12" spans="1:22" ht="16.149999999999999" customHeight="1" x14ac:dyDescent="0.25">
      <c r="A12" s="27" t="e">
        <f>_xlfn.XLOOKUP($A$1,Koontilista!$A:$A,Koontilista!$Y:$Y)</f>
        <v>#N/A</v>
      </c>
      <c r="B12" s="31" t="e" cm="1">
        <f t="array" ref="B12">_xlfn.XLOOKUP($A12,Kiertotunnus!$A$2:'Kiertotunnus'!$A$11,Kiertotunnus!B$2:'Kiertotunnus'!B$11)</f>
        <v>#N/A</v>
      </c>
      <c r="C12" s="31" t="e" cm="1">
        <f t="array" ref="C12">_xlfn.XLOOKUP($A12,Kiertotunnus!$A$2:'Kiertotunnus'!$A$11,Kiertotunnus!C$2:'Kiertotunnus'!C$11)</f>
        <v>#N/A</v>
      </c>
      <c r="D12" s="31" t="e" cm="1">
        <f t="array" ref="D12">_xlfn.XLOOKUP($A12,Kiertotunnus!$A$2:'Kiertotunnus'!$A$11,Kiertotunnus!D$2:'Kiertotunnus'!D$11)</f>
        <v>#N/A</v>
      </c>
      <c r="E12" s="31" t="e" cm="1">
        <f t="array" ref="E12">_xlfn.XLOOKUP($A12,Kiertotunnus!$A$2:'Kiertotunnus'!$A$11,Kiertotunnus!E$2:'Kiertotunnus'!E$11)</f>
        <v>#N/A</v>
      </c>
      <c r="F12" s="31" t="e" cm="1">
        <f t="array" ref="F12">_xlfn.XLOOKUP($A12,Kiertotunnus!$A$2:'Kiertotunnus'!$A$11,Kiertotunnus!F$2:'Kiertotunnus'!F$11)</f>
        <v>#N/A</v>
      </c>
      <c r="G12" s="31" t="e" cm="1">
        <f t="array" ref="G12">_xlfn.XLOOKUP($A12,Kiertotunnus!$A$2:'Kiertotunnus'!$A$11,Kiertotunnus!G$2:'Kiertotunnus'!G$11)</f>
        <v>#N/A</v>
      </c>
      <c r="H12" s="31" t="e" cm="1">
        <f t="array" ref="H12">_xlfn.XLOOKUP($A12,Kiertotunnus!$A$2:'Kiertotunnus'!$A$11,Kiertotunnus!H$2:'Kiertotunnus'!H$11)</f>
        <v>#N/A</v>
      </c>
      <c r="I12" s="31" t="e" cm="1">
        <f t="array" ref="I12">_xlfn.XLOOKUP($A12,Kiertotunnus!$A$2:'Kiertotunnus'!$A$11,Kiertotunnus!I$2:'Kiertotunnus'!I$11)</f>
        <v>#N/A</v>
      </c>
      <c r="J12" s="31" t="e" cm="1">
        <f t="array" ref="J12">_xlfn.XLOOKUP($A12,Kiertotunnus!$A$2:'Kiertotunnus'!$A$11,Kiertotunnus!J$2:'Kiertotunnus'!J$11)</f>
        <v>#N/A</v>
      </c>
      <c r="K12" s="31" t="e" cm="1">
        <f t="array" ref="K12">_xlfn.XLOOKUP($A12,Kiertotunnus!$A$2:'Kiertotunnus'!$A$11,Kiertotunnus!K$2:'Kiertotunnus'!K$11)</f>
        <v>#N/A</v>
      </c>
      <c r="L12" s="31" t="e" cm="1">
        <f t="array" ref="L12">_xlfn.XLOOKUP($A12,Kiertotunnus!$A$2:'Kiertotunnus'!$A$11,Kiertotunnus!L$2:'Kiertotunnus'!L$11)</f>
        <v>#N/A</v>
      </c>
      <c r="M12" s="31" t="e" cm="1">
        <f t="array" ref="M12">_xlfn.XLOOKUP($A12,Kiertotunnus!$A$2:'Kiertotunnus'!$A$11,Kiertotunnus!M$2:'Kiertotunnus'!M$11)</f>
        <v>#N/A</v>
      </c>
      <c r="N12" s="31" t="e" cm="1">
        <f t="array" ref="N12">_xlfn.XLOOKUP($A12,Kiertotunnus!$A$2:'Kiertotunnus'!$A$11,Kiertotunnus!N$2:'Kiertotunnus'!N$11)</f>
        <v>#N/A</v>
      </c>
      <c r="O12" s="31" t="e" cm="1">
        <f t="array" ref="O12">_xlfn.XLOOKUP($A12,Kiertotunnus!$A$2:'Kiertotunnus'!$A$11,Kiertotunnus!O$2:'Kiertotunnus'!O$11)</f>
        <v>#N/A</v>
      </c>
      <c r="P12" s="31" t="e" cm="1">
        <f t="array" ref="P12">_xlfn.XLOOKUP($A12,Kiertotunnus!$A$2:'Kiertotunnus'!$A$11,Kiertotunnus!P$2:'Kiertotunnus'!P$11)</f>
        <v>#N/A</v>
      </c>
      <c r="Q12" s="31" t="e" cm="1">
        <f t="array" ref="Q12">_xlfn.XLOOKUP($A12,Kiertotunnus!$A$2:'Kiertotunnus'!$A$11,Kiertotunnus!Q$2:'Kiertotunnus'!Q$11)</f>
        <v>#N/A</v>
      </c>
      <c r="R12" s="31" t="e" cm="1">
        <f t="array" ref="R12">_xlfn.XLOOKUP($A12,Kiertotunnus!$A$2:'Kiertotunnus'!$A$11,Kiertotunnus!R$2:'Kiertotunnus'!R$11)</f>
        <v>#N/A</v>
      </c>
      <c r="S12" s="31" t="e" cm="1">
        <f t="array" ref="S12">_xlfn.XLOOKUP($A12,Kiertotunnus!$A$2:'Kiertotunnus'!$A$11,Kiertotunnus!S$2:'Kiertotunnus'!S$11)</f>
        <v>#N/A</v>
      </c>
      <c r="T12" s="31" t="e" cm="1">
        <f t="array" ref="T12">_xlfn.XLOOKUP($A12,Kiertotunnus!$A$2:'Kiertotunnus'!$A$11,Kiertotunnus!T$2:'Kiertotunnus'!T$11)</f>
        <v>#N/A</v>
      </c>
      <c r="U12" s="31" t="e" cm="1">
        <f t="array" ref="U12">_xlfn.XLOOKUP($A12,Kiertotunnus!$A$2:'Kiertotunnus'!$A$11,Kiertotunnus!U$2:'Kiertotunnus'!U$11)</f>
        <v>#N/A</v>
      </c>
      <c r="V12" s="31" t="e" cm="1">
        <f t="array" ref="V12">_xlfn.XLOOKUP($A12,Kiertotunnus!$A$2:'Kiertotunnus'!$A$11,Kiertotunnus!V$2:'Kiertotunnus'!V$11)</f>
        <v>#N/A</v>
      </c>
    </row>
    <row r="13" spans="1:22" ht="23.45" customHeight="1" x14ac:dyDescent="0.25">
      <c r="A13" s="20" t="s">
        <v>96</v>
      </c>
      <c r="B13" s="67" t="e" cm="1">
        <f t="array" ref="B13">_xlfn.XLOOKUP($A12,Tehtavat!$A$1:'Tehtavat'!$A$341,Tehtavat!B$1:'Tehtavat'!B$341)</f>
        <v>#N/A</v>
      </c>
      <c r="C13" s="69" t="e" cm="1">
        <f t="array" ref="C13">_xlfn.XLOOKUP($A12,Tehtavat!$A$1:'Tehtavat'!$A$341,Tehtavat!C$1:'Tehtavat'!C$341)</f>
        <v>#N/A</v>
      </c>
      <c r="D13" s="69" t="e" cm="1">
        <f t="array" ref="D13">_xlfn.XLOOKUP($A12,Tehtavat!$A$1:'Tehtavat'!$A$341,Tehtavat!D$1:'Tehtavat'!D$341)</f>
        <v>#N/A</v>
      </c>
      <c r="E13" s="69" t="e" cm="1">
        <f t="array" ref="E13">_xlfn.XLOOKUP($A12,Tehtavat!$A$1:'Tehtavat'!$A$341,Tehtavat!E$1:'Tehtavat'!E$341)</f>
        <v>#N/A</v>
      </c>
      <c r="F13" s="69" t="e" cm="1">
        <f t="array" ref="F13">_xlfn.XLOOKUP($A12,Tehtavat!$A$1:'Tehtavat'!$A$341,Tehtavat!F$1:'Tehtavat'!F$341)</f>
        <v>#N/A</v>
      </c>
      <c r="G13" s="70" t="e" cm="1">
        <f t="array" ref="G13">_xlfn.XLOOKUP($A12,Tehtavat!$A$1:'Tehtavat'!$A$341,Tehtavat!G$1:'Tehtavat'!G$341)</f>
        <v>#N/A</v>
      </c>
      <c r="H13" s="70" t="e" cm="1">
        <f t="array" ref="H13">_xlfn.XLOOKUP($A12,Tehtavat!$A$1:'Tehtavat'!$A$341,Tehtavat!H$1:'Tehtavat'!H$341)</f>
        <v>#N/A</v>
      </c>
      <c r="I13" s="69" t="e" cm="1">
        <f t="array" ref="I13">_xlfn.XLOOKUP($A12,Tehtavat!$A$1:'Tehtavat'!$A$341,Tehtavat!I$1:'Tehtavat'!I$341)</f>
        <v>#N/A</v>
      </c>
      <c r="J13" s="69" t="e" cm="1">
        <f t="array" ref="J13">_xlfn.XLOOKUP($A12,Tehtavat!$A$1:'Tehtavat'!$A$341,Tehtavat!J$1:'Tehtavat'!J$341)</f>
        <v>#N/A</v>
      </c>
      <c r="K13" s="69" t="e" cm="1">
        <f t="array" ref="K13">_xlfn.XLOOKUP($A12,Tehtavat!$A$1:'Tehtavat'!$A$341,Tehtavat!K$1:'Tehtavat'!K$341)</f>
        <v>#N/A</v>
      </c>
      <c r="L13" s="69" t="e" cm="1">
        <f t="array" ref="L13">_xlfn.XLOOKUP($A12,Tehtavat!$A$1:'Tehtavat'!$A$341,Tehtavat!L$1:'Tehtavat'!L$341)</f>
        <v>#N/A</v>
      </c>
      <c r="M13" s="69" t="e" cm="1">
        <f t="array" ref="M13">_xlfn.XLOOKUP($A12,Tehtavat!$A$1:'Tehtavat'!$A$341,Tehtavat!M$1:'Tehtavat'!M$341)</f>
        <v>#N/A</v>
      </c>
      <c r="N13" s="70" t="e" cm="1">
        <f t="array" ref="N13">_xlfn.XLOOKUP($A12,Tehtavat!$A$1:'Tehtavat'!$A$341,Tehtavat!N$1:'Tehtavat'!N$341)</f>
        <v>#N/A</v>
      </c>
      <c r="O13" s="70" t="e" cm="1">
        <f t="array" ref="O13">_xlfn.XLOOKUP($A12,Tehtavat!$A$1:'Tehtavat'!$A$341,Tehtavat!O$1:'Tehtavat'!O$341)</f>
        <v>#N/A</v>
      </c>
      <c r="P13" s="69" t="e" cm="1">
        <f t="array" ref="P13">_xlfn.XLOOKUP($A12,Tehtavat!$A$1:'Tehtavat'!$A$341,Tehtavat!P$1:'Tehtavat'!P$341)</f>
        <v>#N/A</v>
      </c>
      <c r="Q13" s="69" t="e" cm="1">
        <f t="array" ref="Q13">_xlfn.XLOOKUP($A12,Tehtavat!$A$1:'Tehtavat'!$A$341,Tehtavat!Q$1:'Tehtavat'!Q$341)</f>
        <v>#N/A</v>
      </c>
      <c r="R13" s="69" t="e" cm="1">
        <f t="array" ref="R13">_xlfn.XLOOKUP($A12,Tehtavat!$A$1:'Tehtavat'!$A$341,Tehtavat!R$1:'Tehtavat'!R$341)</f>
        <v>#N/A</v>
      </c>
      <c r="S13" s="69" t="e" cm="1">
        <f t="array" ref="S13">_xlfn.XLOOKUP($A12,Tehtavat!$A$1:'Tehtavat'!$A$341,Tehtavat!S$1:'Tehtavat'!S$341)</f>
        <v>#N/A</v>
      </c>
      <c r="T13" s="69" t="e" cm="1">
        <f t="array" ref="T13">_xlfn.XLOOKUP($A12,Tehtavat!$A$1:'Tehtavat'!$A$341,Tehtavat!T$1:'Tehtavat'!T$341)</f>
        <v>#N/A</v>
      </c>
      <c r="U13" s="70" t="e" cm="1">
        <f t="array" ref="U13">_xlfn.XLOOKUP($A12,Tehtavat!$A$1:'Tehtavat'!$A$341,Tehtavat!U$1:'Tehtavat'!U$341)</f>
        <v>#N/A</v>
      </c>
      <c r="V13" s="70" t="e" cm="1">
        <f t="array" ref="V13">_xlfn.XLOOKUP($A12,Tehtavat!$A$1:'Tehtavat'!$A$341,Tehtavat!V$1:'Tehtavat'!V$341)</f>
        <v>#N/A</v>
      </c>
    </row>
    <row r="14" spans="1:22" s="20" customFormat="1" ht="18" customHeight="1" x14ac:dyDescent="0.2">
      <c r="A14" s="88" t="str">
        <f>LEFT(A15,10)</f>
        <v>04.12.2023</v>
      </c>
      <c r="B14" s="62">
        <f>DATEVALUE(A14)</f>
        <v>45264</v>
      </c>
      <c r="C14" s="62">
        <f t="shared" ref="C14:V14" si="3">VALUE(B14+1)</f>
        <v>45265</v>
      </c>
      <c r="D14" s="62">
        <f t="shared" si="3"/>
        <v>45266</v>
      </c>
      <c r="E14" s="62">
        <f t="shared" si="3"/>
        <v>45267</v>
      </c>
      <c r="F14" s="62">
        <f t="shared" si="3"/>
        <v>45268</v>
      </c>
      <c r="G14" s="62">
        <f t="shared" si="3"/>
        <v>45269</v>
      </c>
      <c r="H14" s="62">
        <f t="shared" si="3"/>
        <v>45270</v>
      </c>
      <c r="I14" s="62">
        <f t="shared" si="3"/>
        <v>45271</v>
      </c>
      <c r="J14" s="62">
        <f t="shared" si="3"/>
        <v>45272</v>
      </c>
      <c r="K14" s="62">
        <f t="shared" si="3"/>
        <v>45273</v>
      </c>
      <c r="L14" s="62">
        <f t="shared" si="3"/>
        <v>45274</v>
      </c>
      <c r="M14" s="62">
        <f t="shared" si="3"/>
        <v>45275</v>
      </c>
      <c r="N14" s="62">
        <f t="shared" si="3"/>
        <v>45276</v>
      </c>
      <c r="O14" s="62">
        <f t="shared" si="3"/>
        <v>45277</v>
      </c>
      <c r="P14" s="62">
        <f t="shared" si="3"/>
        <v>45278</v>
      </c>
      <c r="Q14" s="62">
        <f t="shared" si="3"/>
        <v>45279</v>
      </c>
      <c r="R14" s="62">
        <f t="shared" si="3"/>
        <v>45280</v>
      </c>
      <c r="S14" s="62">
        <f t="shared" si="3"/>
        <v>45281</v>
      </c>
      <c r="T14" s="62">
        <f t="shared" si="3"/>
        <v>45282</v>
      </c>
      <c r="U14" s="62">
        <f t="shared" si="3"/>
        <v>45283</v>
      </c>
      <c r="V14" s="62">
        <f t="shared" si="3"/>
        <v>45284</v>
      </c>
    </row>
    <row r="15" spans="1:22" ht="34.9" customHeight="1" x14ac:dyDescent="0.25">
      <c r="A15" s="86" t="str" cm="1">
        <f t="array" ref="A15">titaniajakso(Omakierto!$A$2,Omakierto!A1,Omakierto!$A$1, 3)</f>
        <v>04.12.2023-24.12.2023</v>
      </c>
      <c r="B15" s="31" t="str" cm="1">
        <f t="array" ref="B15">_xlfn.XLOOKUP(TRUE,EXACT(Vuorokoodit!$A:$A,B16),Vuorokoodit!$E:$E,"Ei löydy")</f>
        <v>Ei löydy</v>
      </c>
      <c r="C15" s="31" t="str" cm="1">
        <f t="array" ref="C15">_xlfn.XLOOKUP(TRUE,EXACT(Vuorokoodit!$A:$A,C16),Vuorokoodit!$E:$E,"Ei löydy")</f>
        <v>Ei löydy</v>
      </c>
      <c r="D15" s="31" t="str" cm="1">
        <f t="array" ref="D15">_xlfn.XLOOKUP(TRUE,EXACT(Vuorokoodit!$A:$A,D16),Vuorokoodit!$E:$E,"Ei löydy")</f>
        <v>Ei löydy</v>
      </c>
      <c r="E15" s="31" t="str" cm="1">
        <f t="array" ref="E15">_xlfn.XLOOKUP(TRUE,EXACT(Vuorokoodit!$A:$A,E16),Vuorokoodit!$E:$E,"Ei löydy")</f>
        <v>Ei löydy</v>
      </c>
      <c r="F15" s="31" t="str" cm="1">
        <f t="array" ref="F15">_xlfn.XLOOKUP(TRUE,EXACT(Vuorokoodit!$A:$A,F16),Vuorokoodit!$E:$E,"Ei löydy")</f>
        <v>Ei löydy</v>
      </c>
      <c r="G15" s="31" t="str" cm="1">
        <f t="array" ref="G15">_xlfn.XLOOKUP(TRUE,EXACT(Vuorokoodit!$A:$A,G16),Vuorokoodit!$E:$E,"Ei löydy")</f>
        <v>Ei löydy</v>
      </c>
      <c r="H15" s="31" t="str" cm="1">
        <f t="array" ref="H15">_xlfn.XLOOKUP(TRUE,EXACT(Vuorokoodit!$A:$A,H16),Vuorokoodit!$E:$E,"Ei löydy")</f>
        <v>Ei löydy</v>
      </c>
      <c r="I15" s="31" t="str" cm="1">
        <f t="array" ref="I15">_xlfn.XLOOKUP(TRUE,EXACT(Vuorokoodit!$A:$A,I16),Vuorokoodit!$E:$E,"Ei löydy")</f>
        <v>Ei löydy</v>
      </c>
      <c r="J15" s="31" t="str" cm="1">
        <f t="array" ref="J15">_xlfn.XLOOKUP(TRUE,EXACT(Vuorokoodit!$A:$A,J16),Vuorokoodit!$E:$E,"Ei löydy")</f>
        <v>Ei löydy</v>
      </c>
      <c r="K15" s="31" t="str" cm="1">
        <f t="array" ref="K15">_xlfn.XLOOKUP(TRUE,EXACT(Vuorokoodit!$A:$A,K16),Vuorokoodit!$E:$E,"Ei löydy")</f>
        <v>Ei löydy</v>
      </c>
      <c r="L15" s="31" t="str" cm="1">
        <f t="array" ref="L15">_xlfn.XLOOKUP(TRUE,EXACT(Vuorokoodit!$A:$A,L16),Vuorokoodit!$E:$E,"Ei löydy")</f>
        <v>Ei löydy</v>
      </c>
      <c r="M15" s="31" t="str" cm="1">
        <f t="array" ref="M15">_xlfn.XLOOKUP(TRUE,EXACT(Vuorokoodit!$A:$A,M16),Vuorokoodit!$E:$E,"Ei löydy")</f>
        <v>Ei löydy</v>
      </c>
      <c r="N15" s="31" t="str" cm="1">
        <f t="array" ref="N15">_xlfn.XLOOKUP(TRUE,EXACT(Vuorokoodit!$A:$A,N16),Vuorokoodit!$E:$E,"Ei löydy")</f>
        <v>Ei löydy</v>
      </c>
      <c r="O15" s="31" t="str" cm="1">
        <f t="array" ref="O15">_xlfn.XLOOKUP(TRUE,EXACT(Vuorokoodit!$A:$A,O16),Vuorokoodit!$E:$E,"Ei löydy")</f>
        <v>Ei löydy</v>
      </c>
      <c r="P15" s="31" t="str" cm="1">
        <f t="array" ref="P15">_xlfn.XLOOKUP(TRUE,EXACT(Vuorokoodit!$A:$A,P16),Vuorokoodit!$E:$E,"Ei löydy")</f>
        <v>Ei löydy</v>
      </c>
      <c r="Q15" s="31" t="str" cm="1">
        <f t="array" ref="Q15">_xlfn.XLOOKUP(TRUE,EXACT(Vuorokoodit!$A:$A,Q16),Vuorokoodit!$E:$E,"Ei löydy")</f>
        <v>Ei löydy</v>
      </c>
      <c r="R15" s="31" t="str" cm="1">
        <f t="array" ref="R15">_xlfn.XLOOKUP(TRUE,EXACT(Vuorokoodit!$A:$A,R16),Vuorokoodit!$E:$E,"Ei löydy")</f>
        <v>Ei löydy</v>
      </c>
      <c r="S15" s="31" t="str" cm="1">
        <f t="array" ref="S15">_xlfn.XLOOKUP(TRUE,EXACT(Vuorokoodit!$A:$A,S16),Vuorokoodit!$E:$E,"Ei löydy")</f>
        <v>Ei löydy</v>
      </c>
      <c r="T15" s="31" t="str" cm="1">
        <f t="array" ref="T15">_xlfn.XLOOKUP(TRUE,EXACT(Vuorokoodit!$A:$A,T16),Vuorokoodit!$E:$E,"Ei löydy")</f>
        <v>Ei löydy</v>
      </c>
      <c r="U15" s="31" t="str" cm="1">
        <f t="array" ref="U15">_xlfn.XLOOKUP(TRUE,EXACT(Vuorokoodit!$A:$A,U16),Vuorokoodit!$E:$E,"Ei löydy")</f>
        <v>Ei löydy</v>
      </c>
      <c r="V15" s="31" t="str" cm="1">
        <f t="array" ref="V15">_xlfn.XLOOKUP(TRUE,EXACT(Vuorokoodit!$A:$A,V16),Vuorokoodit!$E:$E,"Ei löydy")</f>
        <v>Ei löydy</v>
      </c>
    </row>
    <row r="16" spans="1:22" ht="16.149999999999999" customHeight="1" x14ac:dyDescent="0.25">
      <c r="A16" s="27" t="e">
        <f>_xlfn.XLOOKUP($A$1,Koontilista!$A:$A,Koontilista!$Z:$Z)</f>
        <v>#N/A</v>
      </c>
      <c r="B16" s="31" t="e" cm="1">
        <f t="array" ref="B16">_xlfn.XLOOKUP($A16,Kiertotunnus!$A$2:'Kiertotunnus'!$A$11,Kiertotunnus!B$2:'Kiertotunnus'!B$11)</f>
        <v>#N/A</v>
      </c>
      <c r="C16" s="31" t="e" cm="1">
        <f t="array" ref="C16">_xlfn.XLOOKUP($A16,Kiertotunnus!$A$2:'Kiertotunnus'!$A$11,Kiertotunnus!C$2:'Kiertotunnus'!C$11)</f>
        <v>#N/A</v>
      </c>
      <c r="D16" s="31" t="e" cm="1">
        <f t="array" ref="D16">_xlfn.XLOOKUP($A16,Kiertotunnus!$A$2:'Kiertotunnus'!$A$11,Kiertotunnus!D$2:'Kiertotunnus'!D$11)</f>
        <v>#N/A</v>
      </c>
      <c r="E16" s="31" t="e" cm="1">
        <f t="array" ref="E16">_xlfn.XLOOKUP($A16,Kiertotunnus!$A$2:'Kiertotunnus'!$A$11,Kiertotunnus!E$2:'Kiertotunnus'!E$11)</f>
        <v>#N/A</v>
      </c>
      <c r="F16" s="31" t="e" cm="1">
        <f t="array" ref="F16">_xlfn.XLOOKUP($A16,Kiertotunnus!$A$2:'Kiertotunnus'!$A$11,Kiertotunnus!F$2:'Kiertotunnus'!F$11)</f>
        <v>#N/A</v>
      </c>
      <c r="G16" s="31" t="e" cm="1">
        <f t="array" ref="G16">_xlfn.XLOOKUP($A16,Kiertotunnus!$A$2:'Kiertotunnus'!$A$11,Kiertotunnus!G$2:'Kiertotunnus'!G$11)</f>
        <v>#N/A</v>
      </c>
      <c r="H16" s="31" t="e" cm="1">
        <f t="array" ref="H16">_xlfn.XLOOKUP($A16,Kiertotunnus!$A$2:'Kiertotunnus'!$A$11,Kiertotunnus!H$2:'Kiertotunnus'!H$11)</f>
        <v>#N/A</v>
      </c>
      <c r="I16" s="31" t="e" cm="1">
        <f t="array" ref="I16">_xlfn.XLOOKUP($A16,Kiertotunnus!$A$2:'Kiertotunnus'!$A$11,Kiertotunnus!I$2:'Kiertotunnus'!I$11)</f>
        <v>#N/A</v>
      </c>
      <c r="J16" s="31" t="e" cm="1">
        <f t="array" ref="J16">_xlfn.XLOOKUP($A16,Kiertotunnus!$A$2:'Kiertotunnus'!$A$11,Kiertotunnus!J$2:'Kiertotunnus'!J$11)</f>
        <v>#N/A</v>
      </c>
      <c r="K16" s="31" t="e" cm="1">
        <f t="array" ref="K16">_xlfn.XLOOKUP($A16,Kiertotunnus!$A$2:'Kiertotunnus'!$A$11,Kiertotunnus!K$2:'Kiertotunnus'!K$11)</f>
        <v>#N/A</v>
      </c>
      <c r="L16" s="31" t="e" cm="1">
        <f t="array" ref="L16">_xlfn.XLOOKUP($A16,Kiertotunnus!$A$2:'Kiertotunnus'!$A$11,Kiertotunnus!L$2:'Kiertotunnus'!L$11)</f>
        <v>#N/A</v>
      </c>
      <c r="M16" s="31" t="e" cm="1">
        <f t="array" ref="M16">_xlfn.XLOOKUP($A16,Kiertotunnus!$A$2:'Kiertotunnus'!$A$11,Kiertotunnus!M$2:'Kiertotunnus'!M$11)</f>
        <v>#N/A</v>
      </c>
      <c r="N16" s="31" t="e" cm="1">
        <f t="array" ref="N16">_xlfn.XLOOKUP($A16,Kiertotunnus!$A$2:'Kiertotunnus'!$A$11,Kiertotunnus!N$2:'Kiertotunnus'!N$11)</f>
        <v>#N/A</v>
      </c>
      <c r="O16" s="31" t="e" cm="1">
        <f t="array" ref="O16">_xlfn.XLOOKUP($A16,Kiertotunnus!$A$2:'Kiertotunnus'!$A$11,Kiertotunnus!O$2:'Kiertotunnus'!O$11)</f>
        <v>#N/A</v>
      </c>
      <c r="P16" s="31" t="e" cm="1">
        <f t="array" ref="P16">_xlfn.XLOOKUP($A16,Kiertotunnus!$A$2:'Kiertotunnus'!$A$11,Kiertotunnus!P$2:'Kiertotunnus'!P$11)</f>
        <v>#N/A</v>
      </c>
      <c r="Q16" s="31" t="e" cm="1">
        <f t="array" ref="Q16">_xlfn.XLOOKUP($A16,Kiertotunnus!$A$2:'Kiertotunnus'!$A$11,Kiertotunnus!Q$2:'Kiertotunnus'!Q$11)</f>
        <v>#N/A</v>
      </c>
      <c r="R16" s="31" t="e" cm="1">
        <f t="array" ref="R16">_xlfn.XLOOKUP($A16,Kiertotunnus!$A$2:'Kiertotunnus'!$A$11,Kiertotunnus!R$2:'Kiertotunnus'!R$11)</f>
        <v>#N/A</v>
      </c>
      <c r="S16" s="31" t="e" cm="1">
        <f t="array" ref="S16">_xlfn.XLOOKUP($A16,Kiertotunnus!$A$2:'Kiertotunnus'!$A$11,Kiertotunnus!S$2:'Kiertotunnus'!S$11)</f>
        <v>#N/A</v>
      </c>
      <c r="T16" s="31" t="e" cm="1">
        <f t="array" ref="T16">_xlfn.XLOOKUP($A16,Kiertotunnus!$A$2:'Kiertotunnus'!$A$11,Kiertotunnus!T$2:'Kiertotunnus'!T$11)</f>
        <v>#N/A</v>
      </c>
      <c r="U16" s="31" t="e" cm="1">
        <f t="array" ref="U16">_xlfn.XLOOKUP($A16,Kiertotunnus!$A$2:'Kiertotunnus'!$A$11,Kiertotunnus!U$2:'Kiertotunnus'!U$11)</f>
        <v>#N/A</v>
      </c>
      <c r="V16" s="31" t="e" cm="1">
        <f t="array" ref="V16">_xlfn.XLOOKUP($A16,Kiertotunnus!$A$2:'Kiertotunnus'!$A$11,Kiertotunnus!V$2:'Kiertotunnus'!V$11)</f>
        <v>#N/A</v>
      </c>
    </row>
    <row r="17" spans="1:22" ht="23.45" customHeight="1" x14ac:dyDescent="0.25">
      <c r="A17" s="20" t="s">
        <v>96</v>
      </c>
      <c r="B17" s="67" t="e" cm="1">
        <f t="array" ref="B17">_xlfn.XLOOKUP($A16,Tehtavat!$A$1:'Tehtavat'!$A$341,Tehtavat!B$1:'Tehtavat'!B$341)</f>
        <v>#N/A</v>
      </c>
      <c r="C17" s="69" t="e" cm="1">
        <f t="array" ref="C17">_xlfn.XLOOKUP($A16,Tehtavat!$A$1:'Tehtavat'!$A$341,Tehtavat!C$1:'Tehtavat'!C$341)</f>
        <v>#N/A</v>
      </c>
      <c r="D17" s="69" t="e" cm="1">
        <f t="array" ref="D17">_xlfn.XLOOKUP($A16,Tehtavat!$A$1:'Tehtavat'!$A$341,Tehtavat!D$1:'Tehtavat'!D$341)</f>
        <v>#N/A</v>
      </c>
      <c r="E17" s="69" t="e" cm="1">
        <f t="array" ref="E17">_xlfn.XLOOKUP($A16,Tehtavat!$A$1:'Tehtavat'!$A$341,Tehtavat!E$1:'Tehtavat'!E$341)</f>
        <v>#N/A</v>
      </c>
      <c r="F17" s="69" t="e" cm="1">
        <f t="array" ref="F17">_xlfn.XLOOKUP($A16,Tehtavat!$A$1:'Tehtavat'!$A$341,Tehtavat!F$1:'Tehtavat'!F$341)</f>
        <v>#N/A</v>
      </c>
      <c r="G17" s="70" t="e" cm="1">
        <f t="array" ref="G17">_xlfn.XLOOKUP($A16,Tehtavat!$A$1:'Tehtavat'!$A$341,Tehtavat!G$1:'Tehtavat'!G$341)</f>
        <v>#N/A</v>
      </c>
      <c r="H17" s="70" t="e" cm="1">
        <f t="array" ref="H17">_xlfn.XLOOKUP($A16,Tehtavat!$A$1:'Tehtavat'!$A$341,Tehtavat!H$1:'Tehtavat'!H$341)</f>
        <v>#N/A</v>
      </c>
      <c r="I17" s="69" t="e" cm="1">
        <f t="array" ref="I17">_xlfn.XLOOKUP($A16,Tehtavat!$A$1:'Tehtavat'!$A$341,Tehtavat!I$1:'Tehtavat'!I$341)</f>
        <v>#N/A</v>
      </c>
      <c r="J17" s="69" t="e" cm="1">
        <f t="array" ref="J17">_xlfn.XLOOKUP($A16,Tehtavat!$A$1:'Tehtavat'!$A$341,Tehtavat!J$1:'Tehtavat'!J$341)</f>
        <v>#N/A</v>
      </c>
      <c r="K17" s="69" t="e" cm="1">
        <f t="array" ref="K17">_xlfn.XLOOKUP($A16,Tehtavat!$A$1:'Tehtavat'!$A$341,Tehtavat!K$1:'Tehtavat'!K$341)</f>
        <v>#N/A</v>
      </c>
      <c r="L17" s="69" t="e" cm="1">
        <f t="array" ref="L17">_xlfn.XLOOKUP($A16,Tehtavat!$A$1:'Tehtavat'!$A$341,Tehtavat!L$1:'Tehtavat'!L$341)</f>
        <v>#N/A</v>
      </c>
      <c r="M17" s="69" t="e" cm="1">
        <f t="array" ref="M17">_xlfn.XLOOKUP($A16,Tehtavat!$A$1:'Tehtavat'!$A$341,Tehtavat!M$1:'Tehtavat'!M$341)</f>
        <v>#N/A</v>
      </c>
      <c r="N17" s="70" t="e" cm="1">
        <f t="array" ref="N17">_xlfn.XLOOKUP($A16,Tehtavat!$A$1:'Tehtavat'!$A$341,Tehtavat!N$1:'Tehtavat'!N$341)</f>
        <v>#N/A</v>
      </c>
      <c r="O17" s="70" t="e" cm="1">
        <f t="array" ref="O17">_xlfn.XLOOKUP($A16,Tehtavat!$A$1:'Tehtavat'!$A$341,Tehtavat!O$1:'Tehtavat'!O$341)</f>
        <v>#N/A</v>
      </c>
      <c r="P17" s="69" t="e" cm="1">
        <f t="array" ref="P17">_xlfn.XLOOKUP($A16,Tehtavat!$A$1:'Tehtavat'!$A$341,Tehtavat!P$1:'Tehtavat'!P$341)</f>
        <v>#N/A</v>
      </c>
      <c r="Q17" s="69" t="e" cm="1">
        <f t="array" ref="Q17">_xlfn.XLOOKUP($A16,Tehtavat!$A$1:'Tehtavat'!$A$341,Tehtavat!Q$1:'Tehtavat'!Q$341)</f>
        <v>#N/A</v>
      </c>
      <c r="R17" s="69" t="e" cm="1">
        <f t="array" ref="R17">_xlfn.XLOOKUP($A16,Tehtavat!$A$1:'Tehtavat'!$A$341,Tehtavat!R$1:'Tehtavat'!R$341)</f>
        <v>#N/A</v>
      </c>
      <c r="S17" s="69" t="e" cm="1">
        <f t="array" ref="S17">_xlfn.XLOOKUP($A16,Tehtavat!$A$1:'Tehtavat'!$A$341,Tehtavat!S$1:'Tehtavat'!S$341)</f>
        <v>#N/A</v>
      </c>
      <c r="T17" s="69" t="e" cm="1">
        <f t="array" ref="T17">_xlfn.XLOOKUP($A16,Tehtavat!$A$1:'Tehtavat'!$A$341,Tehtavat!T$1:'Tehtavat'!T$341)</f>
        <v>#N/A</v>
      </c>
      <c r="U17" s="70" t="e" cm="1">
        <f t="array" ref="U17">_xlfn.XLOOKUP($A16,Tehtavat!$A$1:'Tehtavat'!$A$341,Tehtavat!U$1:'Tehtavat'!U$341)</f>
        <v>#N/A</v>
      </c>
      <c r="V17" s="70" t="e" cm="1">
        <f t="array" ref="V17">_xlfn.XLOOKUP($A16,Tehtavat!$A$1:'Tehtavat'!$A$341,Tehtavat!V$1:'Tehtavat'!V$341)</f>
        <v>#N/A</v>
      </c>
    </row>
    <row r="18" spans="1:22" s="20" customFormat="1" ht="18" customHeight="1" x14ac:dyDescent="0.2">
      <c r="A18" s="88" t="str">
        <f>LEFT(A19,10)</f>
        <v>25.12.2023</v>
      </c>
      <c r="B18" s="62">
        <f>DATEVALUE(A18)</f>
        <v>45285</v>
      </c>
      <c r="C18" s="62">
        <f t="shared" ref="C18:V18" si="4">VALUE(B18+1)</f>
        <v>45286</v>
      </c>
      <c r="D18" s="62">
        <f t="shared" si="4"/>
        <v>45287</v>
      </c>
      <c r="E18" s="62">
        <f t="shared" si="4"/>
        <v>45288</v>
      </c>
      <c r="F18" s="62">
        <f t="shared" si="4"/>
        <v>45289</v>
      </c>
      <c r="G18" s="62">
        <f t="shared" si="4"/>
        <v>45290</v>
      </c>
      <c r="H18" s="62">
        <f t="shared" si="4"/>
        <v>45291</v>
      </c>
      <c r="I18" s="62">
        <f t="shared" si="4"/>
        <v>45292</v>
      </c>
      <c r="J18" s="62">
        <f t="shared" si="4"/>
        <v>45293</v>
      </c>
      <c r="K18" s="62">
        <f t="shared" si="4"/>
        <v>45294</v>
      </c>
      <c r="L18" s="62">
        <f t="shared" si="4"/>
        <v>45295</v>
      </c>
      <c r="M18" s="62">
        <f t="shared" si="4"/>
        <v>45296</v>
      </c>
      <c r="N18" s="62">
        <f t="shared" si="4"/>
        <v>45297</v>
      </c>
      <c r="O18" s="62">
        <f t="shared" si="4"/>
        <v>45298</v>
      </c>
      <c r="P18" s="62">
        <f t="shared" si="4"/>
        <v>45299</v>
      </c>
      <c r="Q18" s="62">
        <f t="shared" si="4"/>
        <v>45300</v>
      </c>
      <c r="R18" s="62">
        <f t="shared" si="4"/>
        <v>45301</v>
      </c>
      <c r="S18" s="62">
        <f t="shared" si="4"/>
        <v>45302</v>
      </c>
      <c r="T18" s="62">
        <f t="shared" si="4"/>
        <v>45303</v>
      </c>
      <c r="U18" s="62">
        <f t="shared" si="4"/>
        <v>45304</v>
      </c>
      <c r="V18" s="62">
        <f t="shared" si="4"/>
        <v>45305</v>
      </c>
    </row>
    <row r="19" spans="1:22" ht="34.9" customHeight="1" x14ac:dyDescent="0.25">
      <c r="A19" s="86" t="str" cm="1">
        <f t="array" ref="A19">titaniajakso(Omakierto!$A$2,Omakierto!A1,Omakierto!$A$1,4)</f>
        <v>25.12.2023-14.01.2024</v>
      </c>
      <c r="B19" s="31" t="str" cm="1">
        <f t="array" ref="B19">_xlfn.XLOOKUP(TRUE,EXACT(Vuorokoodit!$A:$A,B20),Vuorokoodit!$E:$E,"Ei löydy")</f>
        <v>Ei löydy</v>
      </c>
      <c r="C19" s="31" t="str" cm="1">
        <f t="array" ref="C19">_xlfn.XLOOKUP(TRUE,EXACT(Vuorokoodit!$A:$A,C20),Vuorokoodit!$E:$E,"Ei löydy")</f>
        <v>Ei löydy</v>
      </c>
      <c r="D19" s="31" t="str" cm="1">
        <f t="array" ref="D19">_xlfn.XLOOKUP(TRUE,EXACT(Vuorokoodit!$A:$A,D20),Vuorokoodit!$E:$E,"Ei löydy")</f>
        <v>Ei löydy</v>
      </c>
      <c r="E19" s="31" t="str" cm="1">
        <f t="array" ref="E19">_xlfn.XLOOKUP(TRUE,EXACT(Vuorokoodit!$A:$A,E20),Vuorokoodit!$E:$E,"Ei löydy")</f>
        <v>Ei löydy</v>
      </c>
      <c r="F19" s="31" t="str" cm="1">
        <f t="array" ref="F19">_xlfn.XLOOKUP(TRUE,EXACT(Vuorokoodit!$A:$A,F20),Vuorokoodit!$E:$E,"Ei löydy")</f>
        <v>Ei löydy</v>
      </c>
      <c r="G19" s="31" t="str" cm="1">
        <f t="array" ref="G19">_xlfn.XLOOKUP(TRUE,EXACT(Vuorokoodit!$A:$A,G20),Vuorokoodit!$E:$E,"Ei löydy")</f>
        <v>Ei löydy</v>
      </c>
      <c r="H19" s="31" t="str" cm="1">
        <f t="array" ref="H19">_xlfn.XLOOKUP(TRUE,EXACT(Vuorokoodit!$A:$A,H20),Vuorokoodit!$E:$E,"Ei löydy")</f>
        <v>Ei löydy</v>
      </c>
      <c r="I19" s="31" t="str" cm="1">
        <f t="array" ref="I19">_xlfn.XLOOKUP(TRUE,EXACT(Vuorokoodit!$A:$A,I20),Vuorokoodit!$E:$E,"Ei löydy")</f>
        <v>Ei löydy</v>
      </c>
      <c r="J19" s="31" t="str" cm="1">
        <f t="array" ref="J19">_xlfn.XLOOKUP(TRUE,EXACT(Vuorokoodit!$A:$A,J20),Vuorokoodit!$E:$E,"Ei löydy")</f>
        <v>Ei löydy</v>
      </c>
      <c r="K19" s="31" t="str" cm="1">
        <f t="array" ref="K19">_xlfn.XLOOKUP(TRUE,EXACT(Vuorokoodit!$A:$A,K20),Vuorokoodit!$E:$E,"Ei löydy")</f>
        <v>Ei löydy</v>
      </c>
      <c r="L19" s="31" t="str" cm="1">
        <f t="array" ref="L19">_xlfn.XLOOKUP(TRUE,EXACT(Vuorokoodit!$A:$A,L20),Vuorokoodit!$E:$E,"Ei löydy")</f>
        <v>Ei löydy</v>
      </c>
      <c r="M19" s="31" t="str" cm="1">
        <f t="array" ref="M19">_xlfn.XLOOKUP(TRUE,EXACT(Vuorokoodit!$A:$A,M20),Vuorokoodit!$E:$E,"Ei löydy")</f>
        <v>Ei löydy</v>
      </c>
      <c r="N19" s="31" t="str" cm="1">
        <f t="array" ref="N19">_xlfn.XLOOKUP(TRUE,EXACT(Vuorokoodit!$A:$A,N20),Vuorokoodit!$E:$E,"Ei löydy")</f>
        <v>Ei löydy</v>
      </c>
      <c r="O19" s="31" t="str" cm="1">
        <f t="array" ref="O19">_xlfn.XLOOKUP(TRUE,EXACT(Vuorokoodit!$A:$A,O20),Vuorokoodit!$E:$E,"Ei löydy")</f>
        <v>Ei löydy</v>
      </c>
      <c r="P19" s="31" t="str" cm="1">
        <f t="array" ref="P19">_xlfn.XLOOKUP(TRUE,EXACT(Vuorokoodit!$A:$A,P20),Vuorokoodit!$E:$E,"Ei löydy")</f>
        <v>Ei löydy</v>
      </c>
      <c r="Q19" s="31" t="str" cm="1">
        <f t="array" ref="Q19">_xlfn.XLOOKUP(TRUE,EXACT(Vuorokoodit!$A:$A,Q20),Vuorokoodit!$E:$E,"Ei löydy")</f>
        <v>Ei löydy</v>
      </c>
      <c r="R19" s="31" t="str" cm="1">
        <f t="array" ref="R19">_xlfn.XLOOKUP(TRUE,EXACT(Vuorokoodit!$A:$A,R20),Vuorokoodit!$E:$E,"Ei löydy")</f>
        <v>Ei löydy</v>
      </c>
      <c r="S19" s="31" t="str" cm="1">
        <f t="array" ref="S19">_xlfn.XLOOKUP(TRUE,EXACT(Vuorokoodit!$A:$A,S20),Vuorokoodit!$E:$E,"Ei löydy")</f>
        <v>Ei löydy</v>
      </c>
      <c r="T19" s="31" t="str" cm="1">
        <f t="array" ref="T19">_xlfn.XLOOKUP(TRUE,EXACT(Vuorokoodit!$A:$A,T20),Vuorokoodit!$E:$E,"Ei löydy")</f>
        <v>Ei löydy</v>
      </c>
      <c r="U19" s="31" t="str" cm="1">
        <f t="array" ref="U19">_xlfn.XLOOKUP(TRUE,EXACT(Vuorokoodit!$A:$A,U20),Vuorokoodit!$E:$E,"Ei löydy")</f>
        <v>Ei löydy</v>
      </c>
      <c r="V19" s="31" t="str" cm="1">
        <f t="array" ref="V19">_xlfn.XLOOKUP(TRUE,EXACT(Vuorokoodit!$A:$A,V20),Vuorokoodit!$E:$E,"Ei löydy")</f>
        <v>Ei löydy</v>
      </c>
    </row>
    <row r="20" spans="1:22" ht="16.149999999999999" customHeight="1" x14ac:dyDescent="0.25">
      <c r="A20" s="27" t="e">
        <f>_xlfn.XLOOKUP($A$1,Koontilista!$A:$A,Koontilista!$AA:$AA)</f>
        <v>#N/A</v>
      </c>
      <c r="B20" s="31" t="e" cm="1">
        <f t="array" ref="B20">_xlfn.XLOOKUP($A20,Kiertotunnus!$A$2:'Kiertotunnus'!$A$11,Kiertotunnus!B$2:'Kiertotunnus'!B$11)</f>
        <v>#N/A</v>
      </c>
      <c r="C20" s="31" t="e" cm="1">
        <f t="array" ref="C20">_xlfn.XLOOKUP($A20,Kiertotunnus!$A$2:'Kiertotunnus'!$A$11,Kiertotunnus!C$2:'Kiertotunnus'!C$11)</f>
        <v>#N/A</v>
      </c>
      <c r="D20" s="31" t="e" cm="1">
        <f t="array" ref="D20">_xlfn.XLOOKUP($A20,Kiertotunnus!$A$2:'Kiertotunnus'!$A$11,Kiertotunnus!D$2:'Kiertotunnus'!D$11)</f>
        <v>#N/A</v>
      </c>
      <c r="E20" s="31" t="e" cm="1">
        <f t="array" ref="E20">_xlfn.XLOOKUP($A20,Kiertotunnus!$A$2:'Kiertotunnus'!$A$11,Kiertotunnus!E$2:'Kiertotunnus'!E$11)</f>
        <v>#N/A</v>
      </c>
      <c r="F20" s="31" t="e" cm="1">
        <f t="array" ref="F20">_xlfn.XLOOKUP($A20,Kiertotunnus!$A$2:'Kiertotunnus'!$A$11,Kiertotunnus!F$2:'Kiertotunnus'!F$11)</f>
        <v>#N/A</v>
      </c>
      <c r="G20" s="31" t="e" cm="1">
        <f t="array" ref="G20">_xlfn.XLOOKUP($A20,Kiertotunnus!$A$2:'Kiertotunnus'!$A$11,Kiertotunnus!G$2:'Kiertotunnus'!G$11)</f>
        <v>#N/A</v>
      </c>
      <c r="H20" s="31" t="e" cm="1">
        <f t="array" ref="H20">_xlfn.XLOOKUP($A20,Kiertotunnus!$A$2:'Kiertotunnus'!$A$11,Kiertotunnus!H$2:'Kiertotunnus'!H$11)</f>
        <v>#N/A</v>
      </c>
      <c r="I20" s="31" t="e" cm="1">
        <f t="array" ref="I20">_xlfn.XLOOKUP($A20,Kiertotunnus!$A$2:'Kiertotunnus'!$A$11,Kiertotunnus!I$2:'Kiertotunnus'!I$11)</f>
        <v>#N/A</v>
      </c>
      <c r="J20" s="31" t="e" cm="1">
        <f t="array" ref="J20">_xlfn.XLOOKUP($A20,Kiertotunnus!$A$2:'Kiertotunnus'!$A$11,Kiertotunnus!J$2:'Kiertotunnus'!J$11)</f>
        <v>#N/A</v>
      </c>
      <c r="K20" s="31" t="e" cm="1">
        <f t="array" ref="K20">_xlfn.XLOOKUP($A20,Kiertotunnus!$A$2:'Kiertotunnus'!$A$11,Kiertotunnus!K$2:'Kiertotunnus'!K$11)</f>
        <v>#N/A</v>
      </c>
      <c r="L20" s="31" t="e" cm="1">
        <f t="array" ref="L20">_xlfn.XLOOKUP($A20,Kiertotunnus!$A$2:'Kiertotunnus'!$A$11,Kiertotunnus!L$2:'Kiertotunnus'!L$11)</f>
        <v>#N/A</v>
      </c>
      <c r="M20" s="31" t="e" cm="1">
        <f t="array" ref="M20">_xlfn.XLOOKUP($A20,Kiertotunnus!$A$2:'Kiertotunnus'!$A$11,Kiertotunnus!M$2:'Kiertotunnus'!M$11)</f>
        <v>#N/A</v>
      </c>
      <c r="N20" s="31" t="e" cm="1">
        <f t="array" ref="N20">_xlfn.XLOOKUP($A20,Kiertotunnus!$A$2:'Kiertotunnus'!$A$11,Kiertotunnus!N$2:'Kiertotunnus'!N$11)</f>
        <v>#N/A</v>
      </c>
      <c r="O20" s="31" t="e" cm="1">
        <f t="array" ref="O20">_xlfn.XLOOKUP($A20,Kiertotunnus!$A$2:'Kiertotunnus'!$A$11,Kiertotunnus!O$2:'Kiertotunnus'!O$11)</f>
        <v>#N/A</v>
      </c>
      <c r="P20" s="31" t="e" cm="1">
        <f t="array" ref="P20">_xlfn.XLOOKUP($A20,Kiertotunnus!$A$2:'Kiertotunnus'!$A$11,Kiertotunnus!P$2:'Kiertotunnus'!P$11)</f>
        <v>#N/A</v>
      </c>
      <c r="Q20" s="31" t="e" cm="1">
        <f t="array" ref="Q20">_xlfn.XLOOKUP($A20,Kiertotunnus!$A$2:'Kiertotunnus'!$A$11,Kiertotunnus!Q$2:'Kiertotunnus'!Q$11)</f>
        <v>#N/A</v>
      </c>
      <c r="R20" s="31" t="e" cm="1">
        <f t="array" ref="R20">_xlfn.XLOOKUP($A20,Kiertotunnus!$A$2:'Kiertotunnus'!$A$11,Kiertotunnus!R$2:'Kiertotunnus'!R$11)</f>
        <v>#N/A</v>
      </c>
      <c r="S20" s="31" t="e" cm="1">
        <f t="array" ref="S20">_xlfn.XLOOKUP($A20,Kiertotunnus!$A$2:'Kiertotunnus'!$A$11,Kiertotunnus!S$2:'Kiertotunnus'!S$11)</f>
        <v>#N/A</v>
      </c>
      <c r="T20" s="31" t="e" cm="1">
        <f t="array" ref="T20">_xlfn.XLOOKUP($A20,Kiertotunnus!$A$2:'Kiertotunnus'!$A$11,Kiertotunnus!T$2:'Kiertotunnus'!T$11)</f>
        <v>#N/A</v>
      </c>
      <c r="U20" s="31" t="e" cm="1">
        <f t="array" ref="U20">_xlfn.XLOOKUP($A20,Kiertotunnus!$A$2:'Kiertotunnus'!$A$11,Kiertotunnus!U$2:'Kiertotunnus'!U$11)</f>
        <v>#N/A</v>
      </c>
      <c r="V20" s="31" t="e" cm="1">
        <f t="array" ref="V20">_xlfn.XLOOKUP($A20,Kiertotunnus!$A$2:'Kiertotunnus'!$A$11,Kiertotunnus!V$2:'Kiertotunnus'!V$11)</f>
        <v>#N/A</v>
      </c>
    </row>
    <row r="21" spans="1:22" ht="23.45" customHeight="1" x14ac:dyDescent="0.25">
      <c r="A21" s="20" t="s">
        <v>96</v>
      </c>
      <c r="B21" s="67" t="e" cm="1">
        <f t="array" ref="B21">_xlfn.XLOOKUP($A20,Tehtavat!$A$1:'Tehtavat'!$A$341,Tehtavat!B$1:'Tehtavat'!B$341)</f>
        <v>#N/A</v>
      </c>
      <c r="C21" s="69" t="e" cm="1">
        <f t="array" ref="C21">_xlfn.XLOOKUP($A20,Tehtavat!$A$1:'Tehtavat'!$A$341,Tehtavat!C$1:'Tehtavat'!C$341)</f>
        <v>#N/A</v>
      </c>
      <c r="D21" s="69" t="e" cm="1">
        <f t="array" ref="D21">_xlfn.XLOOKUP($A20,Tehtavat!$A$1:'Tehtavat'!$A$341,Tehtavat!D$1:'Tehtavat'!D$341)</f>
        <v>#N/A</v>
      </c>
      <c r="E21" s="69" t="e" cm="1">
        <f t="array" ref="E21">_xlfn.XLOOKUP($A20,Tehtavat!$A$1:'Tehtavat'!$A$341,Tehtavat!E$1:'Tehtavat'!E$341)</f>
        <v>#N/A</v>
      </c>
      <c r="F21" s="69" t="e" cm="1">
        <f t="array" ref="F21">_xlfn.XLOOKUP($A20,Tehtavat!$A$1:'Tehtavat'!$A$341,Tehtavat!F$1:'Tehtavat'!F$341)</f>
        <v>#N/A</v>
      </c>
      <c r="G21" s="70" t="e" cm="1">
        <f t="array" ref="G21">_xlfn.XLOOKUP($A20,Tehtavat!$A$1:'Tehtavat'!$A$341,Tehtavat!G$1:'Tehtavat'!G$341)</f>
        <v>#N/A</v>
      </c>
      <c r="H21" s="70" t="e" cm="1">
        <f t="array" ref="H21">_xlfn.XLOOKUP($A20,Tehtavat!$A$1:'Tehtavat'!$A$341,Tehtavat!H$1:'Tehtavat'!H$341)</f>
        <v>#N/A</v>
      </c>
      <c r="I21" s="69" t="e" cm="1">
        <f t="array" ref="I21">_xlfn.XLOOKUP($A20,Tehtavat!$A$1:'Tehtavat'!$A$341,Tehtavat!I$1:'Tehtavat'!I$341)</f>
        <v>#N/A</v>
      </c>
      <c r="J21" s="69" t="e" cm="1">
        <f t="array" ref="J21">_xlfn.XLOOKUP($A20,Tehtavat!$A$1:'Tehtavat'!$A$341,Tehtavat!J$1:'Tehtavat'!J$341)</f>
        <v>#N/A</v>
      </c>
      <c r="K21" s="69" t="e" cm="1">
        <f t="array" ref="K21">_xlfn.XLOOKUP($A20,Tehtavat!$A$1:'Tehtavat'!$A$341,Tehtavat!K$1:'Tehtavat'!K$341)</f>
        <v>#N/A</v>
      </c>
      <c r="L21" s="69" t="e" cm="1">
        <f t="array" ref="L21">_xlfn.XLOOKUP($A20,Tehtavat!$A$1:'Tehtavat'!$A$341,Tehtavat!L$1:'Tehtavat'!L$341)</f>
        <v>#N/A</v>
      </c>
      <c r="M21" s="69" t="e" cm="1">
        <f t="array" ref="M21">_xlfn.XLOOKUP($A20,Tehtavat!$A$1:'Tehtavat'!$A$341,Tehtavat!M$1:'Tehtavat'!M$341)</f>
        <v>#N/A</v>
      </c>
      <c r="N21" s="70" t="e" cm="1">
        <f t="array" ref="N21">_xlfn.XLOOKUP($A20,Tehtavat!$A$1:'Tehtavat'!$A$341,Tehtavat!N$1:'Tehtavat'!N$341)</f>
        <v>#N/A</v>
      </c>
      <c r="O21" s="70" t="e" cm="1">
        <f t="array" ref="O21">_xlfn.XLOOKUP($A20,Tehtavat!$A$1:'Tehtavat'!$A$341,Tehtavat!O$1:'Tehtavat'!O$341)</f>
        <v>#N/A</v>
      </c>
      <c r="P21" s="69" t="e" cm="1">
        <f t="array" ref="P21">_xlfn.XLOOKUP($A20,Tehtavat!$A$1:'Tehtavat'!$A$341,Tehtavat!P$1:'Tehtavat'!P$341)</f>
        <v>#N/A</v>
      </c>
      <c r="Q21" s="69" t="e" cm="1">
        <f t="array" ref="Q21">_xlfn.XLOOKUP($A20,Tehtavat!$A$1:'Tehtavat'!$A$341,Tehtavat!Q$1:'Tehtavat'!Q$341)</f>
        <v>#N/A</v>
      </c>
      <c r="R21" s="69" t="e" cm="1">
        <f t="array" ref="R21">_xlfn.XLOOKUP($A20,Tehtavat!$A$1:'Tehtavat'!$A$341,Tehtavat!R$1:'Tehtavat'!R$341)</f>
        <v>#N/A</v>
      </c>
      <c r="S21" s="69" t="e" cm="1">
        <f t="array" ref="S21">_xlfn.XLOOKUP($A20,Tehtavat!$A$1:'Tehtavat'!$A$341,Tehtavat!S$1:'Tehtavat'!S$341)</f>
        <v>#N/A</v>
      </c>
      <c r="T21" s="69" t="e" cm="1">
        <f t="array" ref="T21">_xlfn.XLOOKUP($A20,Tehtavat!$A$1:'Tehtavat'!$A$341,Tehtavat!T$1:'Tehtavat'!T$341)</f>
        <v>#N/A</v>
      </c>
      <c r="U21" s="70" t="e" cm="1">
        <f t="array" ref="U21">_xlfn.XLOOKUP($A20,Tehtavat!$A$1:'Tehtavat'!$A$341,Tehtavat!U$1:'Tehtavat'!U$341)</f>
        <v>#N/A</v>
      </c>
      <c r="V21" s="70" t="e" cm="1">
        <f t="array" ref="V21">_xlfn.XLOOKUP($A20,Tehtavat!$A$1:'Tehtavat'!$A$341,Tehtavat!V$1:'Tehtavat'!V$341)</f>
        <v>#N/A</v>
      </c>
    </row>
  </sheetData>
  <phoneticPr fontId="19" type="noConversion"/>
  <conditionalFormatting sqref="B3:V3">
    <cfRule type="containsText" dxfId="663" priority="2179" operator="containsText" text="19:45 -">
      <formula>NOT(ISERROR(SEARCH("19:45 -",B3)))</formula>
    </cfRule>
    <cfRule type="containsText" dxfId="662" priority="2180" operator="containsText" text="00:00">
      <formula>NOT(ISERROR(SEARCH("00:00",B3)))</formula>
    </cfRule>
    <cfRule type="containsText" dxfId="661" priority="2181" operator="containsText" text=":2">
      <formula>NOT(ISERROR(SEARCH(":2",B3)))</formula>
    </cfRule>
    <cfRule type="containsText" dxfId="660" priority="2182" operator="containsText" text=":18">
      <formula>NOT(ISERROR(SEARCH(":18",B3)))</formula>
    </cfRule>
    <cfRule type="containsText" dxfId="659" priority="2183" operator="containsText" text="07:0">
      <formula>NOT(ISERROR(SEARCH("07:0",B3)))</formula>
    </cfRule>
    <cfRule type="containsText" dxfId="658" priority="2184" operator="containsText" text="07:15">
      <formula>NOT(ISERROR(SEARCH("07:15",B3)))</formula>
    </cfRule>
    <cfRule type="containsText" dxfId="657" priority="2185" operator="containsText" text="06:">
      <formula>NOT(ISERROR(SEARCH("06:",B3)))</formula>
    </cfRule>
    <cfRule type="containsText" dxfId="656" priority="2186" operator="containsText" text="05">
      <formula>NOT(ISERROR(SEARCH("05",B3)))</formula>
    </cfRule>
  </conditionalFormatting>
  <conditionalFormatting sqref="B3:V3">
    <cfRule type="containsText" dxfId="655" priority="2178" operator="containsText" text="2*:">
      <formula>NOT(ISERROR(SEARCH("2*:",B3)))</formula>
    </cfRule>
  </conditionalFormatting>
  <conditionalFormatting sqref="G3">
    <cfRule type="containsText" dxfId="654" priority="2170" operator="containsText" text="19:45 -">
      <formula>NOT(ISERROR(SEARCH("19:45 -",G3)))</formula>
    </cfRule>
    <cfRule type="containsText" dxfId="653" priority="2171" operator="containsText" text="00:00">
      <formula>NOT(ISERROR(SEARCH("00:00",G3)))</formula>
    </cfRule>
    <cfRule type="containsText" dxfId="652" priority="2172" operator="containsText" text=":2">
      <formula>NOT(ISERROR(SEARCH(":2",G3)))</formula>
    </cfRule>
    <cfRule type="containsText" dxfId="651" priority="2173" operator="containsText" text=":18">
      <formula>NOT(ISERROR(SEARCH(":18",G3)))</formula>
    </cfRule>
    <cfRule type="containsText" dxfId="650" priority="2174" operator="containsText" text="07:0">
      <formula>NOT(ISERROR(SEARCH("07:0",G3)))</formula>
    </cfRule>
    <cfRule type="containsText" dxfId="649" priority="2175" operator="containsText" text="07:15">
      <formula>NOT(ISERROR(SEARCH("07:15",G3)))</formula>
    </cfRule>
    <cfRule type="containsText" dxfId="648" priority="2176" operator="containsText" text="06:">
      <formula>NOT(ISERROR(SEARCH("06:",G3)))</formula>
    </cfRule>
    <cfRule type="containsText" dxfId="647" priority="2177" operator="containsText" text="05">
      <formula>NOT(ISERROR(SEARCH("05",G3)))</formula>
    </cfRule>
  </conditionalFormatting>
  <conditionalFormatting sqref="G3">
    <cfRule type="containsText" dxfId="646" priority="2169" operator="containsText" text="2*:">
      <formula>NOT(ISERROR(SEARCH("2*:",G3)))</formula>
    </cfRule>
  </conditionalFormatting>
  <conditionalFormatting sqref="N3">
    <cfRule type="containsText" dxfId="645" priority="2161" operator="containsText" text="19:45 -">
      <formula>NOT(ISERROR(SEARCH("19:45 -",N3)))</formula>
    </cfRule>
    <cfRule type="containsText" dxfId="644" priority="2162" operator="containsText" text="00:00">
      <formula>NOT(ISERROR(SEARCH("00:00",N3)))</formula>
    </cfRule>
    <cfRule type="containsText" dxfId="643" priority="2163" operator="containsText" text=":2">
      <formula>NOT(ISERROR(SEARCH(":2",N3)))</formula>
    </cfRule>
    <cfRule type="containsText" dxfId="642" priority="2164" operator="containsText" text=":18">
      <formula>NOT(ISERROR(SEARCH(":18",N3)))</formula>
    </cfRule>
    <cfRule type="containsText" dxfId="641" priority="2165" operator="containsText" text="07:0">
      <formula>NOT(ISERROR(SEARCH("07:0",N3)))</formula>
    </cfRule>
    <cfRule type="containsText" dxfId="640" priority="2166" operator="containsText" text="07:15">
      <formula>NOT(ISERROR(SEARCH("07:15",N3)))</formula>
    </cfRule>
    <cfRule type="containsText" dxfId="639" priority="2167" operator="containsText" text="06:">
      <formula>NOT(ISERROR(SEARCH("06:",N3)))</formula>
    </cfRule>
    <cfRule type="containsText" dxfId="638" priority="2168" operator="containsText" text="05">
      <formula>NOT(ISERROR(SEARCH("05",N3)))</formula>
    </cfRule>
  </conditionalFormatting>
  <conditionalFormatting sqref="N3">
    <cfRule type="containsText" dxfId="637" priority="2160" operator="containsText" text="2*:">
      <formula>NOT(ISERROR(SEARCH("2*:",N3)))</formula>
    </cfRule>
  </conditionalFormatting>
  <conditionalFormatting sqref="U3">
    <cfRule type="containsText" dxfId="636" priority="2152" operator="containsText" text="19:45 -">
      <formula>NOT(ISERROR(SEARCH("19:45 -",U3)))</formula>
    </cfRule>
    <cfRule type="containsText" dxfId="635" priority="2153" operator="containsText" text="00:00">
      <formula>NOT(ISERROR(SEARCH("00:00",U3)))</formula>
    </cfRule>
    <cfRule type="containsText" dxfId="634" priority="2154" operator="containsText" text=":2">
      <formula>NOT(ISERROR(SEARCH(":2",U3)))</formula>
    </cfRule>
    <cfRule type="containsText" dxfId="633" priority="2155" operator="containsText" text=":18">
      <formula>NOT(ISERROR(SEARCH(":18",U3)))</formula>
    </cfRule>
    <cfRule type="containsText" dxfId="632" priority="2156" operator="containsText" text="07:0">
      <formula>NOT(ISERROR(SEARCH("07:0",U3)))</formula>
    </cfRule>
    <cfRule type="containsText" dxfId="631" priority="2157" operator="containsText" text="07:15">
      <formula>NOT(ISERROR(SEARCH("07:15",U3)))</formula>
    </cfRule>
    <cfRule type="containsText" dxfId="630" priority="2158" operator="containsText" text="06:">
      <formula>NOT(ISERROR(SEARCH("06:",U3)))</formula>
    </cfRule>
    <cfRule type="containsText" dxfId="629" priority="2159" operator="containsText" text="05">
      <formula>NOT(ISERROR(SEARCH("05",U3)))</formula>
    </cfRule>
  </conditionalFormatting>
  <conditionalFormatting sqref="U3">
    <cfRule type="containsText" dxfId="628" priority="2151" operator="containsText" text="2*:">
      <formula>NOT(ISERROR(SEARCH("2*:",U3)))</formula>
    </cfRule>
  </conditionalFormatting>
  <conditionalFormatting sqref="B3:V3">
    <cfRule type="containsText" dxfId="627" priority="2149" operator="containsText" text="T">
      <formula>NOT(ISERROR(SEARCH("T",B3)))</formula>
    </cfRule>
    <cfRule type="containsText" dxfId="626" priority="2150" operator="containsText" text="V">
      <formula>NOT(ISERROR(SEARCH("V",B3)))</formula>
    </cfRule>
  </conditionalFormatting>
  <conditionalFormatting sqref="B7:V7 B11:V11 B15:V15 B19:V19">
    <cfRule type="containsText" dxfId="625" priority="2015" operator="containsText" text="T">
      <formula>NOT(ISERROR(SEARCH("T",B7)))</formula>
    </cfRule>
    <cfRule type="containsText" dxfId="624" priority="2016" operator="containsText" text="V">
      <formula>NOT(ISERROR(SEARCH("V",B7)))</formula>
    </cfRule>
  </conditionalFormatting>
  <conditionalFormatting sqref="B3:V3 B7:V7 B11:V11 B15:V15 B19:V19">
    <cfRule type="containsText" dxfId="623" priority="2013" operator="containsText" text="#">
      <formula>NOT(ISERROR(SEARCH("#",B3)))</formula>
    </cfRule>
    <cfRule type="containsText" dxfId="622" priority="2014" operator="containsText" text="T">
      <formula>NOT(ISERROR(SEARCH("T",B3)))</formula>
    </cfRule>
  </conditionalFormatting>
  <conditionalFormatting sqref="B7:V7">
    <cfRule type="containsText" dxfId="621" priority="1943" operator="containsText" text="T">
      <formula>NOT(ISERROR(SEARCH("T",B7)))</formula>
    </cfRule>
    <cfRule type="containsText" dxfId="620" priority="1944" operator="containsText" text="V">
      <formula>NOT(ISERROR(SEARCH("V",B7)))</formula>
    </cfRule>
  </conditionalFormatting>
  <conditionalFormatting sqref="B11:V11">
    <cfRule type="containsText" dxfId="619" priority="1873" operator="containsText" text="T">
      <formula>NOT(ISERROR(SEARCH("T",B11)))</formula>
    </cfRule>
    <cfRule type="containsText" dxfId="618" priority="1874" operator="containsText" text="V">
      <formula>NOT(ISERROR(SEARCH("V",B11)))</formula>
    </cfRule>
  </conditionalFormatting>
  <conditionalFormatting sqref="B15:V15">
    <cfRule type="containsText" dxfId="617" priority="1803" operator="containsText" text="T">
      <formula>NOT(ISERROR(SEARCH("T",B15)))</formula>
    </cfRule>
    <cfRule type="containsText" dxfId="616" priority="1804" operator="containsText" text="V">
      <formula>NOT(ISERROR(SEARCH("V",B15)))</formula>
    </cfRule>
  </conditionalFormatting>
  <conditionalFormatting sqref="B19:V19">
    <cfRule type="containsText" dxfId="615" priority="1733" operator="containsText" text="T">
      <formula>NOT(ISERROR(SEARCH("T",B19)))</formula>
    </cfRule>
    <cfRule type="containsText" dxfId="614" priority="1734" operator="containsText" text="V">
      <formula>NOT(ISERROR(SEARCH("V",B19)))</formula>
    </cfRule>
  </conditionalFormatting>
  <conditionalFormatting sqref="B5:K5 M5:V5">
    <cfRule type="containsText" dxfId="613" priority="1690" operator="containsText" text="T">
      <formula>NOT(ISERROR(SEARCH("T",B5)))</formula>
    </cfRule>
    <cfRule type="containsText" dxfId="612" priority="1691" operator="containsText" text="V">
      <formula>NOT(ISERROR(SEARCH("V",B5)))</formula>
    </cfRule>
  </conditionalFormatting>
  <conditionalFormatting sqref="B5:K5 M5:V5">
    <cfRule type="containsText" dxfId="611" priority="1688" operator="containsText" text="#">
      <formula>NOT(ISERROR(SEARCH("#",B5)))</formula>
    </cfRule>
    <cfRule type="containsText" dxfId="610" priority="1689" operator="containsText" text="T">
      <formula>NOT(ISERROR(SEARCH("T",B5)))</formula>
    </cfRule>
  </conditionalFormatting>
  <conditionalFormatting sqref="B7:V7">
    <cfRule type="containsText" dxfId="609" priority="1642" operator="containsText" text="T">
      <formula>NOT(ISERROR(SEARCH("T",B7)))</formula>
    </cfRule>
    <cfRule type="containsText" dxfId="608" priority="1643" operator="containsText" text="V">
      <formula>NOT(ISERROR(SEARCH("V",B7)))</formula>
    </cfRule>
  </conditionalFormatting>
  <conditionalFormatting sqref="B11:V11">
    <cfRule type="containsText" dxfId="607" priority="1540" operator="containsText" text="T">
      <formula>NOT(ISERROR(SEARCH("T",B11)))</formula>
    </cfRule>
    <cfRule type="containsText" dxfId="606" priority="1541" operator="containsText" text="V">
      <formula>NOT(ISERROR(SEARCH("V",B11)))</formula>
    </cfRule>
  </conditionalFormatting>
  <conditionalFormatting sqref="B11:V11">
    <cfRule type="containsText" dxfId="605" priority="1470" operator="containsText" text="T">
      <formula>NOT(ISERROR(SEARCH("T",B11)))</formula>
    </cfRule>
    <cfRule type="containsText" dxfId="604" priority="1471" operator="containsText" text="V">
      <formula>NOT(ISERROR(SEARCH("V",B11)))</formula>
    </cfRule>
  </conditionalFormatting>
  <conditionalFormatting sqref="B15:V15">
    <cfRule type="containsText" dxfId="603" priority="1368" operator="containsText" text="T">
      <formula>NOT(ISERROR(SEARCH("T",B15)))</formula>
    </cfRule>
    <cfRule type="containsText" dxfId="602" priority="1369" operator="containsText" text="V">
      <formula>NOT(ISERROR(SEARCH("V",B15)))</formula>
    </cfRule>
  </conditionalFormatting>
  <conditionalFormatting sqref="B15:V15">
    <cfRule type="containsText" dxfId="601" priority="1298" operator="containsText" text="T">
      <formula>NOT(ISERROR(SEARCH("T",B15)))</formula>
    </cfRule>
    <cfRule type="containsText" dxfId="600" priority="1299" operator="containsText" text="V">
      <formula>NOT(ISERROR(SEARCH("V",B15)))</formula>
    </cfRule>
  </conditionalFormatting>
  <conditionalFormatting sqref="B19:V19">
    <cfRule type="containsText" dxfId="599" priority="1196" operator="containsText" text="T">
      <formula>NOT(ISERROR(SEARCH("T",B19)))</formula>
    </cfRule>
    <cfRule type="containsText" dxfId="598" priority="1197" operator="containsText" text="V">
      <formula>NOT(ISERROR(SEARCH("V",B19)))</formula>
    </cfRule>
  </conditionalFormatting>
  <conditionalFormatting sqref="B19:V19">
    <cfRule type="containsText" dxfId="597" priority="1126" operator="containsText" text="T">
      <formula>NOT(ISERROR(SEARCH("T",B19)))</formula>
    </cfRule>
    <cfRule type="containsText" dxfId="596" priority="1127" operator="containsText" text="V">
      <formula>NOT(ISERROR(SEARCH("V",B19)))</formula>
    </cfRule>
  </conditionalFormatting>
  <conditionalFormatting sqref="B12:V12">
    <cfRule type="containsText" dxfId="595" priority="1062" operator="containsText" text="T">
      <formula>NOT(ISERROR(SEARCH("T",B12)))</formula>
    </cfRule>
    <cfRule type="containsText" dxfId="594" priority="1063" operator="containsText" text="V">
      <formula>NOT(ISERROR(SEARCH("V",B12)))</formula>
    </cfRule>
  </conditionalFormatting>
  <conditionalFormatting sqref="B12:V12">
    <cfRule type="containsText" dxfId="593" priority="1060" operator="containsText" text="#">
      <formula>NOT(ISERROR(SEARCH("#",B12)))</formula>
    </cfRule>
    <cfRule type="containsText" dxfId="592" priority="1061" operator="containsText" text="T">
      <formula>NOT(ISERROR(SEARCH("T",B12)))</formula>
    </cfRule>
  </conditionalFormatting>
  <conditionalFormatting sqref="B4:V4">
    <cfRule type="containsText" dxfId="591" priority="1041" operator="containsText" text="T">
      <formula>NOT(ISERROR(SEARCH("T",B4)))</formula>
    </cfRule>
    <cfRule type="containsText" dxfId="590" priority="1042" operator="containsText" text="V">
      <formula>NOT(ISERROR(SEARCH("V",B4)))</formula>
    </cfRule>
  </conditionalFormatting>
  <conditionalFormatting sqref="B4:V4">
    <cfRule type="containsText" dxfId="589" priority="1039" operator="containsText" text="#">
      <formula>NOT(ISERROR(SEARCH("#",B4)))</formula>
    </cfRule>
    <cfRule type="containsText" dxfId="588" priority="1040" operator="containsText" text="T">
      <formula>NOT(ISERROR(SEARCH("T",B4)))</formula>
    </cfRule>
  </conditionalFormatting>
  <conditionalFormatting sqref="B16:V16">
    <cfRule type="containsText" dxfId="587" priority="1020" operator="containsText" text="T">
      <formula>NOT(ISERROR(SEARCH("T",B16)))</formula>
    </cfRule>
    <cfRule type="containsText" dxfId="586" priority="1021" operator="containsText" text="V">
      <formula>NOT(ISERROR(SEARCH("V",B16)))</formula>
    </cfRule>
  </conditionalFormatting>
  <conditionalFormatting sqref="B16:V16">
    <cfRule type="containsText" dxfId="585" priority="1018" operator="containsText" text="#">
      <formula>NOT(ISERROR(SEARCH("#",B16)))</formula>
    </cfRule>
    <cfRule type="containsText" dxfId="584" priority="1019" operator="containsText" text="T">
      <formula>NOT(ISERROR(SEARCH("T",B16)))</formula>
    </cfRule>
  </conditionalFormatting>
  <conditionalFormatting sqref="B20:V20">
    <cfRule type="containsText" dxfId="583" priority="999" operator="containsText" text="T">
      <formula>NOT(ISERROR(SEARCH("T",B20)))</formula>
    </cfRule>
    <cfRule type="containsText" dxfId="582" priority="1000" operator="containsText" text="V">
      <formula>NOT(ISERROR(SEARCH("V",B20)))</formula>
    </cfRule>
  </conditionalFormatting>
  <conditionalFormatting sqref="B20:V20">
    <cfRule type="containsText" dxfId="581" priority="997" operator="containsText" text="#">
      <formula>NOT(ISERROR(SEARCH("#",B20)))</formula>
    </cfRule>
    <cfRule type="containsText" dxfId="580" priority="998" operator="containsText" text="T">
      <formula>NOT(ISERROR(SEARCH("T",B20)))</formula>
    </cfRule>
  </conditionalFormatting>
  <conditionalFormatting sqref="B9">
    <cfRule type="containsText" dxfId="579" priority="978" operator="containsText" text="T">
      <formula>NOT(ISERROR(SEARCH("T",B9)))</formula>
    </cfRule>
    <cfRule type="containsText" dxfId="578" priority="979" operator="containsText" text="V">
      <formula>NOT(ISERROR(SEARCH("V",B9)))</formula>
    </cfRule>
  </conditionalFormatting>
  <conditionalFormatting sqref="B9">
    <cfRule type="containsText" dxfId="577" priority="976" operator="containsText" text="#">
      <formula>NOT(ISERROR(SEARCH("#",B9)))</formula>
    </cfRule>
    <cfRule type="containsText" dxfId="576" priority="977" operator="containsText" text="T">
      <formula>NOT(ISERROR(SEARCH("T",B9)))</formula>
    </cfRule>
  </conditionalFormatting>
  <conditionalFormatting sqref="B13">
    <cfRule type="containsText" dxfId="575" priority="957" operator="containsText" text="T">
      <formula>NOT(ISERROR(SEARCH("T",B13)))</formula>
    </cfRule>
    <cfRule type="containsText" dxfId="574" priority="958" operator="containsText" text="V">
      <formula>NOT(ISERROR(SEARCH("V",B13)))</formula>
    </cfRule>
  </conditionalFormatting>
  <conditionalFormatting sqref="B13">
    <cfRule type="containsText" dxfId="573" priority="955" operator="containsText" text="#">
      <formula>NOT(ISERROR(SEARCH("#",B13)))</formula>
    </cfRule>
    <cfRule type="containsText" dxfId="572" priority="956" operator="containsText" text="T">
      <formula>NOT(ISERROR(SEARCH("T",B13)))</formula>
    </cfRule>
  </conditionalFormatting>
  <conditionalFormatting sqref="B17">
    <cfRule type="containsText" dxfId="571" priority="936" operator="containsText" text="T">
      <formula>NOT(ISERROR(SEARCH("T",B17)))</formula>
    </cfRule>
    <cfRule type="containsText" dxfId="570" priority="937" operator="containsText" text="V">
      <formula>NOT(ISERROR(SEARCH("V",B17)))</formula>
    </cfRule>
  </conditionalFormatting>
  <conditionalFormatting sqref="B17">
    <cfRule type="containsText" dxfId="569" priority="934" operator="containsText" text="#">
      <formula>NOT(ISERROR(SEARCH("#",B17)))</formula>
    </cfRule>
    <cfRule type="containsText" dxfId="568" priority="935" operator="containsText" text="T">
      <formula>NOT(ISERROR(SEARCH("T",B17)))</formula>
    </cfRule>
  </conditionalFormatting>
  <conditionalFormatting sqref="B21">
    <cfRule type="containsText" dxfId="567" priority="915" operator="containsText" text="T">
      <formula>NOT(ISERROR(SEARCH("T",B21)))</formula>
    </cfRule>
    <cfRule type="containsText" dxfId="566" priority="916" operator="containsText" text="V">
      <formula>NOT(ISERROR(SEARCH("V",B21)))</formula>
    </cfRule>
  </conditionalFormatting>
  <conditionalFormatting sqref="B21">
    <cfRule type="containsText" dxfId="565" priority="913" operator="containsText" text="#">
      <formula>NOT(ISERROR(SEARCH("#",B21)))</formula>
    </cfRule>
    <cfRule type="containsText" dxfId="564" priority="914" operator="containsText" text="T">
      <formula>NOT(ISERROR(SEARCH("T",B21)))</formula>
    </cfRule>
  </conditionalFormatting>
  <conditionalFormatting sqref="B7:V7">
    <cfRule type="containsText" dxfId="563" priority="894" operator="containsText" text="T">
      <formula>NOT(ISERROR(SEARCH("T",B7)))</formula>
    </cfRule>
    <cfRule type="containsText" dxfId="562" priority="895" operator="containsText" text="V">
      <formula>NOT(ISERROR(SEARCH("V",B7)))</formula>
    </cfRule>
  </conditionalFormatting>
  <conditionalFormatting sqref="B8:V8">
    <cfRule type="containsText" dxfId="561" priority="875" operator="containsText" text="T">
      <formula>NOT(ISERROR(SEARCH("T",B8)))</formula>
    </cfRule>
    <cfRule type="containsText" dxfId="560" priority="876" operator="containsText" text="V">
      <formula>NOT(ISERROR(SEARCH("V",B8)))</formula>
    </cfRule>
  </conditionalFormatting>
  <conditionalFormatting sqref="B8:V8">
    <cfRule type="containsText" dxfId="559" priority="873" operator="containsText" text="#">
      <formula>NOT(ISERROR(SEARCH("#",B8)))</formula>
    </cfRule>
    <cfRule type="containsText" dxfId="558" priority="874" operator="containsText" text="T">
      <formula>NOT(ISERROR(SEARCH("T",B8)))</formula>
    </cfRule>
  </conditionalFormatting>
  <conditionalFormatting sqref="B11:V11">
    <cfRule type="containsText" dxfId="557" priority="795" operator="containsText" text="T">
      <formula>NOT(ISERROR(SEARCH("T",B11)))</formula>
    </cfRule>
    <cfRule type="containsText" dxfId="556" priority="796" operator="containsText" text="V">
      <formula>NOT(ISERROR(SEARCH("V",B11)))</formula>
    </cfRule>
  </conditionalFormatting>
  <conditionalFormatting sqref="B11:V11">
    <cfRule type="containsText" dxfId="555" priority="725" operator="containsText" text="T">
      <formula>NOT(ISERROR(SEARCH("T",B11)))</formula>
    </cfRule>
    <cfRule type="containsText" dxfId="554" priority="726" operator="containsText" text="V">
      <formula>NOT(ISERROR(SEARCH("V",B11)))</formula>
    </cfRule>
  </conditionalFormatting>
  <conditionalFormatting sqref="B11:V11">
    <cfRule type="containsText" dxfId="553" priority="682" operator="containsText" text="T">
      <formula>NOT(ISERROR(SEARCH("T",B11)))</formula>
    </cfRule>
    <cfRule type="containsText" dxfId="552" priority="683" operator="containsText" text="V">
      <formula>NOT(ISERROR(SEARCH("V",B11)))</formula>
    </cfRule>
  </conditionalFormatting>
  <conditionalFormatting sqref="B15:V15">
    <cfRule type="containsText" dxfId="551" priority="604" operator="containsText" text="T">
      <formula>NOT(ISERROR(SEARCH("T",B15)))</formula>
    </cfRule>
    <cfRule type="containsText" dxfId="550" priority="605" operator="containsText" text="V">
      <formula>NOT(ISERROR(SEARCH("V",B15)))</formula>
    </cfRule>
  </conditionalFormatting>
  <conditionalFormatting sqref="B15:V15">
    <cfRule type="containsText" dxfId="549" priority="534" operator="containsText" text="T">
      <formula>NOT(ISERROR(SEARCH("T",B15)))</formula>
    </cfRule>
    <cfRule type="containsText" dxfId="548" priority="535" operator="containsText" text="V">
      <formula>NOT(ISERROR(SEARCH("V",B15)))</formula>
    </cfRule>
  </conditionalFormatting>
  <conditionalFormatting sqref="B15:V15">
    <cfRule type="containsText" dxfId="547" priority="491" operator="containsText" text="T">
      <formula>NOT(ISERROR(SEARCH("T",B15)))</formula>
    </cfRule>
    <cfRule type="containsText" dxfId="546" priority="492" operator="containsText" text="V">
      <formula>NOT(ISERROR(SEARCH("V",B15)))</formula>
    </cfRule>
  </conditionalFormatting>
  <conditionalFormatting sqref="B19:V19">
    <cfRule type="containsText" dxfId="545" priority="413" operator="containsText" text="T">
      <formula>NOT(ISERROR(SEARCH("T",B19)))</formula>
    </cfRule>
    <cfRule type="containsText" dxfId="544" priority="414" operator="containsText" text="V">
      <formula>NOT(ISERROR(SEARCH("V",B19)))</formula>
    </cfRule>
  </conditionalFormatting>
  <conditionalFormatting sqref="B19:V19">
    <cfRule type="containsText" dxfId="543" priority="343" operator="containsText" text="T">
      <formula>NOT(ISERROR(SEARCH("T",B19)))</formula>
    </cfRule>
    <cfRule type="containsText" dxfId="542" priority="344" operator="containsText" text="V">
      <formula>NOT(ISERROR(SEARCH("V",B19)))</formula>
    </cfRule>
  </conditionalFormatting>
  <conditionalFormatting sqref="B19:V19">
    <cfRule type="containsText" dxfId="541" priority="300" operator="containsText" text="T">
      <formula>NOT(ISERROR(SEARCH("T",B19)))</formula>
    </cfRule>
    <cfRule type="containsText" dxfId="540" priority="301" operator="containsText" text="V">
      <formula>NOT(ISERROR(SEARCH("V",B19)))</formula>
    </cfRule>
  </conditionalFormatting>
  <conditionalFormatting sqref="B7:V7">
    <cfRule type="containsText" dxfId="539" priority="284" operator="containsText" text="19:45 -">
      <formula>NOT(ISERROR(SEARCH("19:45 -",B7)))</formula>
    </cfRule>
    <cfRule type="containsText" dxfId="538" priority="285" operator="containsText" text="00:00">
      <formula>NOT(ISERROR(SEARCH("00:00",B7)))</formula>
    </cfRule>
    <cfRule type="containsText" dxfId="537" priority="286" operator="containsText" text=":2">
      <formula>NOT(ISERROR(SEARCH(":2",B7)))</formula>
    </cfRule>
    <cfRule type="containsText" dxfId="536" priority="287" operator="containsText" text=":18">
      <formula>NOT(ISERROR(SEARCH(":18",B7)))</formula>
    </cfRule>
    <cfRule type="containsText" dxfId="535" priority="288" operator="containsText" text="07:0">
      <formula>NOT(ISERROR(SEARCH("07:0",B7)))</formula>
    </cfRule>
    <cfRule type="containsText" dxfId="534" priority="289" operator="containsText" text="07:15">
      <formula>NOT(ISERROR(SEARCH("07:15",B7)))</formula>
    </cfRule>
    <cfRule type="containsText" dxfId="533" priority="290" operator="containsText" text="06:">
      <formula>NOT(ISERROR(SEARCH("06:",B7)))</formula>
    </cfRule>
    <cfRule type="containsText" dxfId="532" priority="291" operator="containsText" text="05">
      <formula>NOT(ISERROR(SEARCH("05",B7)))</formula>
    </cfRule>
  </conditionalFormatting>
  <conditionalFormatting sqref="B7:V7">
    <cfRule type="containsText" dxfId="531" priority="283" operator="containsText" text="2*:">
      <formula>NOT(ISERROR(SEARCH("2*:",B7)))</formula>
    </cfRule>
  </conditionalFormatting>
  <conditionalFormatting sqref="G7">
    <cfRule type="containsText" dxfId="530" priority="275" operator="containsText" text="19:45 -">
      <formula>NOT(ISERROR(SEARCH("19:45 -",G7)))</formula>
    </cfRule>
    <cfRule type="containsText" dxfId="529" priority="276" operator="containsText" text="00:00">
      <formula>NOT(ISERROR(SEARCH("00:00",G7)))</formula>
    </cfRule>
    <cfRule type="containsText" dxfId="528" priority="277" operator="containsText" text=":2">
      <formula>NOT(ISERROR(SEARCH(":2",G7)))</formula>
    </cfRule>
    <cfRule type="containsText" dxfId="527" priority="278" operator="containsText" text=":18">
      <formula>NOT(ISERROR(SEARCH(":18",G7)))</formula>
    </cfRule>
    <cfRule type="containsText" dxfId="526" priority="279" operator="containsText" text="07:0">
      <formula>NOT(ISERROR(SEARCH("07:0",G7)))</formula>
    </cfRule>
    <cfRule type="containsText" dxfId="525" priority="280" operator="containsText" text="07:15">
      <formula>NOT(ISERROR(SEARCH("07:15",G7)))</formula>
    </cfRule>
    <cfRule type="containsText" dxfId="524" priority="281" operator="containsText" text="06:">
      <formula>NOT(ISERROR(SEARCH("06:",G7)))</formula>
    </cfRule>
    <cfRule type="containsText" dxfId="523" priority="282" operator="containsText" text="05">
      <formula>NOT(ISERROR(SEARCH("05",G7)))</formula>
    </cfRule>
  </conditionalFormatting>
  <conditionalFormatting sqref="G7">
    <cfRule type="containsText" dxfId="522" priority="274" operator="containsText" text="2*:">
      <formula>NOT(ISERROR(SEARCH("2*:",G7)))</formula>
    </cfRule>
  </conditionalFormatting>
  <conditionalFormatting sqref="N7">
    <cfRule type="containsText" dxfId="521" priority="266" operator="containsText" text="19:45 -">
      <formula>NOT(ISERROR(SEARCH("19:45 -",N7)))</formula>
    </cfRule>
    <cfRule type="containsText" dxfId="520" priority="267" operator="containsText" text="00:00">
      <formula>NOT(ISERROR(SEARCH("00:00",N7)))</formula>
    </cfRule>
    <cfRule type="containsText" dxfId="519" priority="268" operator="containsText" text=":2">
      <formula>NOT(ISERROR(SEARCH(":2",N7)))</formula>
    </cfRule>
    <cfRule type="containsText" dxfId="518" priority="269" operator="containsText" text=":18">
      <formula>NOT(ISERROR(SEARCH(":18",N7)))</formula>
    </cfRule>
    <cfRule type="containsText" dxfId="517" priority="270" operator="containsText" text="07:0">
      <formula>NOT(ISERROR(SEARCH("07:0",N7)))</formula>
    </cfRule>
    <cfRule type="containsText" dxfId="516" priority="271" operator="containsText" text="07:15">
      <formula>NOT(ISERROR(SEARCH("07:15",N7)))</formula>
    </cfRule>
    <cfRule type="containsText" dxfId="515" priority="272" operator="containsText" text="06:">
      <formula>NOT(ISERROR(SEARCH("06:",N7)))</formula>
    </cfRule>
    <cfRule type="containsText" dxfId="514" priority="273" operator="containsText" text="05">
      <formula>NOT(ISERROR(SEARCH("05",N7)))</formula>
    </cfRule>
  </conditionalFormatting>
  <conditionalFormatting sqref="N7">
    <cfRule type="containsText" dxfId="513" priority="265" operator="containsText" text="2*:">
      <formula>NOT(ISERROR(SEARCH("2*:",N7)))</formula>
    </cfRule>
  </conditionalFormatting>
  <conditionalFormatting sqref="U7">
    <cfRule type="containsText" dxfId="512" priority="257" operator="containsText" text="19:45 -">
      <formula>NOT(ISERROR(SEARCH("19:45 -",U7)))</formula>
    </cfRule>
    <cfRule type="containsText" dxfId="511" priority="258" operator="containsText" text="00:00">
      <formula>NOT(ISERROR(SEARCH("00:00",U7)))</formula>
    </cfRule>
    <cfRule type="containsText" dxfId="510" priority="259" operator="containsText" text=":2">
      <formula>NOT(ISERROR(SEARCH(":2",U7)))</formula>
    </cfRule>
    <cfRule type="containsText" dxfId="509" priority="260" operator="containsText" text=":18">
      <formula>NOT(ISERROR(SEARCH(":18",U7)))</formula>
    </cfRule>
    <cfRule type="containsText" dxfId="508" priority="261" operator="containsText" text="07:0">
      <formula>NOT(ISERROR(SEARCH("07:0",U7)))</formula>
    </cfRule>
    <cfRule type="containsText" dxfId="507" priority="262" operator="containsText" text="07:15">
      <formula>NOT(ISERROR(SEARCH("07:15",U7)))</formula>
    </cfRule>
    <cfRule type="containsText" dxfId="506" priority="263" operator="containsText" text="06:">
      <formula>NOT(ISERROR(SEARCH("06:",U7)))</formula>
    </cfRule>
    <cfRule type="containsText" dxfId="505" priority="264" operator="containsText" text="05">
      <formula>NOT(ISERROR(SEARCH("05",U7)))</formula>
    </cfRule>
  </conditionalFormatting>
  <conditionalFormatting sqref="U7">
    <cfRule type="containsText" dxfId="504" priority="256" operator="containsText" text="2*:">
      <formula>NOT(ISERROR(SEARCH("2*:",U7)))</formula>
    </cfRule>
  </conditionalFormatting>
  <conditionalFormatting sqref="B7:V7">
    <cfRule type="containsText" dxfId="503" priority="254" operator="containsText" text="T">
      <formula>NOT(ISERROR(SEARCH("T",B7)))</formula>
    </cfRule>
    <cfRule type="containsText" dxfId="502" priority="255" operator="containsText" text="V">
      <formula>NOT(ISERROR(SEARCH("V",B7)))</formula>
    </cfRule>
  </conditionalFormatting>
  <conditionalFormatting sqref="B11:V11">
    <cfRule type="containsText" dxfId="501" priority="246" operator="containsText" text="19:45 -">
      <formula>NOT(ISERROR(SEARCH("19:45 -",B11)))</formula>
    </cfRule>
    <cfRule type="containsText" dxfId="500" priority="247" operator="containsText" text="00:00">
      <formula>NOT(ISERROR(SEARCH("00:00",B11)))</formula>
    </cfRule>
    <cfRule type="containsText" dxfId="499" priority="248" operator="containsText" text=":2">
      <formula>NOT(ISERROR(SEARCH(":2",B11)))</formula>
    </cfRule>
    <cfRule type="containsText" dxfId="498" priority="249" operator="containsText" text=":18">
      <formula>NOT(ISERROR(SEARCH(":18",B11)))</formula>
    </cfRule>
    <cfRule type="containsText" dxfId="497" priority="250" operator="containsText" text="07:0">
      <formula>NOT(ISERROR(SEARCH("07:0",B11)))</formula>
    </cfRule>
    <cfRule type="containsText" dxfId="496" priority="251" operator="containsText" text="07:15">
      <formula>NOT(ISERROR(SEARCH("07:15",B11)))</formula>
    </cfRule>
    <cfRule type="containsText" dxfId="495" priority="252" operator="containsText" text="06:">
      <formula>NOT(ISERROR(SEARCH("06:",B11)))</formula>
    </cfRule>
    <cfRule type="containsText" dxfId="494" priority="253" operator="containsText" text="05">
      <formula>NOT(ISERROR(SEARCH("05",B11)))</formula>
    </cfRule>
  </conditionalFormatting>
  <conditionalFormatting sqref="B11:V11">
    <cfRule type="containsText" dxfId="493" priority="245" operator="containsText" text="2*:">
      <formula>NOT(ISERROR(SEARCH("2*:",B11)))</formula>
    </cfRule>
  </conditionalFormatting>
  <conditionalFormatting sqref="G11">
    <cfRule type="containsText" dxfId="492" priority="237" operator="containsText" text="19:45 -">
      <formula>NOT(ISERROR(SEARCH("19:45 -",G11)))</formula>
    </cfRule>
    <cfRule type="containsText" dxfId="491" priority="238" operator="containsText" text="00:00">
      <formula>NOT(ISERROR(SEARCH("00:00",G11)))</formula>
    </cfRule>
    <cfRule type="containsText" dxfId="490" priority="239" operator="containsText" text=":2">
      <formula>NOT(ISERROR(SEARCH(":2",G11)))</formula>
    </cfRule>
    <cfRule type="containsText" dxfId="489" priority="240" operator="containsText" text=":18">
      <formula>NOT(ISERROR(SEARCH(":18",G11)))</formula>
    </cfRule>
    <cfRule type="containsText" dxfId="488" priority="241" operator="containsText" text="07:0">
      <formula>NOT(ISERROR(SEARCH("07:0",G11)))</formula>
    </cfRule>
    <cfRule type="containsText" dxfId="487" priority="242" operator="containsText" text="07:15">
      <formula>NOT(ISERROR(SEARCH("07:15",G11)))</formula>
    </cfRule>
    <cfRule type="containsText" dxfId="486" priority="243" operator="containsText" text="06:">
      <formula>NOT(ISERROR(SEARCH("06:",G11)))</formula>
    </cfRule>
    <cfRule type="containsText" dxfId="485" priority="244" operator="containsText" text="05">
      <formula>NOT(ISERROR(SEARCH("05",G11)))</formula>
    </cfRule>
  </conditionalFormatting>
  <conditionalFormatting sqref="G11">
    <cfRule type="containsText" dxfId="484" priority="236" operator="containsText" text="2*:">
      <formula>NOT(ISERROR(SEARCH("2*:",G11)))</formula>
    </cfRule>
  </conditionalFormatting>
  <conditionalFormatting sqref="N11">
    <cfRule type="containsText" dxfId="483" priority="228" operator="containsText" text="19:45 -">
      <formula>NOT(ISERROR(SEARCH("19:45 -",N11)))</formula>
    </cfRule>
    <cfRule type="containsText" dxfId="482" priority="229" operator="containsText" text="00:00">
      <formula>NOT(ISERROR(SEARCH("00:00",N11)))</formula>
    </cfRule>
    <cfRule type="containsText" dxfId="481" priority="230" operator="containsText" text=":2">
      <formula>NOT(ISERROR(SEARCH(":2",N11)))</formula>
    </cfRule>
    <cfRule type="containsText" dxfId="480" priority="231" operator="containsText" text=":18">
      <formula>NOT(ISERROR(SEARCH(":18",N11)))</formula>
    </cfRule>
    <cfRule type="containsText" dxfId="479" priority="232" operator="containsText" text="07:0">
      <formula>NOT(ISERROR(SEARCH("07:0",N11)))</formula>
    </cfRule>
    <cfRule type="containsText" dxfId="478" priority="233" operator="containsText" text="07:15">
      <formula>NOT(ISERROR(SEARCH("07:15",N11)))</formula>
    </cfRule>
    <cfRule type="containsText" dxfId="477" priority="234" operator="containsText" text="06:">
      <formula>NOT(ISERROR(SEARCH("06:",N11)))</formula>
    </cfRule>
    <cfRule type="containsText" dxfId="476" priority="235" operator="containsText" text="05">
      <formula>NOT(ISERROR(SEARCH("05",N11)))</formula>
    </cfRule>
  </conditionalFormatting>
  <conditionalFormatting sqref="N11">
    <cfRule type="containsText" dxfId="475" priority="227" operator="containsText" text="2*:">
      <formula>NOT(ISERROR(SEARCH("2*:",N11)))</formula>
    </cfRule>
  </conditionalFormatting>
  <conditionalFormatting sqref="U11">
    <cfRule type="containsText" dxfId="474" priority="219" operator="containsText" text="19:45 -">
      <formula>NOT(ISERROR(SEARCH("19:45 -",U11)))</formula>
    </cfRule>
    <cfRule type="containsText" dxfId="473" priority="220" operator="containsText" text="00:00">
      <formula>NOT(ISERROR(SEARCH("00:00",U11)))</formula>
    </cfRule>
    <cfRule type="containsText" dxfId="472" priority="221" operator="containsText" text=":2">
      <formula>NOT(ISERROR(SEARCH(":2",U11)))</formula>
    </cfRule>
    <cfRule type="containsText" dxfId="471" priority="222" operator="containsText" text=":18">
      <formula>NOT(ISERROR(SEARCH(":18",U11)))</formula>
    </cfRule>
    <cfRule type="containsText" dxfId="470" priority="223" operator="containsText" text="07:0">
      <formula>NOT(ISERROR(SEARCH("07:0",U11)))</formula>
    </cfRule>
    <cfRule type="containsText" dxfId="469" priority="224" operator="containsText" text="07:15">
      <formula>NOT(ISERROR(SEARCH("07:15",U11)))</formula>
    </cfRule>
    <cfRule type="containsText" dxfId="468" priority="225" operator="containsText" text="06:">
      <formula>NOT(ISERROR(SEARCH("06:",U11)))</formula>
    </cfRule>
    <cfRule type="containsText" dxfId="467" priority="226" operator="containsText" text="05">
      <formula>NOT(ISERROR(SEARCH("05",U11)))</formula>
    </cfRule>
  </conditionalFormatting>
  <conditionalFormatting sqref="U11">
    <cfRule type="containsText" dxfId="466" priority="218" operator="containsText" text="2*:">
      <formula>NOT(ISERROR(SEARCH("2*:",U11)))</formula>
    </cfRule>
  </conditionalFormatting>
  <conditionalFormatting sqref="B11:V11">
    <cfRule type="containsText" dxfId="465" priority="216" operator="containsText" text="T">
      <formula>NOT(ISERROR(SEARCH("T",B11)))</formula>
    </cfRule>
    <cfRule type="containsText" dxfId="464" priority="217" operator="containsText" text="V">
      <formula>NOT(ISERROR(SEARCH("V",B11)))</formula>
    </cfRule>
  </conditionalFormatting>
  <conditionalFormatting sqref="B15:V15">
    <cfRule type="containsText" dxfId="463" priority="208" operator="containsText" text="19:45 -">
      <formula>NOT(ISERROR(SEARCH("19:45 -",B15)))</formula>
    </cfRule>
    <cfRule type="containsText" dxfId="462" priority="209" operator="containsText" text="00:00">
      <formula>NOT(ISERROR(SEARCH("00:00",B15)))</formula>
    </cfRule>
    <cfRule type="containsText" dxfId="461" priority="210" operator="containsText" text=":2">
      <formula>NOT(ISERROR(SEARCH(":2",B15)))</formula>
    </cfRule>
    <cfRule type="containsText" dxfId="460" priority="211" operator="containsText" text=":18">
      <formula>NOT(ISERROR(SEARCH(":18",B15)))</formula>
    </cfRule>
    <cfRule type="containsText" dxfId="459" priority="212" operator="containsText" text="07:0">
      <formula>NOT(ISERROR(SEARCH("07:0",B15)))</formula>
    </cfRule>
    <cfRule type="containsText" dxfId="458" priority="213" operator="containsText" text="07:15">
      <formula>NOT(ISERROR(SEARCH("07:15",B15)))</formula>
    </cfRule>
    <cfRule type="containsText" dxfId="457" priority="214" operator="containsText" text="06:">
      <formula>NOT(ISERROR(SEARCH("06:",B15)))</formula>
    </cfRule>
    <cfRule type="containsText" dxfId="456" priority="215" operator="containsText" text="05">
      <formula>NOT(ISERROR(SEARCH("05",B15)))</formula>
    </cfRule>
  </conditionalFormatting>
  <conditionalFormatting sqref="B15:V15">
    <cfRule type="containsText" dxfId="455" priority="207" operator="containsText" text="2*:">
      <formula>NOT(ISERROR(SEARCH("2*:",B15)))</formula>
    </cfRule>
  </conditionalFormatting>
  <conditionalFormatting sqref="G15">
    <cfRule type="containsText" dxfId="454" priority="199" operator="containsText" text="19:45 -">
      <formula>NOT(ISERROR(SEARCH("19:45 -",G15)))</formula>
    </cfRule>
    <cfRule type="containsText" dxfId="453" priority="200" operator="containsText" text="00:00">
      <formula>NOT(ISERROR(SEARCH("00:00",G15)))</formula>
    </cfRule>
    <cfRule type="containsText" dxfId="452" priority="201" operator="containsText" text=":2">
      <formula>NOT(ISERROR(SEARCH(":2",G15)))</formula>
    </cfRule>
    <cfRule type="containsText" dxfId="451" priority="202" operator="containsText" text=":18">
      <formula>NOT(ISERROR(SEARCH(":18",G15)))</formula>
    </cfRule>
    <cfRule type="containsText" dxfId="450" priority="203" operator="containsText" text="07:0">
      <formula>NOT(ISERROR(SEARCH("07:0",G15)))</formula>
    </cfRule>
    <cfRule type="containsText" dxfId="449" priority="204" operator="containsText" text="07:15">
      <formula>NOT(ISERROR(SEARCH("07:15",G15)))</formula>
    </cfRule>
    <cfRule type="containsText" dxfId="448" priority="205" operator="containsText" text="06:">
      <formula>NOT(ISERROR(SEARCH("06:",G15)))</formula>
    </cfRule>
    <cfRule type="containsText" dxfId="447" priority="206" operator="containsText" text="05">
      <formula>NOT(ISERROR(SEARCH("05",G15)))</formula>
    </cfRule>
  </conditionalFormatting>
  <conditionalFormatting sqref="G15">
    <cfRule type="containsText" dxfId="446" priority="198" operator="containsText" text="2*:">
      <formula>NOT(ISERROR(SEARCH("2*:",G15)))</formula>
    </cfRule>
  </conditionalFormatting>
  <conditionalFormatting sqref="N15">
    <cfRule type="containsText" dxfId="445" priority="190" operator="containsText" text="19:45 -">
      <formula>NOT(ISERROR(SEARCH("19:45 -",N15)))</formula>
    </cfRule>
    <cfRule type="containsText" dxfId="444" priority="191" operator="containsText" text="00:00">
      <formula>NOT(ISERROR(SEARCH("00:00",N15)))</formula>
    </cfRule>
    <cfRule type="containsText" dxfId="443" priority="192" operator="containsText" text=":2">
      <formula>NOT(ISERROR(SEARCH(":2",N15)))</formula>
    </cfRule>
    <cfRule type="containsText" dxfId="442" priority="193" operator="containsText" text=":18">
      <formula>NOT(ISERROR(SEARCH(":18",N15)))</formula>
    </cfRule>
    <cfRule type="containsText" dxfId="441" priority="194" operator="containsText" text="07:0">
      <formula>NOT(ISERROR(SEARCH("07:0",N15)))</formula>
    </cfRule>
    <cfRule type="containsText" dxfId="440" priority="195" operator="containsText" text="07:15">
      <formula>NOT(ISERROR(SEARCH("07:15",N15)))</formula>
    </cfRule>
    <cfRule type="containsText" dxfId="439" priority="196" operator="containsText" text="06:">
      <formula>NOT(ISERROR(SEARCH("06:",N15)))</formula>
    </cfRule>
    <cfRule type="containsText" dxfId="438" priority="197" operator="containsText" text="05">
      <formula>NOT(ISERROR(SEARCH("05",N15)))</formula>
    </cfRule>
  </conditionalFormatting>
  <conditionalFormatting sqref="N15">
    <cfRule type="containsText" dxfId="437" priority="189" operator="containsText" text="2*:">
      <formula>NOT(ISERROR(SEARCH("2*:",N15)))</formula>
    </cfRule>
  </conditionalFormatting>
  <conditionalFormatting sqref="U15">
    <cfRule type="containsText" dxfId="436" priority="181" operator="containsText" text="19:45 -">
      <formula>NOT(ISERROR(SEARCH("19:45 -",U15)))</formula>
    </cfRule>
    <cfRule type="containsText" dxfId="435" priority="182" operator="containsText" text="00:00">
      <formula>NOT(ISERROR(SEARCH("00:00",U15)))</formula>
    </cfRule>
    <cfRule type="containsText" dxfId="434" priority="183" operator="containsText" text=":2">
      <formula>NOT(ISERROR(SEARCH(":2",U15)))</formula>
    </cfRule>
    <cfRule type="containsText" dxfId="433" priority="184" operator="containsText" text=":18">
      <formula>NOT(ISERROR(SEARCH(":18",U15)))</formula>
    </cfRule>
    <cfRule type="containsText" dxfId="432" priority="185" operator="containsText" text="07:0">
      <formula>NOT(ISERROR(SEARCH("07:0",U15)))</formula>
    </cfRule>
    <cfRule type="containsText" dxfId="431" priority="186" operator="containsText" text="07:15">
      <formula>NOT(ISERROR(SEARCH("07:15",U15)))</formula>
    </cfRule>
    <cfRule type="containsText" dxfId="430" priority="187" operator="containsText" text="06:">
      <formula>NOT(ISERROR(SEARCH("06:",U15)))</formula>
    </cfRule>
    <cfRule type="containsText" dxfId="429" priority="188" operator="containsText" text="05">
      <formula>NOT(ISERROR(SEARCH("05",U15)))</formula>
    </cfRule>
  </conditionalFormatting>
  <conditionalFormatting sqref="U15">
    <cfRule type="containsText" dxfId="428" priority="180" operator="containsText" text="2*:">
      <formula>NOT(ISERROR(SEARCH("2*:",U15)))</formula>
    </cfRule>
  </conditionalFormatting>
  <conditionalFormatting sqref="B15:V15">
    <cfRule type="containsText" dxfId="427" priority="178" operator="containsText" text="T">
      <formula>NOT(ISERROR(SEARCH("T",B15)))</formula>
    </cfRule>
    <cfRule type="containsText" dxfId="426" priority="179" operator="containsText" text="V">
      <formula>NOT(ISERROR(SEARCH("V",B15)))</formula>
    </cfRule>
  </conditionalFormatting>
  <conditionalFormatting sqref="B19:V19">
    <cfRule type="containsText" dxfId="425" priority="170" operator="containsText" text="19:45 -">
      <formula>NOT(ISERROR(SEARCH("19:45 -",B19)))</formula>
    </cfRule>
    <cfRule type="containsText" dxfId="424" priority="171" operator="containsText" text="00:00">
      <formula>NOT(ISERROR(SEARCH("00:00",B19)))</formula>
    </cfRule>
    <cfRule type="containsText" dxfId="423" priority="172" operator="containsText" text=":2">
      <formula>NOT(ISERROR(SEARCH(":2",B19)))</formula>
    </cfRule>
    <cfRule type="containsText" dxfId="422" priority="173" operator="containsText" text=":18">
      <formula>NOT(ISERROR(SEARCH(":18",B19)))</formula>
    </cfRule>
    <cfRule type="containsText" dxfId="421" priority="174" operator="containsText" text="07:0">
      <formula>NOT(ISERROR(SEARCH("07:0",B19)))</formula>
    </cfRule>
    <cfRule type="containsText" dxfId="420" priority="175" operator="containsText" text="07:15">
      <formula>NOT(ISERROR(SEARCH("07:15",B19)))</formula>
    </cfRule>
    <cfRule type="containsText" dxfId="419" priority="176" operator="containsText" text="06:">
      <formula>NOT(ISERROR(SEARCH("06:",B19)))</formula>
    </cfRule>
    <cfRule type="containsText" dxfId="418" priority="177" operator="containsText" text="05">
      <formula>NOT(ISERROR(SEARCH("05",B19)))</formula>
    </cfRule>
  </conditionalFormatting>
  <conditionalFormatting sqref="B19:V19">
    <cfRule type="containsText" dxfId="417" priority="169" operator="containsText" text="2*:">
      <formula>NOT(ISERROR(SEARCH("2*:",B19)))</formula>
    </cfRule>
  </conditionalFormatting>
  <conditionalFormatting sqref="G19">
    <cfRule type="containsText" dxfId="416" priority="161" operator="containsText" text="19:45 -">
      <formula>NOT(ISERROR(SEARCH("19:45 -",G19)))</formula>
    </cfRule>
    <cfRule type="containsText" dxfId="415" priority="162" operator="containsText" text="00:00">
      <formula>NOT(ISERROR(SEARCH("00:00",G19)))</formula>
    </cfRule>
    <cfRule type="containsText" dxfId="414" priority="163" operator="containsText" text=":2">
      <formula>NOT(ISERROR(SEARCH(":2",G19)))</formula>
    </cfRule>
    <cfRule type="containsText" dxfId="413" priority="164" operator="containsText" text=":18">
      <formula>NOT(ISERROR(SEARCH(":18",G19)))</formula>
    </cfRule>
    <cfRule type="containsText" dxfId="412" priority="165" operator="containsText" text="07:0">
      <formula>NOT(ISERROR(SEARCH("07:0",G19)))</formula>
    </cfRule>
    <cfRule type="containsText" dxfId="411" priority="166" operator="containsText" text="07:15">
      <formula>NOT(ISERROR(SEARCH("07:15",G19)))</formula>
    </cfRule>
    <cfRule type="containsText" dxfId="410" priority="167" operator="containsText" text="06:">
      <formula>NOT(ISERROR(SEARCH("06:",G19)))</formula>
    </cfRule>
    <cfRule type="containsText" dxfId="409" priority="168" operator="containsText" text="05">
      <formula>NOT(ISERROR(SEARCH("05",G19)))</formula>
    </cfRule>
  </conditionalFormatting>
  <conditionalFormatting sqref="G19">
    <cfRule type="containsText" dxfId="408" priority="160" operator="containsText" text="2*:">
      <formula>NOT(ISERROR(SEARCH("2*:",G19)))</formula>
    </cfRule>
  </conditionalFormatting>
  <conditionalFormatting sqref="N19">
    <cfRule type="containsText" dxfId="407" priority="152" operator="containsText" text="19:45 -">
      <formula>NOT(ISERROR(SEARCH("19:45 -",N19)))</formula>
    </cfRule>
    <cfRule type="containsText" dxfId="406" priority="153" operator="containsText" text="00:00">
      <formula>NOT(ISERROR(SEARCH("00:00",N19)))</formula>
    </cfRule>
    <cfRule type="containsText" dxfId="405" priority="154" operator="containsText" text=":2">
      <formula>NOT(ISERROR(SEARCH(":2",N19)))</formula>
    </cfRule>
    <cfRule type="containsText" dxfId="404" priority="155" operator="containsText" text=":18">
      <formula>NOT(ISERROR(SEARCH(":18",N19)))</formula>
    </cfRule>
    <cfRule type="containsText" dxfId="403" priority="156" operator="containsText" text="07:0">
      <formula>NOT(ISERROR(SEARCH("07:0",N19)))</formula>
    </cfRule>
    <cfRule type="containsText" dxfId="402" priority="157" operator="containsText" text="07:15">
      <formula>NOT(ISERROR(SEARCH("07:15",N19)))</formula>
    </cfRule>
    <cfRule type="containsText" dxfId="401" priority="158" operator="containsText" text="06:">
      <formula>NOT(ISERROR(SEARCH("06:",N19)))</formula>
    </cfRule>
    <cfRule type="containsText" dxfId="400" priority="159" operator="containsText" text="05">
      <formula>NOT(ISERROR(SEARCH("05",N19)))</formula>
    </cfRule>
  </conditionalFormatting>
  <conditionalFormatting sqref="N19">
    <cfRule type="containsText" dxfId="399" priority="151" operator="containsText" text="2*:">
      <formula>NOT(ISERROR(SEARCH("2*:",N19)))</formula>
    </cfRule>
  </conditionalFormatting>
  <conditionalFormatting sqref="U19">
    <cfRule type="containsText" dxfId="398" priority="143" operator="containsText" text="19:45 -">
      <formula>NOT(ISERROR(SEARCH("19:45 -",U19)))</formula>
    </cfRule>
    <cfRule type="containsText" dxfId="397" priority="144" operator="containsText" text="00:00">
      <formula>NOT(ISERROR(SEARCH("00:00",U19)))</formula>
    </cfRule>
    <cfRule type="containsText" dxfId="396" priority="145" operator="containsText" text=":2">
      <formula>NOT(ISERROR(SEARCH(":2",U19)))</formula>
    </cfRule>
    <cfRule type="containsText" dxfId="395" priority="146" operator="containsText" text=":18">
      <formula>NOT(ISERROR(SEARCH(":18",U19)))</formula>
    </cfRule>
    <cfRule type="containsText" dxfId="394" priority="147" operator="containsText" text="07:0">
      <formula>NOT(ISERROR(SEARCH("07:0",U19)))</formula>
    </cfRule>
    <cfRule type="containsText" dxfId="393" priority="148" operator="containsText" text="07:15">
      <formula>NOT(ISERROR(SEARCH("07:15",U19)))</formula>
    </cfRule>
    <cfRule type="containsText" dxfId="392" priority="149" operator="containsText" text="06:">
      <formula>NOT(ISERROR(SEARCH("06:",U19)))</formula>
    </cfRule>
    <cfRule type="containsText" dxfId="391" priority="150" operator="containsText" text="05">
      <formula>NOT(ISERROR(SEARCH("05",U19)))</formula>
    </cfRule>
  </conditionalFormatting>
  <conditionalFormatting sqref="U19">
    <cfRule type="containsText" dxfId="390" priority="142" operator="containsText" text="2*:">
      <formula>NOT(ISERROR(SEARCH("2*:",U19)))</formula>
    </cfRule>
  </conditionalFormatting>
  <conditionalFormatting sqref="B19:V19">
    <cfRule type="containsText" dxfId="389" priority="140" operator="containsText" text="T">
      <formula>NOT(ISERROR(SEARCH("T",B19)))</formula>
    </cfRule>
    <cfRule type="containsText" dxfId="388" priority="141" operator="containsText" text="V">
      <formula>NOT(ISERROR(SEARCH("V",B19)))</formula>
    </cfRule>
  </conditionalFormatting>
  <conditionalFormatting sqref="B11:V11">
    <cfRule type="containsText" dxfId="387" priority="138" operator="containsText" text="T">
      <formula>NOT(ISERROR(SEARCH("T",B11)))</formula>
    </cfRule>
    <cfRule type="containsText" dxfId="386" priority="139" operator="containsText" text="V">
      <formula>NOT(ISERROR(SEARCH("V",B11)))</formula>
    </cfRule>
  </conditionalFormatting>
  <conditionalFormatting sqref="B11:V11">
    <cfRule type="containsText" dxfId="385" priority="136" operator="containsText" text="T">
      <formula>NOT(ISERROR(SEARCH("T",B11)))</formula>
    </cfRule>
    <cfRule type="containsText" dxfId="384" priority="137" operator="containsText" text="V">
      <formula>NOT(ISERROR(SEARCH("V",B11)))</formula>
    </cfRule>
  </conditionalFormatting>
  <conditionalFormatting sqref="B11:V11">
    <cfRule type="containsText" dxfId="383" priority="134" operator="containsText" text="T">
      <formula>NOT(ISERROR(SEARCH("T",B11)))</formula>
    </cfRule>
    <cfRule type="containsText" dxfId="382" priority="135" operator="containsText" text="V">
      <formula>NOT(ISERROR(SEARCH("V",B11)))</formula>
    </cfRule>
  </conditionalFormatting>
  <conditionalFormatting sqref="B11:V11">
    <cfRule type="containsText" dxfId="381" priority="126" operator="containsText" text="19:45 -">
      <formula>NOT(ISERROR(SEARCH("19:45 -",B11)))</formula>
    </cfRule>
    <cfRule type="containsText" dxfId="380" priority="127" operator="containsText" text="00:00">
      <formula>NOT(ISERROR(SEARCH("00:00",B11)))</formula>
    </cfRule>
    <cfRule type="containsText" dxfId="379" priority="128" operator="containsText" text=":2">
      <formula>NOT(ISERROR(SEARCH(":2",B11)))</formula>
    </cfRule>
    <cfRule type="containsText" dxfId="378" priority="129" operator="containsText" text=":18">
      <formula>NOT(ISERROR(SEARCH(":18",B11)))</formula>
    </cfRule>
    <cfRule type="containsText" dxfId="377" priority="130" operator="containsText" text="07:0">
      <formula>NOT(ISERROR(SEARCH("07:0",B11)))</formula>
    </cfRule>
    <cfRule type="containsText" dxfId="376" priority="131" operator="containsText" text="07:15">
      <formula>NOT(ISERROR(SEARCH("07:15",B11)))</formula>
    </cfRule>
    <cfRule type="containsText" dxfId="375" priority="132" operator="containsText" text="06:">
      <formula>NOT(ISERROR(SEARCH("06:",B11)))</formula>
    </cfRule>
    <cfRule type="containsText" dxfId="374" priority="133" operator="containsText" text="05">
      <formula>NOT(ISERROR(SEARCH("05",B11)))</formula>
    </cfRule>
  </conditionalFormatting>
  <conditionalFormatting sqref="B11:V11">
    <cfRule type="containsText" dxfId="373" priority="125" operator="containsText" text="2*:">
      <formula>NOT(ISERROR(SEARCH("2*:",B11)))</formula>
    </cfRule>
  </conditionalFormatting>
  <conditionalFormatting sqref="B11:V11">
    <cfRule type="containsText" dxfId="372" priority="123" operator="containsText" text="T">
      <formula>NOT(ISERROR(SEARCH("T",B11)))</formula>
    </cfRule>
    <cfRule type="containsText" dxfId="371" priority="124" operator="containsText" text="V">
      <formula>NOT(ISERROR(SEARCH("V",B11)))</formula>
    </cfRule>
  </conditionalFormatting>
  <conditionalFormatting sqref="B15:V15">
    <cfRule type="containsText" dxfId="370" priority="121" operator="containsText" text="T">
      <formula>NOT(ISERROR(SEARCH("T",B15)))</formula>
    </cfRule>
    <cfRule type="containsText" dxfId="369" priority="122" operator="containsText" text="V">
      <formula>NOT(ISERROR(SEARCH("V",B15)))</formula>
    </cfRule>
  </conditionalFormatting>
  <conditionalFormatting sqref="B15:V15">
    <cfRule type="containsText" dxfId="368" priority="119" operator="containsText" text="T">
      <formula>NOT(ISERROR(SEARCH("T",B15)))</formula>
    </cfRule>
    <cfRule type="containsText" dxfId="367" priority="120" operator="containsText" text="V">
      <formula>NOT(ISERROR(SEARCH("V",B15)))</formula>
    </cfRule>
  </conditionalFormatting>
  <conditionalFormatting sqref="B15:V15">
    <cfRule type="containsText" dxfId="366" priority="117" operator="containsText" text="T">
      <formula>NOT(ISERROR(SEARCH("T",B15)))</formula>
    </cfRule>
    <cfRule type="containsText" dxfId="365" priority="118" operator="containsText" text="V">
      <formula>NOT(ISERROR(SEARCH("V",B15)))</formula>
    </cfRule>
  </conditionalFormatting>
  <conditionalFormatting sqref="B15:V15">
    <cfRule type="containsText" dxfId="364" priority="115" operator="containsText" text="T">
      <formula>NOT(ISERROR(SEARCH("T",B15)))</formula>
    </cfRule>
    <cfRule type="containsText" dxfId="363" priority="116" operator="containsText" text="V">
      <formula>NOT(ISERROR(SEARCH("V",B15)))</formula>
    </cfRule>
  </conditionalFormatting>
  <conditionalFormatting sqref="B15:V15">
    <cfRule type="containsText" dxfId="362" priority="113" operator="containsText" text="T">
      <formula>NOT(ISERROR(SEARCH("T",B15)))</formula>
    </cfRule>
    <cfRule type="containsText" dxfId="361" priority="114" operator="containsText" text="V">
      <formula>NOT(ISERROR(SEARCH("V",B15)))</formula>
    </cfRule>
  </conditionalFormatting>
  <conditionalFormatting sqref="B15:V15">
    <cfRule type="containsText" dxfId="360" priority="111" operator="containsText" text="T">
      <formula>NOT(ISERROR(SEARCH("T",B15)))</formula>
    </cfRule>
    <cfRule type="containsText" dxfId="359" priority="112" operator="containsText" text="V">
      <formula>NOT(ISERROR(SEARCH("V",B15)))</formula>
    </cfRule>
  </conditionalFormatting>
  <conditionalFormatting sqref="B15:V15">
    <cfRule type="containsText" dxfId="358" priority="103" operator="containsText" text="19:45 -">
      <formula>NOT(ISERROR(SEARCH("19:45 -",B15)))</formula>
    </cfRule>
    <cfRule type="containsText" dxfId="357" priority="104" operator="containsText" text="00:00">
      <formula>NOT(ISERROR(SEARCH("00:00",B15)))</formula>
    </cfRule>
    <cfRule type="containsText" dxfId="356" priority="105" operator="containsText" text=":2">
      <formula>NOT(ISERROR(SEARCH(":2",B15)))</formula>
    </cfRule>
    <cfRule type="containsText" dxfId="355" priority="106" operator="containsText" text=":18">
      <formula>NOT(ISERROR(SEARCH(":18",B15)))</formula>
    </cfRule>
    <cfRule type="containsText" dxfId="354" priority="107" operator="containsText" text="07:0">
      <formula>NOT(ISERROR(SEARCH("07:0",B15)))</formula>
    </cfRule>
    <cfRule type="containsText" dxfId="353" priority="108" operator="containsText" text="07:15">
      <formula>NOT(ISERROR(SEARCH("07:15",B15)))</formula>
    </cfRule>
    <cfRule type="containsText" dxfId="352" priority="109" operator="containsText" text="06:">
      <formula>NOT(ISERROR(SEARCH("06:",B15)))</formula>
    </cfRule>
    <cfRule type="containsText" dxfId="351" priority="110" operator="containsText" text="05">
      <formula>NOT(ISERROR(SEARCH("05",B15)))</formula>
    </cfRule>
  </conditionalFormatting>
  <conditionalFormatting sqref="B15:V15">
    <cfRule type="containsText" dxfId="350" priority="102" operator="containsText" text="2*:">
      <formula>NOT(ISERROR(SEARCH("2*:",B15)))</formula>
    </cfRule>
  </conditionalFormatting>
  <conditionalFormatting sqref="B15:V15">
    <cfRule type="containsText" dxfId="349" priority="100" operator="containsText" text="T">
      <formula>NOT(ISERROR(SEARCH("T",B15)))</formula>
    </cfRule>
    <cfRule type="containsText" dxfId="348" priority="101" operator="containsText" text="V">
      <formula>NOT(ISERROR(SEARCH("V",B15)))</formula>
    </cfRule>
  </conditionalFormatting>
  <conditionalFormatting sqref="B15:V15">
    <cfRule type="containsText" dxfId="347" priority="98" operator="containsText" text="T">
      <formula>NOT(ISERROR(SEARCH("T",B15)))</formula>
    </cfRule>
    <cfRule type="containsText" dxfId="346" priority="99" operator="containsText" text="V">
      <formula>NOT(ISERROR(SEARCH("V",B15)))</formula>
    </cfRule>
  </conditionalFormatting>
  <conditionalFormatting sqref="B15:V15">
    <cfRule type="containsText" dxfId="345" priority="96" operator="containsText" text="T">
      <formula>NOT(ISERROR(SEARCH("T",B15)))</formula>
    </cfRule>
    <cfRule type="containsText" dxfId="344" priority="97" operator="containsText" text="V">
      <formula>NOT(ISERROR(SEARCH("V",B15)))</formula>
    </cfRule>
  </conditionalFormatting>
  <conditionalFormatting sqref="B15:V15">
    <cfRule type="containsText" dxfId="343" priority="94" operator="containsText" text="T">
      <formula>NOT(ISERROR(SEARCH("T",B15)))</formula>
    </cfRule>
    <cfRule type="containsText" dxfId="342" priority="95" operator="containsText" text="V">
      <formula>NOT(ISERROR(SEARCH("V",B15)))</formula>
    </cfRule>
  </conditionalFormatting>
  <conditionalFormatting sqref="B15:V15">
    <cfRule type="containsText" dxfId="341" priority="86" operator="containsText" text="19:45 -">
      <formula>NOT(ISERROR(SEARCH("19:45 -",B15)))</formula>
    </cfRule>
    <cfRule type="containsText" dxfId="340" priority="87" operator="containsText" text="00:00">
      <formula>NOT(ISERROR(SEARCH("00:00",B15)))</formula>
    </cfRule>
    <cfRule type="containsText" dxfId="339" priority="88" operator="containsText" text=":2">
      <formula>NOT(ISERROR(SEARCH(":2",B15)))</formula>
    </cfRule>
    <cfRule type="containsText" dxfId="338" priority="89" operator="containsText" text=":18">
      <formula>NOT(ISERROR(SEARCH(":18",B15)))</formula>
    </cfRule>
    <cfRule type="containsText" dxfId="337" priority="90" operator="containsText" text="07:0">
      <formula>NOT(ISERROR(SEARCH("07:0",B15)))</formula>
    </cfRule>
    <cfRule type="containsText" dxfId="336" priority="91" operator="containsText" text="07:15">
      <formula>NOT(ISERROR(SEARCH("07:15",B15)))</formula>
    </cfRule>
    <cfRule type="containsText" dxfId="335" priority="92" operator="containsText" text="06:">
      <formula>NOT(ISERROR(SEARCH("06:",B15)))</formula>
    </cfRule>
    <cfRule type="containsText" dxfId="334" priority="93" operator="containsText" text="05">
      <formula>NOT(ISERROR(SEARCH("05",B15)))</formula>
    </cfRule>
  </conditionalFormatting>
  <conditionalFormatting sqref="B15:V15">
    <cfRule type="containsText" dxfId="333" priority="85" operator="containsText" text="2*:">
      <formula>NOT(ISERROR(SEARCH("2*:",B15)))</formula>
    </cfRule>
  </conditionalFormatting>
  <conditionalFormatting sqref="B15:V15">
    <cfRule type="containsText" dxfId="332" priority="83" operator="containsText" text="T">
      <formula>NOT(ISERROR(SEARCH("T",B15)))</formula>
    </cfRule>
    <cfRule type="containsText" dxfId="331" priority="84" operator="containsText" text="V">
      <formula>NOT(ISERROR(SEARCH("V",B15)))</formula>
    </cfRule>
  </conditionalFormatting>
  <conditionalFormatting sqref="B19:V19">
    <cfRule type="containsText" dxfId="330" priority="81" operator="containsText" text="T">
      <formula>NOT(ISERROR(SEARCH("T",B19)))</formula>
    </cfRule>
    <cfRule type="containsText" dxfId="329" priority="82" operator="containsText" text="V">
      <formula>NOT(ISERROR(SEARCH("V",B19)))</formula>
    </cfRule>
  </conditionalFormatting>
  <conditionalFormatting sqref="B19:V19">
    <cfRule type="containsText" dxfId="328" priority="79" operator="containsText" text="T">
      <formula>NOT(ISERROR(SEARCH("T",B19)))</formula>
    </cfRule>
    <cfRule type="containsText" dxfId="327" priority="80" operator="containsText" text="V">
      <formula>NOT(ISERROR(SEARCH("V",B19)))</formula>
    </cfRule>
  </conditionalFormatting>
  <conditionalFormatting sqref="B19:V19">
    <cfRule type="containsText" dxfId="326" priority="77" operator="containsText" text="T">
      <formula>NOT(ISERROR(SEARCH("T",B19)))</formula>
    </cfRule>
    <cfRule type="containsText" dxfId="325" priority="78" operator="containsText" text="V">
      <formula>NOT(ISERROR(SEARCH("V",B19)))</formula>
    </cfRule>
  </conditionalFormatting>
  <conditionalFormatting sqref="B19:V19">
    <cfRule type="containsText" dxfId="324" priority="75" operator="containsText" text="T">
      <formula>NOT(ISERROR(SEARCH("T",B19)))</formula>
    </cfRule>
    <cfRule type="containsText" dxfId="323" priority="76" operator="containsText" text="V">
      <formula>NOT(ISERROR(SEARCH("V",B19)))</formula>
    </cfRule>
  </conditionalFormatting>
  <conditionalFormatting sqref="B19:V19">
    <cfRule type="containsText" dxfId="322" priority="73" operator="containsText" text="T">
      <formula>NOT(ISERROR(SEARCH("T",B19)))</formula>
    </cfRule>
    <cfRule type="containsText" dxfId="321" priority="74" operator="containsText" text="V">
      <formula>NOT(ISERROR(SEARCH("V",B19)))</formula>
    </cfRule>
  </conditionalFormatting>
  <conditionalFormatting sqref="B19:V19">
    <cfRule type="containsText" dxfId="320" priority="71" operator="containsText" text="T">
      <formula>NOT(ISERROR(SEARCH("T",B19)))</formula>
    </cfRule>
    <cfRule type="containsText" dxfId="319" priority="72" operator="containsText" text="V">
      <formula>NOT(ISERROR(SEARCH("V",B19)))</formula>
    </cfRule>
  </conditionalFormatting>
  <conditionalFormatting sqref="B19:V19">
    <cfRule type="containsText" dxfId="318" priority="63" operator="containsText" text="19:45 -">
      <formula>NOT(ISERROR(SEARCH("19:45 -",B19)))</formula>
    </cfRule>
    <cfRule type="containsText" dxfId="317" priority="64" operator="containsText" text="00:00">
      <formula>NOT(ISERROR(SEARCH("00:00",B19)))</formula>
    </cfRule>
    <cfRule type="containsText" dxfId="316" priority="65" operator="containsText" text=":2">
      <formula>NOT(ISERROR(SEARCH(":2",B19)))</formula>
    </cfRule>
    <cfRule type="containsText" dxfId="315" priority="66" operator="containsText" text=":18">
      <formula>NOT(ISERROR(SEARCH(":18",B19)))</formula>
    </cfRule>
    <cfRule type="containsText" dxfId="314" priority="67" operator="containsText" text="07:0">
      <formula>NOT(ISERROR(SEARCH("07:0",B19)))</formula>
    </cfRule>
    <cfRule type="containsText" dxfId="313" priority="68" operator="containsText" text="07:15">
      <formula>NOT(ISERROR(SEARCH("07:15",B19)))</formula>
    </cfRule>
    <cfRule type="containsText" dxfId="312" priority="69" operator="containsText" text="06:">
      <formula>NOT(ISERROR(SEARCH("06:",B19)))</formula>
    </cfRule>
    <cfRule type="containsText" dxfId="311" priority="70" operator="containsText" text="05">
      <formula>NOT(ISERROR(SEARCH("05",B19)))</formula>
    </cfRule>
  </conditionalFormatting>
  <conditionalFormatting sqref="B19:V19">
    <cfRule type="containsText" dxfId="310" priority="62" operator="containsText" text="2*:">
      <formula>NOT(ISERROR(SEARCH("2*:",B19)))</formula>
    </cfRule>
  </conditionalFormatting>
  <conditionalFormatting sqref="B19:V19">
    <cfRule type="containsText" dxfId="309" priority="60" operator="containsText" text="T">
      <formula>NOT(ISERROR(SEARCH("T",B19)))</formula>
    </cfRule>
    <cfRule type="containsText" dxfId="308" priority="61" operator="containsText" text="V">
      <formula>NOT(ISERROR(SEARCH("V",B19)))</formula>
    </cfRule>
  </conditionalFormatting>
  <conditionalFormatting sqref="B19:V19">
    <cfRule type="containsText" dxfId="307" priority="58" operator="containsText" text="T">
      <formula>NOT(ISERROR(SEARCH("T",B19)))</formula>
    </cfRule>
    <cfRule type="containsText" dxfId="306" priority="59" operator="containsText" text="V">
      <formula>NOT(ISERROR(SEARCH("V",B19)))</formula>
    </cfRule>
  </conditionalFormatting>
  <conditionalFormatting sqref="B19:V19">
    <cfRule type="containsText" dxfId="305" priority="56" operator="containsText" text="T">
      <formula>NOT(ISERROR(SEARCH("T",B19)))</formula>
    </cfRule>
    <cfRule type="containsText" dxfId="304" priority="57" operator="containsText" text="V">
      <formula>NOT(ISERROR(SEARCH("V",B19)))</formula>
    </cfRule>
  </conditionalFormatting>
  <conditionalFormatting sqref="B19:V19">
    <cfRule type="containsText" dxfId="303" priority="54" operator="containsText" text="T">
      <formula>NOT(ISERROR(SEARCH("T",B19)))</formula>
    </cfRule>
    <cfRule type="containsText" dxfId="302" priority="55" operator="containsText" text="V">
      <formula>NOT(ISERROR(SEARCH("V",B19)))</formula>
    </cfRule>
  </conditionalFormatting>
  <conditionalFormatting sqref="B19:V19">
    <cfRule type="containsText" dxfId="301" priority="52" operator="containsText" text="T">
      <formula>NOT(ISERROR(SEARCH("T",B19)))</formula>
    </cfRule>
    <cfRule type="containsText" dxfId="300" priority="53" operator="containsText" text="V">
      <formula>NOT(ISERROR(SEARCH("V",B19)))</formula>
    </cfRule>
  </conditionalFormatting>
  <conditionalFormatting sqref="B19:V19">
    <cfRule type="containsText" dxfId="299" priority="50" operator="containsText" text="T">
      <formula>NOT(ISERROR(SEARCH("T",B19)))</formula>
    </cfRule>
    <cfRule type="containsText" dxfId="298" priority="51" operator="containsText" text="V">
      <formula>NOT(ISERROR(SEARCH("V",B19)))</formula>
    </cfRule>
  </conditionalFormatting>
  <conditionalFormatting sqref="B19:V19">
    <cfRule type="containsText" dxfId="297" priority="48" operator="containsText" text="T">
      <formula>NOT(ISERROR(SEARCH("T",B19)))</formula>
    </cfRule>
    <cfRule type="containsText" dxfId="296" priority="49" operator="containsText" text="V">
      <formula>NOT(ISERROR(SEARCH("V",B19)))</formula>
    </cfRule>
  </conditionalFormatting>
  <conditionalFormatting sqref="B19:V19">
    <cfRule type="containsText" dxfId="295" priority="40" operator="containsText" text="19:45 -">
      <formula>NOT(ISERROR(SEARCH("19:45 -",B19)))</formula>
    </cfRule>
    <cfRule type="containsText" dxfId="294" priority="41" operator="containsText" text="00:00">
      <formula>NOT(ISERROR(SEARCH("00:00",B19)))</formula>
    </cfRule>
    <cfRule type="containsText" dxfId="293" priority="42" operator="containsText" text=":2">
      <formula>NOT(ISERROR(SEARCH(":2",B19)))</formula>
    </cfRule>
    <cfRule type="containsText" dxfId="292" priority="43" operator="containsText" text=":18">
      <formula>NOT(ISERROR(SEARCH(":18",B19)))</formula>
    </cfRule>
    <cfRule type="containsText" dxfId="291" priority="44" operator="containsText" text="07:0">
      <formula>NOT(ISERROR(SEARCH("07:0",B19)))</formula>
    </cfRule>
    <cfRule type="containsText" dxfId="290" priority="45" operator="containsText" text="07:15">
      <formula>NOT(ISERROR(SEARCH("07:15",B19)))</formula>
    </cfRule>
    <cfRule type="containsText" dxfId="289" priority="46" operator="containsText" text="06:">
      <formula>NOT(ISERROR(SEARCH("06:",B19)))</formula>
    </cfRule>
    <cfRule type="containsText" dxfId="288" priority="47" operator="containsText" text="05">
      <formula>NOT(ISERROR(SEARCH("05",B19)))</formula>
    </cfRule>
  </conditionalFormatting>
  <conditionalFormatting sqref="B19:V19">
    <cfRule type="containsText" dxfId="287" priority="39" operator="containsText" text="2*:">
      <formula>NOT(ISERROR(SEARCH("2*:",B19)))</formula>
    </cfRule>
  </conditionalFormatting>
  <conditionalFormatting sqref="B19:V19">
    <cfRule type="containsText" dxfId="286" priority="37" operator="containsText" text="T">
      <formula>NOT(ISERROR(SEARCH("T",B19)))</formula>
    </cfRule>
    <cfRule type="containsText" dxfId="285" priority="38" operator="containsText" text="V">
      <formula>NOT(ISERROR(SEARCH("V",B19)))</formula>
    </cfRule>
  </conditionalFormatting>
  <conditionalFormatting sqref="B19:V19">
    <cfRule type="containsText" dxfId="284" priority="35" operator="containsText" text="T">
      <formula>NOT(ISERROR(SEARCH("T",B19)))</formula>
    </cfRule>
    <cfRule type="containsText" dxfId="283" priority="36" operator="containsText" text="V">
      <formula>NOT(ISERROR(SEARCH("V",B19)))</formula>
    </cfRule>
  </conditionalFormatting>
  <conditionalFormatting sqref="B19:V19">
    <cfRule type="containsText" dxfId="282" priority="33" operator="containsText" text="T">
      <formula>NOT(ISERROR(SEARCH("T",B19)))</formula>
    </cfRule>
    <cfRule type="containsText" dxfId="281" priority="34" operator="containsText" text="V">
      <formula>NOT(ISERROR(SEARCH("V",B19)))</formula>
    </cfRule>
  </conditionalFormatting>
  <conditionalFormatting sqref="B19:V19">
    <cfRule type="containsText" dxfId="280" priority="31" operator="containsText" text="T">
      <formula>NOT(ISERROR(SEARCH("T",B19)))</formula>
    </cfRule>
    <cfRule type="containsText" dxfId="279" priority="32" operator="containsText" text="V">
      <formula>NOT(ISERROR(SEARCH("V",B19)))</formula>
    </cfRule>
  </conditionalFormatting>
  <conditionalFormatting sqref="B19:V19">
    <cfRule type="containsText" dxfId="278" priority="23" operator="containsText" text="19:45 -">
      <formula>NOT(ISERROR(SEARCH("19:45 -",B19)))</formula>
    </cfRule>
    <cfRule type="containsText" dxfId="277" priority="24" operator="containsText" text="00:00">
      <formula>NOT(ISERROR(SEARCH("00:00",B19)))</formula>
    </cfRule>
    <cfRule type="containsText" dxfId="276" priority="25" operator="containsText" text=":2">
      <formula>NOT(ISERROR(SEARCH(":2",B19)))</formula>
    </cfRule>
    <cfRule type="containsText" dxfId="275" priority="26" operator="containsText" text=":18">
      <formula>NOT(ISERROR(SEARCH(":18",B19)))</formula>
    </cfRule>
    <cfRule type="containsText" dxfId="274" priority="27" operator="containsText" text="07:0">
      <formula>NOT(ISERROR(SEARCH("07:0",B19)))</formula>
    </cfRule>
    <cfRule type="containsText" dxfId="273" priority="28" operator="containsText" text="07:15">
      <formula>NOT(ISERROR(SEARCH("07:15",B19)))</formula>
    </cfRule>
    <cfRule type="containsText" dxfId="272" priority="29" operator="containsText" text="06:">
      <formula>NOT(ISERROR(SEARCH("06:",B19)))</formula>
    </cfRule>
    <cfRule type="containsText" dxfId="271" priority="30" operator="containsText" text="05">
      <formula>NOT(ISERROR(SEARCH("05",B19)))</formula>
    </cfRule>
  </conditionalFormatting>
  <conditionalFormatting sqref="B19:V19">
    <cfRule type="containsText" dxfId="270" priority="22" operator="containsText" text="2*:">
      <formula>NOT(ISERROR(SEARCH("2*:",B19)))</formula>
    </cfRule>
  </conditionalFormatting>
  <conditionalFormatting sqref="B19:V19">
    <cfRule type="containsText" dxfId="269" priority="20" operator="containsText" text="T">
      <formula>NOT(ISERROR(SEARCH("T",B19)))</formula>
    </cfRule>
    <cfRule type="containsText" dxfId="268" priority="21" operator="containsText" text="V">
      <formula>NOT(ISERROR(SEARCH("V",B19)))</formula>
    </cfRule>
  </conditionalFormatting>
  <conditionalFormatting sqref="B3:V3">
    <cfRule type="containsText" dxfId="267" priority="18" operator="containsText" text="T">
      <formula>NOT(ISERROR(SEARCH("T",B3)))</formula>
    </cfRule>
    <cfRule type="containsText" dxfId="266" priority="19" operator="containsText" text="V">
      <formula>NOT(ISERROR(SEARCH("V",B3)))</formula>
    </cfRule>
  </conditionalFormatting>
  <conditionalFormatting sqref="B3:V3">
    <cfRule type="containsText" dxfId="265" priority="16" operator="containsText" text="T">
      <formula>NOT(ISERROR(SEARCH("T",B3)))</formula>
    </cfRule>
    <cfRule type="containsText" dxfId="264" priority="17" operator="containsText" text="V">
      <formula>NOT(ISERROR(SEARCH("V",B3)))</formula>
    </cfRule>
  </conditionalFormatting>
  <conditionalFormatting sqref="B3:V3">
    <cfRule type="containsText" dxfId="263" priority="14" operator="containsText" text="T">
      <formula>NOT(ISERROR(SEARCH("T",B3)))</formula>
    </cfRule>
    <cfRule type="containsText" dxfId="262" priority="15" operator="containsText" text="V">
      <formula>NOT(ISERROR(SEARCH("V",B3)))</formula>
    </cfRule>
  </conditionalFormatting>
  <conditionalFormatting sqref="B3:V3">
    <cfRule type="containsText" dxfId="261" priority="12" operator="containsText" text="T">
      <formula>NOT(ISERROR(SEARCH("T",B3)))</formula>
    </cfRule>
    <cfRule type="containsText" dxfId="260" priority="13" operator="containsText" text="V">
      <formula>NOT(ISERROR(SEARCH("V",B3)))</formula>
    </cfRule>
  </conditionalFormatting>
  <conditionalFormatting sqref="B3:V3">
    <cfRule type="containsText" dxfId="259" priority="4" operator="containsText" text="19:45 -">
      <formula>NOT(ISERROR(SEARCH("19:45 -",B3)))</formula>
    </cfRule>
    <cfRule type="containsText" dxfId="258" priority="5" operator="containsText" text="00:00">
      <formula>NOT(ISERROR(SEARCH("00:00",B3)))</formula>
    </cfRule>
    <cfRule type="containsText" dxfId="257" priority="6" operator="containsText" text=":2">
      <formula>NOT(ISERROR(SEARCH(":2",B3)))</formula>
    </cfRule>
    <cfRule type="containsText" dxfId="256" priority="7" operator="containsText" text=":18">
      <formula>NOT(ISERROR(SEARCH(":18",B3)))</formula>
    </cfRule>
    <cfRule type="containsText" dxfId="255" priority="8" operator="containsText" text="07:0">
      <formula>NOT(ISERROR(SEARCH("07:0",B3)))</formula>
    </cfRule>
    <cfRule type="containsText" dxfId="254" priority="9" operator="containsText" text="07:15">
      <formula>NOT(ISERROR(SEARCH("07:15",B3)))</formula>
    </cfRule>
    <cfRule type="containsText" dxfId="253" priority="10" operator="containsText" text="06:">
      <formula>NOT(ISERROR(SEARCH("06:",B3)))</formula>
    </cfRule>
    <cfRule type="containsText" dxfId="252" priority="11" operator="containsText" text="05">
      <formula>NOT(ISERROR(SEARCH("05",B3)))</formula>
    </cfRule>
  </conditionalFormatting>
  <conditionalFormatting sqref="B3:V3">
    <cfRule type="containsText" dxfId="251" priority="3" operator="containsText" text="2*:">
      <formula>NOT(ISERROR(SEARCH("2*:",B3)))</formula>
    </cfRule>
  </conditionalFormatting>
  <conditionalFormatting sqref="B3:V3">
    <cfRule type="containsText" dxfId="250" priority="1" operator="containsText" text="T">
      <formula>NOT(ISERROR(SEARCH("T",B3)))</formula>
    </cfRule>
    <cfRule type="containsText" dxfId="249" priority="2" operator="containsText" text="V">
      <formula>NOT(ISERROR(SEARCH("V",B3)))</formula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8BD32D-A2C2-4CC1-9C8B-A5CAB4A46A24}">
          <x14:formula1>
            <xm:f>Työntekijät!$A:$A</xm:f>
          </x14:formula1>
          <xm:sqref>A1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4837C-A1DA-4693-B52E-D362BF0F0321}">
  <sheetPr codeName="Taul35">
    <tabColor theme="7" tint="-0.249977111117893"/>
    <pageSetUpPr fitToPage="1"/>
  </sheetPr>
  <dimension ref="A1:W41"/>
  <sheetViews>
    <sheetView topLeftCell="B1" zoomScale="57" zoomScaleNormal="85" workbookViewId="0">
      <selection activeCell="AA16" sqref="AA16"/>
    </sheetView>
  </sheetViews>
  <sheetFormatPr defaultRowHeight="15" x14ac:dyDescent="0.25"/>
  <cols>
    <col min="1" max="1" width="30.7109375" style="8" hidden="1" customWidth="1"/>
    <col min="2" max="2" width="30.7109375" style="8" customWidth="1"/>
    <col min="3" max="23" width="8" style="4" customWidth="1"/>
  </cols>
  <sheetData>
    <row r="1" spans="1:23" ht="123" customHeight="1" x14ac:dyDescent="0.25">
      <c r="A1" s="135"/>
      <c r="B1" s="135"/>
    </row>
    <row r="2" spans="1:23" ht="15" customHeight="1" thickBot="1" x14ac:dyDescent="0.3">
      <c r="A2" s="135"/>
      <c r="B2" s="135"/>
      <c r="C2" s="79" t="s">
        <v>87</v>
      </c>
      <c r="D2" s="79" t="s">
        <v>88</v>
      </c>
      <c r="E2" s="79" t="s">
        <v>89</v>
      </c>
      <c r="F2" s="79" t="s">
        <v>90</v>
      </c>
      <c r="G2" s="79" t="s">
        <v>91</v>
      </c>
      <c r="H2" s="80" t="s">
        <v>92</v>
      </c>
      <c r="I2" s="80" t="s">
        <v>93</v>
      </c>
      <c r="J2" s="79" t="s">
        <v>87</v>
      </c>
      <c r="K2" s="79" t="s">
        <v>88</v>
      </c>
      <c r="L2" s="79" t="s">
        <v>89</v>
      </c>
      <c r="M2" s="79" t="s">
        <v>90</v>
      </c>
      <c r="N2" s="79" t="s">
        <v>91</v>
      </c>
      <c r="O2" s="80" t="s">
        <v>92</v>
      </c>
      <c r="P2" s="80" t="s">
        <v>125</v>
      </c>
      <c r="Q2" s="79" t="s">
        <v>87</v>
      </c>
      <c r="R2" s="79" t="s">
        <v>88</v>
      </c>
      <c r="S2" s="79" t="s">
        <v>89</v>
      </c>
      <c r="T2" s="79" t="s">
        <v>90</v>
      </c>
      <c r="U2" s="79" t="s">
        <v>91</v>
      </c>
      <c r="V2" s="80" t="s">
        <v>92</v>
      </c>
      <c r="W2" s="80" t="s">
        <v>93</v>
      </c>
    </row>
    <row r="3" spans="1:23" ht="28.15" hidden="1" customHeight="1" thickBot="1" x14ac:dyDescent="0.3">
      <c r="A3" s="49"/>
      <c r="B3" s="49"/>
      <c r="C3" s="32"/>
      <c r="D3" s="32"/>
      <c r="E3" s="32"/>
      <c r="F3" s="32"/>
      <c r="G3" s="32"/>
      <c r="H3" s="33"/>
      <c r="I3" s="33"/>
      <c r="J3" s="32"/>
      <c r="K3" s="32"/>
      <c r="L3" s="32"/>
      <c r="M3" s="32"/>
      <c r="N3" s="32"/>
      <c r="O3" s="33"/>
      <c r="P3" s="33"/>
      <c r="Q3" s="32"/>
      <c r="R3" s="32"/>
      <c r="S3" s="32"/>
      <c r="T3" s="32"/>
      <c r="U3" s="32"/>
      <c r="V3" s="33"/>
      <c r="W3" s="33"/>
    </row>
    <row r="4" spans="1:23" ht="54" customHeight="1" x14ac:dyDescent="0.25">
      <c r="A4" s="60"/>
      <c r="B4" s="76"/>
      <c r="C4" s="31" t="e" cm="1">
        <f t="array" ref="C4">_xlfn.XLOOKUP(TRUE,EXACT(Vuorokoodit!$A$3:Vuorokoodit!#REF!,C5),Vuorokoodit!$E$3:Vuorokoodit!#REF!,"Ei löydy")</f>
        <v>#REF!</v>
      </c>
      <c r="D4" s="31" t="e" cm="1">
        <f t="array" ref="D4">_xlfn.XLOOKUP(TRUE,EXACT(Vuorokoodit!$A$3:Vuorokoodit!#REF!,D5),Vuorokoodit!$E$3:Vuorokoodit!#REF!,"Ei löydy")</f>
        <v>#REF!</v>
      </c>
      <c r="E4" s="31" t="e" cm="1">
        <f t="array" ref="E4">_xlfn.XLOOKUP(TRUE,EXACT(Vuorokoodit!$A$3:Vuorokoodit!#REF!,E5),Vuorokoodit!$E$3:Vuorokoodit!#REF!,"Ei löydy")</f>
        <v>#REF!</v>
      </c>
      <c r="F4" s="31" t="e" cm="1">
        <f t="array" ref="F4">_xlfn.XLOOKUP(TRUE,EXACT(Vuorokoodit!$A$3:Vuorokoodit!#REF!,F5),Vuorokoodit!$E$3:Vuorokoodit!#REF!,"Ei löydy")</f>
        <v>#REF!</v>
      </c>
      <c r="G4" s="31" t="e" cm="1">
        <f t="array" ref="G4">_xlfn.XLOOKUP(TRUE,EXACT(Vuorokoodit!$A$3:Vuorokoodit!#REF!,G5),Vuorokoodit!$E$3:Vuorokoodit!#REF!,"Ei löydy")</f>
        <v>#REF!</v>
      </c>
      <c r="H4" s="31" t="e" cm="1">
        <f t="array" ref="H4">_xlfn.XLOOKUP(TRUE,EXACT(Vuorokoodit!$A$3:Vuorokoodit!#REF!,H5),Vuorokoodit!$E$3:Vuorokoodit!#REF!,"Ei löydy")</f>
        <v>#REF!</v>
      </c>
      <c r="I4" s="31" t="e" cm="1">
        <f t="array" ref="I4">_xlfn.XLOOKUP(TRUE,EXACT(Vuorokoodit!$A$3:Vuorokoodit!#REF!,I5),Vuorokoodit!$E$3:Vuorokoodit!#REF!,"Ei löydy")</f>
        <v>#REF!</v>
      </c>
      <c r="J4" s="31" t="e" cm="1">
        <f t="array" ref="J4">_xlfn.XLOOKUP(TRUE,EXACT(Vuorokoodit!$A$3:Vuorokoodit!#REF!,J5),Vuorokoodit!$E$3:Vuorokoodit!#REF!,"Ei löydy")</f>
        <v>#REF!</v>
      </c>
      <c r="K4" s="31" t="e" cm="1">
        <f t="array" ref="K4">_xlfn.XLOOKUP(TRUE,EXACT(Vuorokoodit!$A$3:Vuorokoodit!#REF!,K5),Vuorokoodit!$E$3:Vuorokoodit!#REF!,"Ei löydy")</f>
        <v>#REF!</v>
      </c>
      <c r="L4" s="31" t="e" cm="1">
        <f t="array" ref="L4">_xlfn.XLOOKUP(TRUE,EXACT(Vuorokoodit!$A$3:Vuorokoodit!#REF!,L5),Vuorokoodit!$E$3:Vuorokoodit!#REF!,"Ei löydy")</f>
        <v>#REF!</v>
      </c>
      <c r="M4" s="31" t="e" cm="1">
        <f t="array" ref="M4">_xlfn.XLOOKUP(TRUE,EXACT(Vuorokoodit!$A$3:Vuorokoodit!#REF!,M5),Vuorokoodit!$E$3:Vuorokoodit!#REF!,"Ei löydy")</f>
        <v>#REF!</v>
      </c>
      <c r="N4" s="31" t="e" cm="1">
        <f t="array" ref="N4">_xlfn.XLOOKUP(TRUE,EXACT(Vuorokoodit!$A$3:Vuorokoodit!#REF!,N5),Vuorokoodit!$E$3:Vuorokoodit!#REF!,"Ei löydy")</f>
        <v>#REF!</v>
      </c>
      <c r="O4" s="31" t="e" cm="1">
        <f t="array" ref="O4">_xlfn.XLOOKUP(TRUE,EXACT(Vuorokoodit!$A$3:Vuorokoodit!#REF!,O5),Vuorokoodit!$E$3:Vuorokoodit!#REF!,"Ei löydy")</f>
        <v>#REF!</v>
      </c>
      <c r="P4" s="31" t="e" cm="1">
        <f t="array" ref="P4">_xlfn.XLOOKUP(TRUE,EXACT(Vuorokoodit!$A$3:Vuorokoodit!#REF!,P5),Vuorokoodit!$E$3:Vuorokoodit!#REF!,"Ei löydy")</f>
        <v>#REF!</v>
      </c>
      <c r="Q4" s="31" t="e" cm="1">
        <f t="array" ref="Q4">_xlfn.XLOOKUP(TRUE,EXACT(Vuorokoodit!$A$3:Vuorokoodit!#REF!,Q5),Vuorokoodit!$E$3:Vuorokoodit!#REF!,"Ei löydy")</f>
        <v>#REF!</v>
      </c>
      <c r="R4" s="31" t="e" cm="1">
        <f t="array" ref="R4">_xlfn.XLOOKUP(TRUE,EXACT(Vuorokoodit!$A$3:Vuorokoodit!#REF!,R5),Vuorokoodit!$E$3:Vuorokoodit!#REF!,"Ei löydy")</f>
        <v>#REF!</v>
      </c>
      <c r="S4" s="31" t="e" cm="1">
        <f t="array" ref="S4">_xlfn.XLOOKUP(TRUE,EXACT(Vuorokoodit!$A$3:Vuorokoodit!#REF!,S5),Vuorokoodit!$E$3:Vuorokoodit!#REF!,"Ei löydy")</f>
        <v>#REF!</v>
      </c>
      <c r="T4" s="31" t="e" cm="1">
        <f t="array" ref="T4">_xlfn.XLOOKUP(TRUE,EXACT(Vuorokoodit!$A$3:Vuorokoodit!#REF!,T5),Vuorokoodit!$E$3:Vuorokoodit!#REF!,"Ei löydy")</f>
        <v>#REF!</v>
      </c>
      <c r="U4" s="31" t="e" cm="1">
        <f t="array" ref="U4">_xlfn.XLOOKUP(TRUE,EXACT(Vuorokoodit!$A$3:Vuorokoodit!#REF!,U5),Vuorokoodit!$E$3:Vuorokoodit!#REF!,"Ei löydy")</f>
        <v>#REF!</v>
      </c>
      <c r="V4" s="31" t="e" cm="1">
        <f t="array" ref="V4">_xlfn.XLOOKUP(TRUE,EXACT(Vuorokoodit!$A$3:Vuorokoodit!#REF!,V5),Vuorokoodit!$E$3:Vuorokoodit!#REF!,"Ei löydy")</f>
        <v>#REF!</v>
      </c>
      <c r="W4" s="31" t="e" cm="1">
        <f t="array" ref="W4">_xlfn.XLOOKUP(TRUE,EXACT(Vuorokoodit!$A$3:Vuorokoodit!#REF!,W5),Vuorokoodit!$E$3:Vuorokoodit!#REF!,"Ei löydy")</f>
        <v>#REF!</v>
      </c>
    </row>
    <row r="5" spans="1:23" ht="19.5" customHeight="1" x14ac:dyDescent="0.25">
      <c r="A5"/>
      <c r="B5" s="59"/>
      <c r="C5" s="34" cm="1">
        <f t="array" ref="C5">_xlfn.XLOOKUP($B4,Kiertotunnus!$A$2:'Kiertotunnus'!$A$417,Kiertotunnus!B$2:'Kiertotunnus'!B$417)</f>
        <v>0</v>
      </c>
      <c r="D5" s="34" cm="1">
        <f t="array" ref="D5">_xlfn.XLOOKUP($B4,Kiertotunnus!$A$2:'Kiertotunnus'!$A$417,Kiertotunnus!C$2:'Kiertotunnus'!C$417)</f>
        <v>0</v>
      </c>
      <c r="E5" s="34" cm="1">
        <f t="array" ref="E5">_xlfn.XLOOKUP($B4,Kiertotunnus!$A$2:'Kiertotunnus'!$A$417,Kiertotunnus!D$2:'Kiertotunnus'!D$417)</f>
        <v>0</v>
      </c>
      <c r="F5" s="34" cm="1">
        <f t="array" ref="F5">_xlfn.XLOOKUP($B4,Kiertotunnus!$A$2:'Kiertotunnus'!$A$417,Kiertotunnus!E$2:'Kiertotunnus'!E$417)</f>
        <v>0</v>
      </c>
      <c r="G5" s="34" cm="1">
        <f t="array" ref="G5">_xlfn.XLOOKUP($B4,Kiertotunnus!$A$2:'Kiertotunnus'!$A$417,Kiertotunnus!F$2:'Kiertotunnus'!F$417)</f>
        <v>0</v>
      </c>
      <c r="H5" s="34" cm="1">
        <f t="array" ref="H5">_xlfn.XLOOKUP($B4,Kiertotunnus!$A$2:'Kiertotunnus'!$A$417,Kiertotunnus!G$2:'Kiertotunnus'!G$417)</f>
        <v>0</v>
      </c>
      <c r="I5" s="34" cm="1">
        <f t="array" ref="I5">_xlfn.XLOOKUP($B4,Kiertotunnus!$A$2:'Kiertotunnus'!$A$417,Kiertotunnus!H$2:'Kiertotunnus'!H$417)</f>
        <v>0</v>
      </c>
      <c r="J5" s="34" cm="1">
        <f t="array" ref="J5">_xlfn.XLOOKUP($B4,Kiertotunnus!$A$2:'Kiertotunnus'!$A$417,Kiertotunnus!I$2:'Kiertotunnus'!I$417)</f>
        <v>0</v>
      </c>
      <c r="K5" s="34" cm="1">
        <f t="array" ref="K5">_xlfn.XLOOKUP($B4,Kiertotunnus!$A$2:'Kiertotunnus'!$A$417,Kiertotunnus!J$2:'Kiertotunnus'!J$417)</f>
        <v>0</v>
      </c>
      <c r="L5" s="34" cm="1">
        <f t="array" ref="L5">_xlfn.XLOOKUP($B4,Kiertotunnus!$A$2:'Kiertotunnus'!$A$417,Kiertotunnus!K$2:'Kiertotunnus'!K$417)</f>
        <v>0</v>
      </c>
      <c r="M5" s="34" cm="1">
        <f t="array" ref="M5">_xlfn.XLOOKUP($B4,Kiertotunnus!$A$2:'Kiertotunnus'!$A$417,Kiertotunnus!L$2:'Kiertotunnus'!L$417)</f>
        <v>0</v>
      </c>
      <c r="N5" s="34" cm="1">
        <f t="array" ref="N5">_xlfn.XLOOKUP($B4,Kiertotunnus!$A$2:'Kiertotunnus'!$A$417,Kiertotunnus!M$2:'Kiertotunnus'!M$417)</f>
        <v>0</v>
      </c>
      <c r="O5" s="34" cm="1">
        <f t="array" ref="O5">_xlfn.XLOOKUP($B4,Kiertotunnus!$A$2:'Kiertotunnus'!$A$417,Kiertotunnus!N$2:'Kiertotunnus'!N$417)</f>
        <v>0</v>
      </c>
      <c r="P5" s="34" cm="1">
        <f t="array" ref="P5">_xlfn.XLOOKUP($B4,Kiertotunnus!$A$2:'Kiertotunnus'!$A$417,Kiertotunnus!O$2:'Kiertotunnus'!O$417)</f>
        <v>0</v>
      </c>
      <c r="Q5" s="34" cm="1">
        <f t="array" ref="Q5">_xlfn.XLOOKUP($B4,Kiertotunnus!$A$2:'Kiertotunnus'!$A$417,Kiertotunnus!P$2:'Kiertotunnus'!P$417)</f>
        <v>0</v>
      </c>
      <c r="R5" s="34" cm="1">
        <f t="array" ref="R5">_xlfn.XLOOKUP($B4,Kiertotunnus!$A$2:'Kiertotunnus'!$A$417,Kiertotunnus!Q$2:'Kiertotunnus'!Q$417)</f>
        <v>0</v>
      </c>
      <c r="S5" s="34" cm="1">
        <f t="array" ref="S5">_xlfn.XLOOKUP($B4,Kiertotunnus!$A$2:'Kiertotunnus'!$A$417,Kiertotunnus!R$2:'Kiertotunnus'!R$417)</f>
        <v>0</v>
      </c>
      <c r="T5" s="34" cm="1">
        <f t="array" ref="T5">_xlfn.XLOOKUP($B4,Kiertotunnus!$A$2:'Kiertotunnus'!$A$417,Kiertotunnus!S$2:'Kiertotunnus'!S$417)</f>
        <v>0</v>
      </c>
      <c r="U5" s="34" cm="1">
        <f t="array" ref="U5">_xlfn.XLOOKUP($B4,Kiertotunnus!$A$2:'Kiertotunnus'!$A$417,Kiertotunnus!T$2:'Kiertotunnus'!T$417)</f>
        <v>0</v>
      </c>
      <c r="V5" s="34" cm="1">
        <f t="array" ref="V5">_xlfn.XLOOKUP($B4,Kiertotunnus!$A$2:'Kiertotunnus'!$A$417,Kiertotunnus!U$2:'Kiertotunnus'!U$417)</f>
        <v>0</v>
      </c>
      <c r="W5" s="34" cm="1">
        <f t="array" ref="W5">_xlfn.XLOOKUP($B4,Kiertotunnus!$A$2:'Kiertotunnus'!$A$417,Kiertotunnus!V$2:'Kiertotunnus'!V$417)</f>
        <v>0</v>
      </c>
    </row>
    <row r="6" spans="1:23" ht="39.75" customHeight="1" x14ac:dyDescent="0.25">
      <c r="A6"/>
      <c r="B6" s="59" t="s">
        <v>96</v>
      </c>
      <c r="C6" s="65"/>
      <c r="D6" s="65"/>
      <c r="E6" s="65"/>
      <c r="F6" s="65"/>
      <c r="G6" s="65"/>
      <c r="H6" s="78"/>
      <c r="I6" s="78"/>
      <c r="J6" s="65"/>
      <c r="K6" s="65"/>
      <c r="L6" s="65"/>
      <c r="M6" s="65"/>
      <c r="N6" s="65"/>
      <c r="O6" s="78"/>
      <c r="P6" s="78"/>
      <c r="Q6" s="65"/>
      <c r="R6" s="65"/>
      <c r="S6" s="65"/>
      <c r="T6" s="65"/>
      <c r="U6" s="65"/>
      <c r="V6" s="78"/>
      <c r="W6" s="78"/>
    </row>
    <row r="7" spans="1:23" ht="54" customHeight="1" x14ac:dyDescent="0.25">
      <c r="A7" s="29"/>
      <c r="B7" s="77"/>
      <c r="C7" s="31" t="e" cm="1">
        <f t="array" ref="C7">_xlfn.XLOOKUP(TRUE,EXACT(Vuorokoodit!$A$3:Vuorokoodit!#REF!,C8),Vuorokoodit!$E$3:Vuorokoodit!#REF!,"Ei löydy")</f>
        <v>#REF!</v>
      </c>
      <c r="D7" s="31" t="e" cm="1">
        <f t="array" ref="D7">_xlfn.XLOOKUP(TRUE,EXACT(Vuorokoodit!$A$3:Vuorokoodit!#REF!,D8),Vuorokoodit!$E$3:Vuorokoodit!#REF!,"Ei löydy")</f>
        <v>#REF!</v>
      </c>
      <c r="E7" s="31" t="e" cm="1">
        <f t="array" ref="E7">_xlfn.XLOOKUP(TRUE,EXACT(Vuorokoodit!$A$3:Vuorokoodit!#REF!,E8),Vuorokoodit!$E$3:Vuorokoodit!#REF!,"Ei löydy")</f>
        <v>#REF!</v>
      </c>
      <c r="F7" s="31" t="e" cm="1">
        <f t="array" ref="F7">_xlfn.XLOOKUP(TRUE,EXACT(Vuorokoodit!$A$3:Vuorokoodit!#REF!,F8),Vuorokoodit!$E$3:Vuorokoodit!#REF!,"Ei löydy")</f>
        <v>#REF!</v>
      </c>
      <c r="G7" s="31" t="e" cm="1">
        <f t="array" ref="G7">_xlfn.XLOOKUP(TRUE,EXACT(Vuorokoodit!$A$3:Vuorokoodit!#REF!,G8),Vuorokoodit!$E$3:Vuorokoodit!#REF!,"Ei löydy")</f>
        <v>#REF!</v>
      </c>
      <c r="H7" s="31" t="e" cm="1">
        <f t="array" ref="H7">_xlfn.XLOOKUP(TRUE,EXACT(Vuorokoodit!$A$3:Vuorokoodit!#REF!,H8),Vuorokoodit!$E$3:Vuorokoodit!#REF!,"Ei löydy")</f>
        <v>#REF!</v>
      </c>
      <c r="I7" s="31" t="e" cm="1">
        <f t="array" ref="I7">_xlfn.XLOOKUP(TRUE,EXACT(Vuorokoodit!$A$3:Vuorokoodit!#REF!,I8),Vuorokoodit!$E$3:Vuorokoodit!#REF!,"Ei löydy")</f>
        <v>#REF!</v>
      </c>
      <c r="J7" s="31" t="e" cm="1">
        <f t="array" ref="J7">_xlfn.XLOOKUP(TRUE,EXACT(Vuorokoodit!$A$3:Vuorokoodit!#REF!,J8),Vuorokoodit!$E$3:Vuorokoodit!#REF!,"Ei löydy")</f>
        <v>#REF!</v>
      </c>
      <c r="K7" s="31" t="e" cm="1">
        <f t="array" ref="K7">_xlfn.XLOOKUP(TRUE,EXACT(Vuorokoodit!$A$3:Vuorokoodit!#REF!,K8),Vuorokoodit!$E$3:Vuorokoodit!#REF!,"Ei löydy")</f>
        <v>#REF!</v>
      </c>
      <c r="L7" s="31" t="e" cm="1">
        <f t="array" ref="L7">_xlfn.XLOOKUP(TRUE,EXACT(Vuorokoodit!$A$3:Vuorokoodit!#REF!,L8),Vuorokoodit!$E$3:Vuorokoodit!#REF!,"Ei löydy")</f>
        <v>#REF!</v>
      </c>
      <c r="M7" s="31" t="e" cm="1">
        <f t="array" ref="M7">_xlfn.XLOOKUP(TRUE,EXACT(Vuorokoodit!$A$3:Vuorokoodit!#REF!,M8),Vuorokoodit!$E$3:Vuorokoodit!#REF!,"Ei löydy")</f>
        <v>#REF!</v>
      </c>
      <c r="N7" s="31" t="e" cm="1">
        <f t="array" ref="N7">_xlfn.XLOOKUP(TRUE,EXACT(Vuorokoodit!$A$3:Vuorokoodit!#REF!,N8),Vuorokoodit!$E$3:Vuorokoodit!#REF!,"Ei löydy")</f>
        <v>#REF!</v>
      </c>
      <c r="O7" s="31" t="e" cm="1">
        <f t="array" ref="O7">_xlfn.XLOOKUP(TRUE,EXACT(Vuorokoodit!$A$3:Vuorokoodit!#REF!,O8),Vuorokoodit!$E$3:Vuorokoodit!#REF!,"Ei löydy")</f>
        <v>#REF!</v>
      </c>
      <c r="P7" s="31" t="e" cm="1">
        <f t="array" ref="P7">_xlfn.XLOOKUP(TRUE,EXACT(Vuorokoodit!$A$3:Vuorokoodit!#REF!,P8),Vuorokoodit!$E$3:Vuorokoodit!#REF!,"Ei löydy")</f>
        <v>#REF!</v>
      </c>
      <c r="Q7" s="31" t="e" cm="1">
        <f t="array" ref="Q7">_xlfn.XLOOKUP(TRUE,EXACT(Vuorokoodit!$A$3:Vuorokoodit!#REF!,Q8),Vuorokoodit!$E$3:Vuorokoodit!#REF!,"Ei löydy")</f>
        <v>#REF!</v>
      </c>
      <c r="R7" s="31" t="e" cm="1">
        <f t="array" ref="R7">_xlfn.XLOOKUP(TRUE,EXACT(Vuorokoodit!$A$3:Vuorokoodit!#REF!,R8),Vuorokoodit!$E$3:Vuorokoodit!#REF!,"Ei löydy")</f>
        <v>#REF!</v>
      </c>
      <c r="S7" s="31" t="e" cm="1">
        <f t="array" ref="S7">_xlfn.XLOOKUP(TRUE,EXACT(Vuorokoodit!$A$3:Vuorokoodit!#REF!,S8),Vuorokoodit!$E$3:Vuorokoodit!#REF!,"Ei löydy")</f>
        <v>#REF!</v>
      </c>
      <c r="T7" s="31" t="e" cm="1">
        <f t="array" ref="T7">_xlfn.XLOOKUP(TRUE,EXACT(Vuorokoodit!$A$3:Vuorokoodit!#REF!,T8),Vuorokoodit!$E$3:Vuorokoodit!#REF!,"Ei löydy")</f>
        <v>#REF!</v>
      </c>
      <c r="U7" s="31" t="e" cm="1">
        <f t="array" ref="U7">_xlfn.XLOOKUP(TRUE,EXACT(Vuorokoodit!$A$3:Vuorokoodit!#REF!,U8),Vuorokoodit!$E$3:Vuorokoodit!#REF!,"Ei löydy")</f>
        <v>#REF!</v>
      </c>
      <c r="V7" s="31" t="e" cm="1">
        <f t="array" ref="V7">_xlfn.XLOOKUP(TRUE,EXACT(Vuorokoodit!$A$3:Vuorokoodit!#REF!,V8),Vuorokoodit!$E$3:Vuorokoodit!#REF!,"Ei löydy")</f>
        <v>#REF!</v>
      </c>
      <c r="W7" s="31" t="e" cm="1">
        <f t="array" ref="W7">_xlfn.XLOOKUP(TRUE,EXACT(Vuorokoodit!$A$3:Vuorokoodit!#REF!,W8),Vuorokoodit!$E$3:Vuorokoodit!#REF!,"Ei löydy")</f>
        <v>#REF!</v>
      </c>
    </row>
    <row r="8" spans="1:23" ht="22.5" customHeight="1" x14ac:dyDescent="0.25">
      <c r="A8"/>
      <c r="B8" s="59"/>
      <c r="C8" s="34" cm="1">
        <f t="array" ref="C8">_xlfn.XLOOKUP($B7,Kiertotunnus!$A$2:'Kiertotunnus'!$A$417,Kiertotunnus!B$2:'Kiertotunnus'!B$417)</f>
        <v>0</v>
      </c>
      <c r="D8" s="34" cm="1">
        <f t="array" ref="D8">_xlfn.XLOOKUP($B7,Kiertotunnus!$A$2:'Kiertotunnus'!$A$417,Kiertotunnus!C$2:'Kiertotunnus'!C$417)</f>
        <v>0</v>
      </c>
      <c r="E8" s="34" cm="1">
        <f t="array" ref="E8">_xlfn.XLOOKUP($B7,Kiertotunnus!$A$2:'Kiertotunnus'!$A$417,Kiertotunnus!D$2:'Kiertotunnus'!D$417)</f>
        <v>0</v>
      </c>
      <c r="F8" s="34" cm="1">
        <f t="array" ref="F8">_xlfn.XLOOKUP($B7,Kiertotunnus!$A$2:'Kiertotunnus'!$A$417,Kiertotunnus!E$2:'Kiertotunnus'!E$417)</f>
        <v>0</v>
      </c>
      <c r="G8" s="34" cm="1">
        <f t="array" ref="G8">_xlfn.XLOOKUP($B7,Kiertotunnus!$A$2:'Kiertotunnus'!$A$417,Kiertotunnus!F$2:'Kiertotunnus'!F$417)</f>
        <v>0</v>
      </c>
      <c r="H8" s="34" cm="1">
        <f t="array" ref="H8">_xlfn.XLOOKUP($B7,Kiertotunnus!$A$2:'Kiertotunnus'!$A$417,Kiertotunnus!G$2:'Kiertotunnus'!G$417)</f>
        <v>0</v>
      </c>
      <c r="I8" s="34" cm="1">
        <f t="array" ref="I8">_xlfn.XLOOKUP($B7,Kiertotunnus!$A$2:'Kiertotunnus'!$A$417,Kiertotunnus!H$2:'Kiertotunnus'!H$417)</f>
        <v>0</v>
      </c>
      <c r="J8" s="34" cm="1">
        <f t="array" ref="J8">_xlfn.XLOOKUP($B7,Kiertotunnus!$A$2:'Kiertotunnus'!$A$417,Kiertotunnus!I$2:'Kiertotunnus'!I$417)</f>
        <v>0</v>
      </c>
      <c r="K8" s="34" cm="1">
        <f t="array" ref="K8">_xlfn.XLOOKUP($B7,Kiertotunnus!$A$2:'Kiertotunnus'!$A$417,Kiertotunnus!J$2:'Kiertotunnus'!J$417)</f>
        <v>0</v>
      </c>
      <c r="L8" s="34" cm="1">
        <f t="array" ref="L8">_xlfn.XLOOKUP($B7,Kiertotunnus!$A$2:'Kiertotunnus'!$A$417,Kiertotunnus!K$2:'Kiertotunnus'!K$417)</f>
        <v>0</v>
      </c>
      <c r="M8" s="34" cm="1">
        <f t="array" ref="M8">_xlfn.XLOOKUP($B7,Kiertotunnus!$A$2:'Kiertotunnus'!$A$417,Kiertotunnus!L$2:'Kiertotunnus'!L$417)</f>
        <v>0</v>
      </c>
      <c r="N8" s="34" cm="1">
        <f t="array" ref="N8">_xlfn.XLOOKUP($B7,Kiertotunnus!$A$2:'Kiertotunnus'!$A$417,Kiertotunnus!M$2:'Kiertotunnus'!M$417)</f>
        <v>0</v>
      </c>
      <c r="O8" s="34" cm="1">
        <f t="array" ref="O8">_xlfn.XLOOKUP($B7,Kiertotunnus!$A$2:'Kiertotunnus'!$A$417,Kiertotunnus!N$2:'Kiertotunnus'!N$417)</f>
        <v>0</v>
      </c>
      <c r="P8" s="34" cm="1">
        <f t="array" ref="P8">_xlfn.XLOOKUP($B7,Kiertotunnus!$A$2:'Kiertotunnus'!$A$417,Kiertotunnus!O$2:'Kiertotunnus'!O$417)</f>
        <v>0</v>
      </c>
      <c r="Q8" s="34" cm="1">
        <f t="array" ref="Q8">_xlfn.XLOOKUP($B7,Kiertotunnus!$A$2:'Kiertotunnus'!$A$417,Kiertotunnus!P$2:'Kiertotunnus'!P$417)</f>
        <v>0</v>
      </c>
      <c r="R8" s="34" cm="1">
        <f t="array" ref="R8">_xlfn.XLOOKUP($B7,Kiertotunnus!$A$2:'Kiertotunnus'!$A$417,Kiertotunnus!Q$2:'Kiertotunnus'!Q$417)</f>
        <v>0</v>
      </c>
      <c r="S8" s="34" cm="1">
        <f t="array" ref="S8">_xlfn.XLOOKUP($B7,Kiertotunnus!$A$2:'Kiertotunnus'!$A$417,Kiertotunnus!R$2:'Kiertotunnus'!R$417)</f>
        <v>0</v>
      </c>
      <c r="T8" s="34" cm="1">
        <f t="array" ref="T8">_xlfn.XLOOKUP($B7,Kiertotunnus!$A$2:'Kiertotunnus'!$A$417,Kiertotunnus!S$2:'Kiertotunnus'!S$417)</f>
        <v>0</v>
      </c>
      <c r="U8" s="34" cm="1">
        <f t="array" ref="U8">_xlfn.XLOOKUP($B7,Kiertotunnus!$A$2:'Kiertotunnus'!$A$417,Kiertotunnus!T$2:'Kiertotunnus'!T$417)</f>
        <v>0</v>
      </c>
      <c r="V8" s="34" cm="1">
        <f t="array" ref="V8">_xlfn.XLOOKUP($B7,Kiertotunnus!$A$2:'Kiertotunnus'!$A$417,Kiertotunnus!U$2:'Kiertotunnus'!U$417)</f>
        <v>0</v>
      </c>
      <c r="W8" s="34" cm="1">
        <f t="array" ref="W8">_xlfn.XLOOKUP($B7,Kiertotunnus!$A$2:'Kiertotunnus'!$A$417,Kiertotunnus!V$2:'Kiertotunnus'!V$417)</f>
        <v>0</v>
      </c>
    </row>
    <row r="9" spans="1:23" ht="39.75" customHeight="1" x14ac:dyDescent="0.25">
      <c r="A9" s="20"/>
      <c r="B9" s="59" t="s">
        <v>96</v>
      </c>
      <c r="C9" s="65"/>
      <c r="D9" s="65"/>
      <c r="E9" s="65"/>
      <c r="F9" s="65"/>
      <c r="G9" s="65"/>
      <c r="H9" s="78"/>
      <c r="I9" s="78"/>
      <c r="J9" s="65"/>
      <c r="K9" s="65"/>
      <c r="L9" s="65"/>
      <c r="M9" s="65"/>
      <c r="N9" s="65"/>
      <c r="O9" s="78"/>
      <c r="P9" s="78"/>
      <c r="Q9" s="65"/>
      <c r="R9" s="65"/>
      <c r="S9" s="65"/>
      <c r="T9" s="65"/>
      <c r="U9" s="65"/>
      <c r="V9" s="78"/>
      <c r="W9" s="78"/>
    </row>
    <row r="10" spans="1:23" ht="54" customHeight="1" x14ac:dyDescent="0.25">
      <c r="A10" s="29"/>
      <c r="B10" s="77"/>
      <c r="C10" s="31" t="e" cm="1">
        <f t="array" ref="C10">_xlfn.XLOOKUP(TRUE,EXACT(Vuorokoodit!$A$3:Vuorokoodit!#REF!,C11),Vuorokoodit!$E$3:Vuorokoodit!#REF!,"Ei löydy")</f>
        <v>#REF!</v>
      </c>
      <c r="D10" s="31" t="e" cm="1">
        <f t="array" ref="D10">_xlfn.XLOOKUP(TRUE,EXACT(Vuorokoodit!$A$3:Vuorokoodit!#REF!,D11),Vuorokoodit!$E$3:Vuorokoodit!#REF!,"Ei löydy")</f>
        <v>#REF!</v>
      </c>
      <c r="E10" s="31" t="e" cm="1">
        <f t="array" ref="E10">_xlfn.XLOOKUP(TRUE,EXACT(Vuorokoodit!$A$3:Vuorokoodit!#REF!,E11),Vuorokoodit!$E$3:Vuorokoodit!#REF!,"Ei löydy")</f>
        <v>#REF!</v>
      </c>
      <c r="F10" s="31" t="e" cm="1">
        <f t="array" ref="F10">_xlfn.XLOOKUP(TRUE,EXACT(Vuorokoodit!$A$3:Vuorokoodit!#REF!,F11),Vuorokoodit!$E$3:Vuorokoodit!#REF!,"Ei löydy")</f>
        <v>#REF!</v>
      </c>
      <c r="G10" s="31" t="e" cm="1">
        <f t="array" ref="G10">_xlfn.XLOOKUP(TRUE,EXACT(Vuorokoodit!$A$3:Vuorokoodit!#REF!,G11),Vuorokoodit!$E$3:Vuorokoodit!#REF!,"Ei löydy")</f>
        <v>#REF!</v>
      </c>
      <c r="H10" s="31" t="e" cm="1">
        <f t="array" ref="H10">_xlfn.XLOOKUP(TRUE,EXACT(Vuorokoodit!$A$3:Vuorokoodit!#REF!,H11),Vuorokoodit!$E$3:Vuorokoodit!#REF!,"Ei löydy")</f>
        <v>#REF!</v>
      </c>
      <c r="I10" s="31" t="e" cm="1">
        <f t="array" ref="I10">_xlfn.XLOOKUP(TRUE,EXACT(Vuorokoodit!$A$3:Vuorokoodit!#REF!,I11),Vuorokoodit!$E$3:Vuorokoodit!#REF!,"Ei löydy")</f>
        <v>#REF!</v>
      </c>
      <c r="J10" s="31" t="e" cm="1">
        <f t="array" ref="J10">_xlfn.XLOOKUP(TRUE,EXACT(Vuorokoodit!$A$3:Vuorokoodit!#REF!,J11),Vuorokoodit!$E$3:Vuorokoodit!#REF!,"Ei löydy")</f>
        <v>#REF!</v>
      </c>
      <c r="K10" s="31" t="e" cm="1">
        <f t="array" ref="K10">_xlfn.XLOOKUP(TRUE,EXACT(Vuorokoodit!$A$3:Vuorokoodit!#REF!,K11),Vuorokoodit!$E$3:Vuorokoodit!#REF!,"Ei löydy")</f>
        <v>#REF!</v>
      </c>
      <c r="L10" s="31" t="e" cm="1">
        <f t="array" ref="L10">_xlfn.XLOOKUP(TRUE,EXACT(Vuorokoodit!$A$3:Vuorokoodit!#REF!,L11),Vuorokoodit!$E$3:Vuorokoodit!#REF!,"Ei löydy")</f>
        <v>#REF!</v>
      </c>
      <c r="M10" s="31" t="e" cm="1">
        <f t="array" ref="M10">_xlfn.XLOOKUP(TRUE,EXACT(Vuorokoodit!$A$3:Vuorokoodit!#REF!,M11),Vuorokoodit!$E$3:Vuorokoodit!#REF!,"Ei löydy")</f>
        <v>#REF!</v>
      </c>
      <c r="N10" s="31" t="e" cm="1">
        <f t="array" ref="N10">_xlfn.XLOOKUP(TRUE,EXACT(Vuorokoodit!$A$3:Vuorokoodit!#REF!,N11),Vuorokoodit!$E$3:Vuorokoodit!#REF!,"Ei löydy")</f>
        <v>#REF!</v>
      </c>
      <c r="O10" s="31" t="e" cm="1">
        <f t="array" ref="O10">_xlfn.XLOOKUP(TRUE,EXACT(Vuorokoodit!$A$3:Vuorokoodit!#REF!,O11),Vuorokoodit!$E$3:Vuorokoodit!#REF!,"Ei löydy")</f>
        <v>#REF!</v>
      </c>
      <c r="P10" s="31" t="e" cm="1">
        <f t="array" ref="P10">_xlfn.XLOOKUP(TRUE,EXACT(Vuorokoodit!$A$3:Vuorokoodit!#REF!,P11),Vuorokoodit!$E$3:Vuorokoodit!#REF!,"Ei löydy")</f>
        <v>#REF!</v>
      </c>
      <c r="Q10" s="31" t="e" cm="1">
        <f t="array" ref="Q10">_xlfn.XLOOKUP(TRUE,EXACT(Vuorokoodit!$A$3:Vuorokoodit!#REF!,Q11),Vuorokoodit!$E$3:Vuorokoodit!#REF!,"Ei löydy")</f>
        <v>#REF!</v>
      </c>
      <c r="R10" s="31" t="e" cm="1">
        <f t="array" ref="R10">_xlfn.XLOOKUP(TRUE,EXACT(Vuorokoodit!$A$3:Vuorokoodit!#REF!,R11),Vuorokoodit!$E$3:Vuorokoodit!#REF!,"Ei löydy")</f>
        <v>#REF!</v>
      </c>
      <c r="S10" s="31" t="e" cm="1">
        <f t="array" ref="S10">_xlfn.XLOOKUP(TRUE,EXACT(Vuorokoodit!$A$3:Vuorokoodit!#REF!,S11),Vuorokoodit!$E$3:Vuorokoodit!#REF!,"Ei löydy")</f>
        <v>#REF!</v>
      </c>
      <c r="T10" s="31" t="e" cm="1">
        <f t="array" ref="T10">_xlfn.XLOOKUP(TRUE,EXACT(Vuorokoodit!$A$3:Vuorokoodit!#REF!,T11),Vuorokoodit!$E$3:Vuorokoodit!#REF!,"Ei löydy")</f>
        <v>#REF!</v>
      </c>
      <c r="U10" s="31" t="e" cm="1">
        <f t="array" ref="U10">_xlfn.XLOOKUP(TRUE,EXACT(Vuorokoodit!$A$3:Vuorokoodit!#REF!,U11),Vuorokoodit!$E$3:Vuorokoodit!#REF!,"Ei löydy")</f>
        <v>#REF!</v>
      </c>
      <c r="V10" s="31" t="e" cm="1">
        <f t="array" ref="V10">_xlfn.XLOOKUP(TRUE,EXACT(Vuorokoodit!$A$3:Vuorokoodit!#REF!,V11),Vuorokoodit!$E$3:Vuorokoodit!#REF!,"Ei löydy")</f>
        <v>#REF!</v>
      </c>
      <c r="W10" s="31" t="e" cm="1">
        <f t="array" ref="W10">_xlfn.XLOOKUP(TRUE,EXACT(Vuorokoodit!$A$3:Vuorokoodit!#REF!,W11),Vuorokoodit!$E$3:Vuorokoodit!#REF!,"Ei löydy")</f>
        <v>#REF!</v>
      </c>
    </row>
    <row r="11" spans="1:23" ht="22.5" customHeight="1" x14ac:dyDescent="0.25">
      <c r="A11"/>
      <c r="B11" s="59"/>
      <c r="C11" s="34" cm="1">
        <f t="array" ref="C11">_xlfn.XLOOKUP($B10,Kiertotunnus!$A$2:'Kiertotunnus'!$A$417,Kiertotunnus!B$2:'Kiertotunnus'!B$417)</f>
        <v>0</v>
      </c>
      <c r="D11" s="34" cm="1">
        <f t="array" ref="D11">_xlfn.XLOOKUP($B10,Kiertotunnus!$A$2:'Kiertotunnus'!$A$417,Kiertotunnus!C$2:'Kiertotunnus'!C$417)</f>
        <v>0</v>
      </c>
      <c r="E11" s="34" cm="1">
        <f t="array" ref="E11">_xlfn.XLOOKUP($B10,Kiertotunnus!$A$2:'Kiertotunnus'!$A$417,Kiertotunnus!D$2:'Kiertotunnus'!D$417)</f>
        <v>0</v>
      </c>
      <c r="F11" s="34" cm="1">
        <f t="array" ref="F11">_xlfn.XLOOKUP($B10,Kiertotunnus!$A$2:'Kiertotunnus'!$A$417,Kiertotunnus!E$2:'Kiertotunnus'!E$417)</f>
        <v>0</v>
      </c>
      <c r="G11" s="34" cm="1">
        <f t="array" ref="G11">_xlfn.XLOOKUP($B10,Kiertotunnus!$A$2:'Kiertotunnus'!$A$417,Kiertotunnus!F$2:'Kiertotunnus'!F$417)</f>
        <v>0</v>
      </c>
      <c r="H11" s="34" cm="1">
        <f t="array" ref="H11">_xlfn.XLOOKUP($B10,Kiertotunnus!$A$2:'Kiertotunnus'!$A$417,Kiertotunnus!G$2:'Kiertotunnus'!G$417)</f>
        <v>0</v>
      </c>
      <c r="I11" s="34" cm="1">
        <f t="array" ref="I11">_xlfn.XLOOKUP($B10,Kiertotunnus!$A$2:'Kiertotunnus'!$A$417,Kiertotunnus!H$2:'Kiertotunnus'!H$417)</f>
        <v>0</v>
      </c>
      <c r="J11" s="34" cm="1">
        <f t="array" ref="J11">_xlfn.XLOOKUP($B10,Kiertotunnus!$A$2:'Kiertotunnus'!$A$417,Kiertotunnus!I$2:'Kiertotunnus'!I$417)</f>
        <v>0</v>
      </c>
      <c r="K11" s="34" cm="1">
        <f t="array" ref="K11">_xlfn.XLOOKUP($B10,Kiertotunnus!$A$2:'Kiertotunnus'!$A$417,Kiertotunnus!J$2:'Kiertotunnus'!J$417)</f>
        <v>0</v>
      </c>
      <c r="L11" s="34" cm="1">
        <f t="array" ref="L11">_xlfn.XLOOKUP($B10,Kiertotunnus!$A$2:'Kiertotunnus'!$A$417,Kiertotunnus!K$2:'Kiertotunnus'!K$417)</f>
        <v>0</v>
      </c>
      <c r="M11" s="34" cm="1">
        <f t="array" ref="M11">_xlfn.XLOOKUP($B10,Kiertotunnus!$A$2:'Kiertotunnus'!$A$417,Kiertotunnus!L$2:'Kiertotunnus'!L$417)</f>
        <v>0</v>
      </c>
      <c r="N11" s="34" cm="1">
        <f t="array" ref="N11">_xlfn.XLOOKUP($B10,Kiertotunnus!$A$2:'Kiertotunnus'!$A$417,Kiertotunnus!M$2:'Kiertotunnus'!M$417)</f>
        <v>0</v>
      </c>
      <c r="O11" s="34" cm="1">
        <f t="array" ref="O11">_xlfn.XLOOKUP($B10,Kiertotunnus!$A$2:'Kiertotunnus'!$A$417,Kiertotunnus!N$2:'Kiertotunnus'!N$417)</f>
        <v>0</v>
      </c>
      <c r="P11" s="34" cm="1">
        <f t="array" ref="P11">_xlfn.XLOOKUP($B10,Kiertotunnus!$A$2:'Kiertotunnus'!$A$417,Kiertotunnus!O$2:'Kiertotunnus'!O$417)</f>
        <v>0</v>
      </c>
      <c r="Q11" s="34" cm="1">
        <f t="array" ref="Q11">_xlfn.XLOOKUP($B10,Kiertotunnus!$A$2:'Kiertotunnus'!$A$417,Kiertotunnus!P$2:'Kiertotunnus'!P$417)</f>
        <v>0</v>
      </c>
      <c r="R11" s="34" cm="1">
        <f t="array" ref="R11">_xlfn.XLOOKUP($B10,Kiertotunnus!$A$2:'Kiertotunnus'!$A$417,Kiertotunnus!Q$2:'Kiertotunnus'!Q$417)</f>
        <v>0</v>
      </c>
      <c r="S11" s="34" cm="1">
        <f t="array" ref="S11">_xlfn.XLOOKUP($B10,Kiertotunnus!$A$2:'Kiertotunnus'!$A$417,Kiertotunnus!R$2:'Kiertotunnus'!R$417)</f>
        <v>0</v>
      </c>
      <c r="T11" s="34" cm="1">
        <f t="array" ref="T11">_xlfn.XLOOKUP($B10,Kiertotunnus!$A$2:'Kiertotunnus'!$A$417,Kiertotunnus!S$2:'Kiertotunnus'!S$417)</f>
        <v>0</v>
      </c>
      <c r="U11" s="34" cm="1">
        <f t="array" ref="U11">_xlfn.XLOOKUP($B10,Kiertotunnus!$A$2:'Kiertotunnus'!$A$417,Kiertotunnus!T$2:'Kiertotunnus'!T$417)</f>
        <v>0</v>
      </c>
      <c r="V11" s="34" cm="1">
        <f t="array" ref="V11">_xlfn.XLOOKUP($B10,Kiertotunnus!$A$2:'Kiertotunnus'!$A$417,Kiertotunnus!U$2:'Kiertotunnus'!U$417)</f>
        <v>0</v>
      </c>
      <c r="W11" s="34" cm="1">
        <f t="array" ref="W11">_xlfn.XLOOKUP($B10,Kiertotunnus!$A$2:'Kiertotunnus'!$A$417,Kiertotunnus!V$2:'Kiertotunnus'!V$417)</f>
        <v>0</v>
      </c>
    </row>
    <row r="12" spans="1:23" ht="39.75" customHeight="1" x14ac:dyDescent="0.25">
      <c r="A12" s="20"/>
      <c r="B12" s="59" t="s">
        <v>96</v>
      </c>
      <c r="C12" s="65"/>
      <c r="D12" s="65"/>
      <c r="E12" s="65"/>
      <c r="F12" s="65"/>
      <c r="G12" s="65"/>
      <c r="H12" s="78"/>
      <c r="I12" s="78"/>
      <c r="J12" s="65"/>
      <c r="K12" s="65"/>
      <c r="L12" s="65"/>
      <c r="M12" s="65"/>
      <c r="N12" s="65"/>
      <c r="O12" s="78"/>
      <c r="P12" s="78"/>
      <c r="Q12" s="65"/>
      <c r="R12" s="65"/>
      <c r="S12" s="65"/>
      <c r="T12" s="65"/>
      <c r="U12" s="65"/>
      <c r="V12" s="78"/>
      <c r="W12" s="78"/>
    </row>
    <row r="13" spans="1:23" ht="54" customHeight="1" x14ac:dyDescent="0.25">
      <c r="A13" s="29"/>
      <c r="B13" s="77"/>
      <c r="C13" s="31" t="e" cm="1">
        <f t="array" ref="C13">_xlfn.XLOOKUP(TRUE,EXACT(Vuorokoodit!$A$3:Vuorokoodit!#REF!,C14),Vuorokoodit!$E$3:Vuorokoodit!#REF!,"Ei löydy")</f>
        <v>#REF!</v>
      </c>
      <c r="D13" s="31" t="e" cm="1">
        <f t="array" ref="D13">_xlfn.XLOOKUP(TRUE,EXACT(Vuorokoodit!$A$3:Vuorokoodit!#REF!,D14),Vuorokoodit!$E$3:Vuorokoodit!#REF!,"Ei löydy")</f>
        <v>#REF!</v>
      </c>
      <c r="E13" s="31" t="e" cm="1">
        <f t="array" ref="E13">_xlfn.XLOOKUP(TRUE,EXACT(Vuorokoodit!$A$3:Vuorokoodit!#REF!,E14),Vuorokoodit!$E$3:Vuorokoodit!#REF!,"Ei löydy")</f>
        <v>#REF!</v>
      </c>
      <c r="F13" s="31" t="e" cm="1">
        <f t="array" ref="F13">_xlfn.XLOOKUP(TRUE,EXACT(Vuorokoodit!$A$3:Vuorokoodit!#REF!,F14),Vuorokoodit!$E$3:Vuorokoodit!#REF!,"Ei löydy")</f>
        <v>#REF!</v>
      </c>
      <c r="G13" s="31" t="e" cm="1">
        <f t="array" ref="G13">_xlfn.XLOOKUP(TRUE,EXACT(Vuorokoodit!$A$3:Vuorokoodit!#REF!,G14),Vuorokoodit!$E$3:Vuorokoodit!#REF!,"Ei löydy")</f>
        <v>#REF!</v>
      </c>
      <c r="H13" s="31" t="e" cm="1">
        <f t="array" ref="H13">_xlfn.XLOOKUP(TRUE,EXACT(Vuorokoodit!$A$3:Vuorokoodit!#REF!,H14),Vuorokoodit!$E$3:Vuorokoodit!#REF!,"Ei löydy")</f>
        <v>#REF!</v>
      </c>
      <c r="I13" s="31" t="e" cm="1">
        <f t="array" ref="I13">_xlfn.XLOOKUP(TRUE,EXACT(Vuorokoodit!$A$3:Vuorokoodit!#REF!,I14),Vuorokoodit!$E$3:Vuorokoodit!#REF!,"Ei löydy")</f>
        <v>#REF!</v>
      </c>
      <c r="J13" s="31" t="e" cm="1">
        <f t="array" ref="J13">_xlfn.XLOOKUP(TRUE,EXACT(Vuorokoodit!$A$3:Vuorokoodit!#REF!,J14),Vuorokoodit!$E$3:Vuorokoodit!#REF!,"Ei löydy")</f>
        <v>#REF!</v>
      </c>
      <c r="K13" s="31" t="e" cm="1">
        <f t="array" ref="K13">_xlfn.XLOOKUP(TRUE,EXACT(Vuorokoodit!$A$3:Vuorokoodit!#REF!,K14),Vuorokoodit!$E$3:Vuorokoodit!#REF!,"Ei löydy")</f>
        <v>#REF!</v>
      </c>
      <c r="L13" s="31" t="e" cm="1">
        <f t="array" ref="L13">_xlfn.XLOOKUP(TRUE,EXACT(Vuorokoodit!$A$3:Vuorokoodit!#REF!,L14),Vuorokoodit!$E$3:Vuorokoodit!#REF!,"Ei löydy")</f>
        <v>#REF!</v>
      </c>
      <c r="M13" s="31" t="e" cm="1">
        <f t="array" ref="M13">_xlfn.XLOOKUP(TRUE,EXACT(Vuorokoodit!$A$3:Vuorokoodit!#REF!,M14),Vuorokoodit!$E$3:Vuorokoodit!#REF!,"Ei löydy")</f>
        <v>#REF!</v>
      </c>
      <c r="N13" s="31" t="e" cm="1">
        <f t="array" ref="N13">_xlfn.XLOOKUP(TRUE,EXACT(Vuorokoodit!$A$3:Vuorokoodit!#REF!,N14),Vuorokoodit!$E$3:Vuorokoodit!#REF!,"Ei löydy")</f>
        <v>#REF!</v>
      </c>
      <c r="O13" s="31" t="e" cm="1">
        <f t="array" ref="O13">_xlfn.XLOOKUP(TRUE,EXACT(Vuorokoodit!$A$3:Vuorokoodit!#REF!,O14),Vuorokoodit!$E$3:Vuorokoodit!#REF!,"Ei löydy")</f>
        <v>#REF!</v>
      </c>
      <c r="P13" s="31" t="e" cm="1">
        <f t="array" ref="P13">_xlfn.XLOOKUP(TRUE,EXACT(Vuorokoodit!$A$3:Vuorokoodit!#REF!,P14),Vuorokoodit!$E$3:Vuorokoodit!#REF!,"Ei löydy")</f>
        <v>#REF!</v>
      </c>
      <c r="Q13" s="31" t="e" cm="1">
        <f t="array" ref="Q13">_xlfn.XLOOKUP(TRUE,EXACT(Vuorokoodit!$A$3:Vuorokoodit!#REF!,Q14),Vuorokoodit!$E$3:Vuorokoodit!#REF!,"Ei löydy")</f>
        <v>#REF!</v>
      </c>
      <c r="R13" s="31" t="e" cm="1">
        <f t="array" ref="R13">_xlfn.XLOOKUP(TRUE,EXACT(Vuorokoodit!$A$3:Vuorokoodit!#REF!,R14),Vuorokoodit!$E$3:Vuorokoodit!#REF!,"Ei löydy")</f>
        <v>#REF!</v>
      </c>
      <c r="S13" s="31" t="e" cm="1">
        <f t="array" ref="S13">_xlfn.XLOOKUP(TRUE,EXACT(Vuorokoodit!$A$3:Vuorokoodit!#REF!,S14),Vuorokoodit!$E$3:Vuorokoodit!#REF!,"Ei löydy")</f>
        <v>#REF!</v>
      </c>
      <c r="T13" s="31" t="e" cm="1">
        <f t="array" ref="T13">_xlfn.XLOOKUP(TRUE,EXACT(Vuorokoodit!$A$3:Vuorokoodit!#REF!,T14),Vuorokoodit!$E$3:Vuorokoodit!#REF!,"Ei löydy")</f>
        <v>#REF!</v>
      </c>
      <c r="U13" s="31" t="e" cm="1">
        <f t="array" ref="U13">_xlfn.XLOOKUP(TRUE,EXACT(Vuorokoodit!$A$3:Vuorokoodit!#REF!,U14),Vuorokoodit!$E$3:Vuorokoodit!#REF!,"Ei löydy")</f>
        <v>#REF!</v>
      </c>
      <c r="V13" s="31" t="e" cm="1">
        <f t="array" ref="V13">_xlfn.XLOOKUP(TRUE,EXACT(Vuorokoodit!$A$3:Vuorokoodit!#REF!,V14),Vuorokoodit!$E$3:Vuorokoodit!#REF!,"Ei löydy")</f>
        <v>#REF!</v>
      </c>
      <c r="W13" s="31" t="e" cm="1">
        <f t="array" ref="W13">_xlfn.XLOOKUP(TRUE,EXACT(Vuorokoodit!$A$3:Vuorokoodit!#REF!,W14),Vuorokoodit!$E$3:Vuorokoodit!#REF!,"Ei löydy")</f>
        <v>#REF!</v>
      </c>
    </row>
    <row r="14" spans="1:23" ht="22.5" customHeight="1" x14ac:dyDescent="0.25">
      <c r="A14"/>
      <c r="B14" s="59"/>
      <c r="C14" s="34" cm="1">
        <f t="array" ref="C14">_xlfn.XLOOKUP($B13,Kiertotunnus!$A$2:'Kiertotunnus'!$A$417,Kiertotunnus!B$2:'Kiertotunnus'!B$417)</f>
        <v>0</v>
      </c>
      <c r="D14" s="34" cm="1">
        <f t="array" ref="D14">_xlfn.XLOOKUP($B13,Kiertotunnus!$A$2:'Kiertotunnus'!$A$417,Kiertotunnus!C$2:'Kiertotunnus'!C$417)</f>
        <v>0</v>
      </c>
      <c r="E14" s="34" cm="1">
        <f t="array" ref="E14">_xlfn.XLOOKUP($B13,Kiertotunnus!$A$2:'Kiertotunnus'!$A$417,Kiertotunnus!D$2:'Kiertotunnus'!D$417)</f>
        <v>0</v>
      </c>
      <c r="F14" s="34" cm="1">
        <f t="array" ref="F14">_xlfn.XLOOKUP($B13,Kiertotunnus!$A$2:'Kiertotunnus'!$A$417,Kiertotunnus!E$2:'Kiertotunnus'!E$417)</f>
        <v>0</v>
      </c>
      <c r="G14" s="34" cm="1">
        <f t="array" ref="G14">_xlfn.XLOOKUP($B13,Kiertotunnus!$A$2:'Kiertotunnus'!$A$417,Kiertotunnus!F$2:'Kiertotunnus'!F$417)</f>
        <v>0</v>
      </c>
      <c r="H14" s="34" cm="1">
        <f t="array" ref="H14">_xlfn.XLOOKUP($B13,Kiertotunnus!$A$2:'Kiertotunnus'!$A$417,Kiertotunnus!G$2:'Kiertotunnus'!G$417)</f>
        <v>0</v>
      </c>
      <c r="I14" s="34" cm="1">
        <f t="array" ref="I14">_xlfn.XLOOKUP($B13,Kiertotunnus!$A$2:'Kiertotunnus'!$A$417,Kiertotunnus!H$2:'Kiertotunnus'!H$417)</f>
        <v>0</v>
      </c>
      <c r="J14" s="34" cm="1">
        <f t="array" ref="J14">_xlfn.XLOOKUP($B13,Kiertotunnus!$A$2:'Kiertotunnus'!$A$417,Kiertotunnus!I$2:'Kiertotunnus'!I$417)</f>
        <v>0</v>
      </c>
      <c r="K14" s="34" cm="1">
        <f t="array" ref="K14">_xlfn.XLOOKUP($B13,Kiertotunnus!$A$2:'Kiertotunnus'!$A$417,Kiertotunnus!J$2:'Kiertotunnus'!J$417)</f>
        <v>0</v>
      </c>
      <c r="L14" s="34" cm="1">
        <f t="array" ref="L14">_xlfn.XLOOKUP($B13,Kiertotunnus!$A$2:'Kiertotunnus'!$A$417,Kiertotunnus!K$2:'Kiertotunnus'!K$417)</f>
        <v>0</v>
      </c>
      <c r="M14" s="34" cm="1">
        <f t="array" ref="M14">_xlfn.XLOOKUP($B13,Kiertotunnus!$A$2:'Kiertotunnus'!$A$417,Kiertotunnus!L$2:'Kiertotunnus'!L$417)</f>
        <v>0</v>
      </c>
      <c r="N14" s="34" cm="1">
        <f t="array" ref="N14">_xlfn.XLOOKUP($B13,Kiertotunnus!$A$2:'Kiertotunnus'!$A$417,Kiertotunnus!M$2:'Kiertotunnus'!M$417)</f>
        <v>0</v>
      </c>
      <c r="O14" s="34" cm="1">
        <f t="array" ref="O14">_xlfn.XLOOKUP($B13,Kiertotunnus!$A$2:'Kiertotunnus'!$A$417,Kiertotunnus!N$2:'Kiertotunnus'!N$417)</f>
        <v>0</v>
      </c>
      <c r="P14" s="34" cm="1">
        <f t="array" ref="P14">_xlfn.XLOOKUP($B13,Kiertotunnus!$A$2:'Kiertotunnus'!$A$417,Kiertotunnus!O$2:'Kiertotunnus'!O$417)</f>
        <v>0</v>
      </c>
      <c r="Q14" s="34" cm="1">
        <f t="array" ref="Q14">_xlfn.XLOOKUP($B13,Kiertotunnus!$A$2:'Kiertotunnus'!$A$417,Kiertotunnus!P$2:'Kiertotunnus'!P$417)</f>
        <v>0</v>
      </c>
      <c r="R14" s="34" cm="1">
        <f t="array" ref="R14">_xlfn.XLOOKUP($B13,Kiertotunnus!$A$2:'Kiertotunnus'!$A$417,Kiertotunnus!Q$2:'Kiertotunnus'!Q$417)</f>
        <v>0</v>
      </c>
      <c r="S14" s="34" cm="1">
        <f t="array" ref="S14">_xlfn.XLOOKUP($B13,Kiertotunnus!$A$2:'Kiertotunnus'!$A$417,Kiertotunnus!R$2:'Kiertotunnus'!R$417)</f>
        <v>0</v>
      </c>
      <c r="T14" s="34" cm="1">
        <f t="array" ref="T14">_xlfn.XLOOKUP($B13,Kiertotunnus!$A$2:'Kiertotunnus'!$A$417,Kiertotunnus!S$2:'Kiertotunnus'!S$417)</f>
        <v>0</v>
      </c>
      <c r="U14" s="34" cm="1">
        <f t="array" ref="U14">_xlfn.XLOOKUP($B13,Kiertotunnus!$A$2:'Kiertotunnus'!$A$417,Kiertotunnus!T$2:'Kiertotunnus'!T$417)</f>
        <v>0</v>
      </c>
      <c r="V14" s="34" cm="1">
        <f t="array" ref="V14">_xlfn.XLOOKUP($B13,Kiertotunnus!$A$2:'Kiertotunnus'!$A$417,Kiertotunnus!U$2:'Kiertotunnus'!U$417)</f>
        <v>0</v>
      </c>
      <c r="W14" s="34" cm="1">
        <f t="array" ref="W14">_xlfn.XLOOKUP($B13,Kiertotunnus!$A$2:'Kiertotunnus'!$A$417,Kiertotunnus!V$2:'Kiertotunnus'!V$417)</f>
        <v>0</v>
      </c>
    </row>
    <row r="15" spans="1:23" ht="39.75" customHeight="1" x14ac:dyDescent="0.25">
      <c r="A15" s="20"/>
      <c r="B15" s="59" t="s">
        <v>96</v>
      </c>
      <c r="C15" s="65"/>
      <c r="D15" s="65"/>
      <c r="E15" s="65"/>
      <c r="F15" s="65"/>
      <c r="G15" s="65"/>
      <c r="H15" s="78"/>
      <c r="I15" s="78"/>
      <c r="J15" s="65"/>
      <c r="K15" s="65"/>
      <c r="L15" s="65"/>
      <c r="M15" s="65"/>
      <c r="N15" s="65"/>
      <c r="O15" s="78"/>
      <c r="P15" s="78"/>
      <c r="Q15" s="65"/>
      <c r="R15" s="65"/>
      <c r="S15" s="65"/>
      <c r="T15" s="65"/>
      <c r="U15" s="65"/>
      <c r="V15" s="78"/>
      <c r="W15" s="78"/>
    </row>
    <row r="16" spans="1:23" ht="54" customHeight="1" x14ac:dyDescent="0.25">
      <c r="A16" s="29"/>
      <c r="B16" s="77"/>
      <c r="C16" s="31" t="e" cm="1">
        <f t="array" ref="C16">_xlfn.XLOOKUP(TRUE,EXACT(Vuorokoodit!$A$3:Vuorokoodit!#REF!,C17),Vuorokoodit!$E$3:Vuorokoodit!#REF!,"Ei löydy")</f>
        <v>#REF!</v>
      </c>
      <c r="D16" s="31" t="e" cm="1">
        <f t="array" ref="D16">_xlfn.XLOOKUP(TRUE,EXACT(Vuorokoodit!$A$3:Vuorokoodit!#REF!,D17),Vuorokoodit!$E$3:Vuorokoodit!#REF!,"Ei löydy")</f>
        <v>#REF!</v>
      </c>
      <c r="E16" s="31" t="e" cm="1">
        <f t="array" ref="E16">_xlfn.XLOOKUP(TRUE,EXACT(Vuorokoodit!$A$3:Vuorokoodit!#REF!,E17),Vuorokoodit!$E$3:Vuorokoodit!#REF!,"Ei löydy")</f>
        <v>#REF!</v>
      </c>
      <c r="F16" s="31" t="e" cm="1">
        <f t="array" ref="F16">_xlfn.XLOOKUP(TRUE,EXACT(Vuorokoodit!$A$3:Vuorokoodit!#REF!,F17),Vuorokoodit!$E$3:Vuorokoodit!#REF!,"Ei löydy")</f>
        <v>#REF!</v>
      </c>
      <c r="G16" s="31" t="e" cm="1">
        <f t="array" ref="G16">_xlfn.XLOOKUP(TRUE,EXACT(Vuorokoodit!$A$3:Vuorokoodit!#REF!,G17),Vuorokoodit!$E$3:Vuorokoodit!#REF!,"Ei löydy")</f>
        <v>#REF!</v>
      </c>
      <c r="H16" s="31" t="e" cm="1">
        <f t="array" ref="H16">_xlfn.XLOOKUP(TRUE,EXACT(Vuorokoodit!$A$3:Vuorokoodit!#REF!,H17),Vuorokoodit!$E$3:Vuorokoodit!#REF!,"Ei löydy")</f>
        <v>#REF!</v>
      </c>
      <c r="I16" s="31" t="e" cm="1">
        <f t="array" ref="I16">_xlfn.XLOOKUP(TRUE,EXACT(Vuorokoodit!$A$3:Vuorokoodit!#REF!,I17),Vuorokoodit!$E$3:Vuorokoodit!#REF!,"Ei löydy")</f>
        <v>#REF!</v>
      </c>
      <c r="J16" s="31" t="e" cm="1">
        <f t="array" ref="J16">_xlfn.XLOOKUP(TRUE,EXACT(Vuorokoodit!$A$3:Vuorokoodit!#REF!,J17),Vuorokoodit!$E$3:Vuorokoodit!#REF!,"Ei löydy")</f>
        <v>#REF!</v>
      </c>
      <c r="K16" s="31" t="e" cm="1">
        <f t="array" ref="K16">_xlfn.XLOOKUP(TRUE,EXACT(Vuorokoodit!$A$3:Vuorokoodit!#REF!,K17),Vuorokoodit!$E$3:Vuorokoodit!#REF!,"Ei löydy")</f>
        <v>#REF!</v>
      </c>
      <c r="L16" s="31" t="e" cm="1">
        <f t="array" ref="L16">_xlfn.XLOOKUP(TRUE,EXACT(Vuorokoodit!$A$3:Vuorokoodit!#REF!,L17),Vuorokoodit!$E$3:Vuorokoodit!#REF!,"Ei löydy")</f>
        <v>#REF!</v>
      </c>
      <c r="M16" s="31" t="e" cm="1">
        <f t="array" ref="M16">_xlfn.XLOOKUP(TRUE,EXACT(Vuorokoodit!$A$3:Vuorokoodit!#REF!,M17),Vuorokoodit!$E$3:Vuorokoodit!#REF!,"Ei löydy")</f>
        <v>#REF!</v>
      </c>
      <c r="N16" s="31" t="e" cm="1">
        <f t="array" ref="N16">_xlfn.XLOOKUP(TRUE,EXACT(Vuorokoodit!$A$3:Vuorokoodit!#REF!,N17),Vuorokoodit!$E$3:Vuorokoodit!#REF!,"Ei löydy")</f>
        <v>#REF!</v>
      </c>
      <c r="O16" s="31" t="e" cm="1">
        <f t="array" ref="O16">_xlfn.XLOOKUP(TRUE,EXACT(Vuorokoodit!$A$3:Vuorokoodit!#REF!,O17),Vuorokoodit!$E$3:Vuorokoodit!#REF!,"Ei löydy")</f>
        <v>#REF!</v>
      </c>
      <c r="P16" s="31" t="e" cm="1">
        <f t="array" ref="P16">_xlfn.XLOOKUP(TRUE,EXACT(Vuorokoodit!$A$3:Vuorokoodit!#REF!,P17),Vuorokoodit!$E$3:Vuorokoodit!#REF!,"Ei löydy")</f>
        <v>#REF!</v>
      </c>
      <c r="Q16" s="31" t="e" cm="1">
        <f t="array" ref="Q16">_xlfn.XLOOKUP(TRUE,EXACT(Vuorokoodit!$A$3:Vuorokoodit!#REF!,Q17),Vuorokoodit!$E$3:Vuorokoodit!#REF!,"Ei löydy")</f>
        <v>#REF!</v>
      </c>
      <c r="R16" s="31" t="e" cm="1">
        <f t="array" ref="R16">_xlfn.XLOOKUP(TRUE,EXACT(Vuorokoodit!$A$3:Vuorokoodit!#REF!,R17),Vuorokoodit!$E$3:Vuorokoodit!#REF!,"Ei löydy")</f>
        <v>#REF!</v>
      </c>
      <c r="S16" s="31" t="e" cm="1">
        <f t="array" ref="S16">_xlfn.XLOOKUP(TRUE,EXACT(Vuorokoodit!$A$3:Vuorokoodit!#REF!,S17),Vuorokoodit!$E$3:Vuorokoodit!#REF!,"Ei löydy")</f>
        <v>#REF!</v>
      </c>
      <c r="T16" s="31" t="e" cm="1">
        <f t="array" ref="T16">_xlfn.XLOOKUP(TRUE,EXACT(Vuorokoodit!$A$3:Vuorokoodit!#REF!,T17),Vuorokoodit!$E$3:Vuorokoodit!#REF!,"Ei löydy")</f>
        <v>#REF!</v>
      </c>
      <c r="U16" s="31" t="e" cm="1">
        <f t="array" ref="U16">_xlfn.XLOOKUP(TRUE,EXACT(Vuorokoodit!$A$3:Vuorokoodit!#REF!,U17),Vuorokoodit!$E$3:Vuorokoodit!#REF!,"Ei löydy")</f>
        <v>#REF!</v>
      </c>
      <c r="V16" s="31" t="e" cm="1">
        <f t="array" ref="V16">_xlfn.XLOOKUP(TRUE,EXACT(Vuorokoodit!$A$3:Vuorokoodit!#REF!,V17),Vuorokoodit!$E$3:Vuorokoodit!#REF!,"Ei löydy")</f>
        <v>#REF!</v>
      </c>
      <c r="W16" s="31" t="e" cm="1">
        <f t="array" ref="W16">_xlfn.XLOOKUP(TRUE,EXACT(Vuorokoodit!$A$3:Vuorokoodit!#REF!,W17),Vuorokoodit!$E$3:Vuorokoodit!#REF!,"Ei löydy")</f>
        <v>#REF!</v>
      </c>
    </row>
    <row r="17" spans="1:23" ht="22.5" customHeight="1" x14ac:dyDescent="0.25">
      <c r="A17"/>
      <c r="B17" s="59"/>
      <c r="C17" s="34" cm="1">
        <f t="array" ref="C17">_xlfn.XLOOKUP($B16,Kiertotunnus!$A$2:'Kiertotunnus'!$A$417,Kiertotunnus!B$2:'Kiertotunnus'!B$417)</f>
        <v>0</v>
      </c>
      <c r="D17" s="34" cm="1">
        <f t="array" ref="D17">_xlfn.XLOOKUP($B16,Kiertotunnus!$A$2:'Kiertotunnus'!$A$417,Kiertotunnus!C$2:'Kiertotunnus'!C$417)</f>
        <v>0</v>
      </c>
      <c r="E17" s="34" cm="1">
        <f t="array" ref="E17">_xlfn.XLOOKUP($B16,Kiertotunnus!$A$2:'Kiertotunnus'!$A$417,Kiertotunnus!D$2:'Kiertotunnus'!D$417)</f>
        <v>0</v>
      </c>
      <c r="F17" s="34" cm="1">
        <f t="array" ref="F17">_xlfn.XLOOKUP($B16,Kiertotunnus!$A$2:'Kiertotunnus'!$A$417,Kiertotunnus!E$2:'Kiertotunnus'!E$417)</f>
        <v>0</v>
      </c>
      <c r="G17" s="34" cm="1">
        <f t="array" ref="G17">_xlfn.XLOOKUP($B16,Kiertotunnus!$A$2:'Kiertotunnus'!$A$417,Kiertotunnus!F$2:'Kiertotunnus'!F$417)</f>
        <v>0</v>
      </c>
      <c r="H17" s="34" cm="1">
        <f t="array" ref="H17">_xlfn.XLOOKUP($B16,Kiertotunnus!$A$2:'Kiertotunnus'!$A$417,Kiertotunnus!G$2:'Kiertotunnus'!G$417)</f>
        <v>0</v>
      </c>
      <c r="I17" s="34" cm="1">
        <f t="array" ref="I17">_xlfn.XLOOKUP($B16,Kiertotunnus!$A$2:'Kiertotunnus'!$A$417,Kiertotunnus!H$2:'Kiertotunnus'!H$417)</f>
        <v>0</v>
      </c>
      <c r="J17" s="34" cm="1">
        <f t="array" ref="J17">_xlfn.XLOOKUP($B16,Kiertotunnus!$A$2:'Kiertotunnus'!$A$417,Kiertotunnus!I$2:'Kiertotunnus'!I$417)</f>
        <v>0</v>
      </c>
      <c r="K17" s="34" cm="1">
        <f t="array" ref="K17">_xlfn.XLOOKUP($B16,Kiertotunnus!$A$2:'Kiertotunnus'!$A$417,Kiertotunnus!J$2:'Kiertotunnus'!J$417)</f>
        <v>0</v>
      </c>
      <c r="L17" s="34" cm="1">
        <f t="array" ref="L17">_xlfn.XLOOKUP($B16,Kiertotunnus!$A$2:'Kiertotunnus'!$A$417,Kiertotunnus!K$2:'Kiertotunnus'!K$417)</f>
        <v>0</v>
      </c>
      <c r="M17" s="34" cm="1">
        <f t="array" ref="M17">_xlfn.XLOOKUP($B16,Kiertotunnus!$A$2:'Kiertotunnus'!$A$417,Kiertotunnus!L$2:'Kiertotunnus'!L$417)</f>
        <v>0</v>
      </c>
      <c r="N17" s="34" cm="1">
        <f t="array" ref="N17">_xlfn.XLOOKUP($B16,Kiertotunnus!$A$2:'Kiertotunnus'!$A$417,Kiertotunnus!M$2:'Kiertotunnus'!M$417)</f>
        <v>0</v>
      </c>
      <c r="O17" s="34" cm="1">
        <f t="array" ref="O17">_xlfn.XLOOKUP($B16,Kiertotunnus!$A$2:'Kiertotunnus'!$A$417,Kiertotunnus!N$2:'Kiertotunnus'!N$417)</f>
        <v>0</v>
      </c>
      <c r="P17" s="34" cm="1">
        <f t="array" ref="P17">_xlfn.XLOOKUP($B16,Kiertotunnus!$A$2:'Kiertotunnus'!$A$417,Kiertotunnus!O$2:'Kiertotunnus'!O$417)</f>
        <v>0</v>
      </c>
      <c r="Q17" s="34" cm="1">
        <f t="array" ref="Q17">_xlfn.XLOOKUP($B16,Kiertotunnus!$A$2:'Kiertotunnus'!$A$417,Kiertotunnus!P$2:'Kiertotunnus'!P$417)</f>
        <v>0</v>
      </c>
      <c r="R17" s="34" cm="1">
        <f t="array" ref="R17">_xlfn.XLOOKUP($B16,Kiertotunnus!$A$2:'Kiertotunnus'!$A$417,Kiertotunnus!Q$2:'Kiertotunnus'!Q$417)</f>
        <v>0</v>
      </c>
      <c r="S17" s="34" cm="1">
        <f t="array" ref="S17">_xlfn.XLOOKUP($B16,Kiertotunnus!$A$2:'Kiertotunnus'!$A$417,Kiertotunnus!R$2:'Kiertotunnus'!R$417)</f>
        <v>0</v>
      </c>
      <c r="T17" s="34" cm="1">
        <f t="array" ref="T17">_xlfn.XLOOKUP($B16,Kiertotunnus!$A$2:'Kiertotunnus'!$A$417,Kiertotunnus!S$2:'Kiertotunnus'!S$417)</f>
        <v>0</v>
      </c>
      <c r="U17" s="34" cm="1">
        <f t="array" ref="U17">_xlfn.XLOOKUP($B16,Kiertotunnus!$A$2:'Kiertotunnus'!$A$417,Kiertotunnus!T$2:'Kiertotunnus'!T$417)</f>
        <v>0</v>
      </c>
      <c r="V17" s="34" cm="1">
        <f t="array" ref="V17">_xlfn.XLOOKUP($B16,Kiertotunnus!$A$2:'Kiertotunnus'!$A$417,Kiertotunnus!U$2:'Kiertotunnus'!U$417)</f>
        <v>0</v>
      </c>
      <c r="W17" s="34" cm="1">
        <f t="array" ref="W17">_xlfn.XLOOKUP($B16,Kiertotunnus!$A$2:'Kiertotunnus'!$A$417,Kiertotunnus!V$2:'Kiertotunnus'!V$417)</f>
        <v>0</v>
      </c>
    </row>
    <row r="18" spans="1:23" ht="39.75" customHeight="1" x14ac:dyDescent="0.25">
      <c r="A18" s="20"/>
      <c r="B18" s="59" t="s">
        <v>96</v>
      </c>
      <c r="C18" s="65"/>
      <c r="D18" s="65"/>
      <c r="E18" s="65"/>
      <c r="F18" s="65"/>
      <c r="G18" s="65"/>
      <c r="H18" s="78"/>
      <c r="I18" s="78"/>
      <c r="J18" s="65"/>
      <c r="K18" s="65"/>
      <c r="L18" s="65"/>
      <c r="M18" s="65"/>
      <c r="N18" s="65"/>
      <c r="O18" s="78"/>
      <c r="P18" s="78"/>
      <c r="Q18" s="65"/>
      <c r="R18" s="65"/>
      <c r="S18" s="65"/>
      <c r="T18" s="65"/>
      <c r="U18" s="65"/>
      <c r="V18" s="78"/>
      <c r="W18" s="78"/>
    </row>
    <row r="19" spans="1:23" ht="54" customHeight="1" x14ac:dyDescent="0.25">
      <c r="A19" s="29"/>
      <c r="B19" s="77"/>
      <c r="C19" s="31" t="e" cm="1">
        <f t="array" ref="C19">_xlfn.XLOOKUP(TRUE,EXACT(Vuorokoodit!$A$3:Vuorokoodit!#REF!,C20),Vuorokoodit!$E$3:Vuorokoodit!#REF!,"Ei löydy")</f>
        <v>#REF!</v>
      </c>
      <c r="D19" s="31" t="e" cm="1">
        <f t="array" ref="D19">_xlfn.XLOOKUP(TRUE,EXACT(Vuorokoodit!$A$3:Vuorokoodit!#REF!,D20),Vuorokoodit!$E$3:Vuorokoodit!#REF!,"Ei löydy")</f>
        <v>#REF!</v>
      </c>
      <c r="E19" s="31" t="e" cm="1">
        <f t="array" ref="E19">_xlfn.XLOOKUP(TRUE,EXACT(Vuorokoodit!$A$3:Vuorokoodit!#REF!,E20),Vuorokoodit!$E$3:Vuorokoodit!#REF!,"Ei löydy")</f>
        <v>#REF!</v>
      </c>
      <c r="F19" s="31" t="e" cm="1">
        <f t="array" ref="F19">_xlfn.XLOOKUP(TRUE,EXACT(Vuorokoodit!$A$3:Vuorokoodit!#REF!,F20),Vuorokoodit!$E$3:Vuorokoodit!#REF!,"Ei löydy")</f>
        <v>#REF!</v>
      </c>
      <c r="G19" s="31" t="e" cm="1">
        <f t="array" ref="G19">_xlfn.XLOOKUP(TRUE,EXACT(Vuorokoodit!$A$3:Vuorokoodit!#REF!,G20),Vuorokoodit!$E$3:Vuorokoodit!#REF!,"Ei löydy")</f>
        <v>#REF!</v>
      </c>
      <c r="H19" s="31" t="e" cm="1">
        <f t="array" ref="H19">_xlfn.XLOOKUP(TRUE,EXACT(Vuorokoodit!$A$3:Vuorokoodit!#REF!,H20),Vuorokoodit!$E$3:Vuorokoodit!#REF!,"Ei löydy")</f>
        <v>#REF!</v>
      </c>
      <c r="I19" s="31" t="e" cm="1">
        <f t="array" ref="I19">_xlfn.XLOOKUP(TRUE,EXACT(Vuorokoodit!$A$3:Vuorokoodit!#REF!,I20),Vuorokoodit!$E$3:Vuorokoodit!#REF!,"Ei löydy")</f>
        <v>#REF!</v>
      </c>
      <c r="J19" s="31" t="e" cm="1">
        <f t="array" ref="J19">_xlfn.XLOOKUP(TRUE,EXACT(Vuorokoodit!$A$3:Vuorokoodit!#REF!,J20),Vuorokoodit!$E$3:Vuorokoodit!#REF!,"Ei löydy")</f>
        <v>#REF!</v>
      </c>
      <c r="K19" s="31" t="e" cm="1">
        <f t="array" ref="K19">_xlfn.XLOOKUP(TRUE,EXACT(Vuorokoodit!$A$3:Vuorokoodit!#REF!,K20),Vuorokoodit!$E$3:Vuorokoodit!#REF!,"Ei löydy")</f>
        <v>#REF!</v>
      </c>
      <c r="L19" s="31" t="e" cm="1">
        <f t="array" ref="L19">_xlfn.XLOOKUP(TRUE,EXACT(Vuorokoodit!$A$3:Vuorokoodit!#REF!,L20),Vuorokoodit!$E$3:Vuorokoodit!#REF!,"Ei löydy")</f>
        <v>#REF!</v>
      </c>
      <c r="M19" s="31" t="e" cm="1">
        <f t="array" ref="M19">_xlfn.XLOOKUP(TRUE,EXACT(Vuorokoodit!$A$3:Vuorokoodit!#REF!,M20),Vuorokoodit!$E$3:Vuorokoodit!#REF!,"Ei löydy")</f>
        <v>#REF!</v>
      </c>
      <c r="N19" s="31" t="e" cm="1">
        <f t="array" ref="N19">_xlfn.XLOOKUP(TRUE,EXACT(Vuorokoodit!$A$3:Vuorokoodit!#REF!,N20),Vuorokoodit!$E$3:Vuorokoodit!#REF!,"Ei löydy")</f>
        <v>#REF!</v>
      </c>
      <c r="O19" s="31" t="e" cm="1">
        <f t="array" ref="O19">_xlfn.XLOOKUP(TRUE,EXACT(Vuorokoodit!$A$3:Vuorokoodit!#REF!,O20),Vuorokoodit!$E$3:Vuorokoodit!#REF!,"Ei löydy")</f>
        <v>#REF!</v>
      </c>
      <c r="P19" s="31" t="e" cm="1">
        <f t="array" ref="P19">_xlfn.XLOOKUP(TRUE,EXACT(Vuorokoodit!$A$3:Vuorokoodit!#REF!,P20),Vuorokoodit!$E$3:Vuorokoodit!#REF!,"Ei löydy")</f>
        <v>#REF!</v>
      </c>
      <c r="Q19" s="31" t="e" cm="1">
        <f t="array" ref="Q19">_xlfn.XLOOKUP(TRUE,EXACT(Vuorokoodit!$A$3:Vuorokoodit!#REF!,Q20),Vuorokoodit!$E$3:Vuorokoodit!#REF!,"Ei löydy")</f>
        <v>#REF!</v>
      </c>
      <c r="R19" s="31" t="e" cm="1">
        <f t="array" ref="R19">_xlfn.XLOOKUP(TRUE,EXACT(Vuorokoodit!$A$3:Vuorokoodit!#REF!,R20),Vuorokoodit!$E$3:Vuorokoodit!#REF!,"Ei löydy")</f>
        <v>#REF!</v>
      </c>
      <c r="S19" s="31" t="e" cm="1">
        <f t="array" ref="S19">_xlfn.XLOOKUP(TRUE,EXACT(Vuorokoodit!$A$3:Vuorokoodit!#REF!,S20),Vuorokoodit!$E$3:Vuorokoodit!#REF!,"Ei löydy")</f>
        <v>#REF!</v>
      </c>
      <c r="T19" s="31" t="e" cm="1">
        <f t="array" ref="T19">_xlfn.XLOOKUP(TRUE,EXACT(Vuorokoodit!$A$3:Vuorokoodit!#REF!,T20),Vuorokoodit!$E$3:Vuorokoodit!#REF!,"Ei löydy")</f>
        <v>#REF!</v>
      </c>
      <c r="U19" s="31" t="e" cm="1">
        <f t="array" ref="U19">_xlfn.XLOOKUP(TRUE,EXACT(Vuorokoodit!$A$3:Vuorokoodit!#REF!,U20),Vuorokoodit!$E$3:Vuorokoodit!#REF!,"Ei löydy")</f>
        <v>#REF!</v>
      </c>
      <c r="V19" s="31" t="e" cm="1">
        <f t="array" ref="V19">_xlfn.XLOOKUP(TRUE,EXACT(Vuorokoodit!$A$3:Vuorokoodit!#REF!,V20),Vuorokoodit!$E$3:Vuorokoodit!#REF!,"Ei löydy")</f>
        <v>#REF!</v>
      </c>
      <c r="W19" s="31" t="e" cm="1">
        <f t="array" ref="W19">_xlfn.XLOOKUP(TRUE,EXACT(Vuorokoodit!$A$3:Vuorokoodit!#REF!,W20),Vuorokoodit!$E$3:Vuorokoodit!#REF!,"Ei löydy")</f>
        <v>#REF!</v>
      </c>
    </row>
    <row r="20" spans="1:23" ht="22.5" customHeight="1" x14ac:dyDescent="0.25">
      <c r="A20"/>
      <c r="B20" s="59"/>
      <c r="C20" s="34" cm="1">
        <f t="array" ref="C20">_xlfn.XLOOKUP($B19,Kiertotunnus!$A$2:'Kiertotunnus'!$A$417,Kiertotunnus!B$2:'Kiertotunnus'!B$417)</f>
        <v>0</v>
      </c>
      <c r="D20" s="34" cm="1">
        <f t="array" ref="D20">_xlfn.XLOOKUP($B19,Kiertotunnus!$A$2:'Kiertotunnus'!$A$417,Kiertotunnus!C$2:'Kiertotunnus'!C$417)</f>
        <v>0</v>
      </c>
      <c r="E20" s="34" cm="1">
        <f t="array" ref="E20">_xlfn.XLOOKUP($B19,Kiertotunnus!$A$2:'Kiertotunnus'!$A$417,Kiertotunnus!D$2:'Kiertotunnus'!D$417)</f>
        <v>0</v>
      </c>
      <c r="F20" s="34" cm="1">
        <f t="array" ref="F20">_xlfn.XLOOKUP($B19,Kiertotunnus!$A$2:'Kiertotunnus'!$A$417,Kiertotunnus!E$2:'Kiertotunnus'!E$417)</f>
        <v>0</v>
      </c>
      <c r="G20" s="34" cm="1">
        <f t="array" ref="G20">_xlfn.XLOOKUP($B19,Kiertotunnus!$A$2:'Kiertotunnus'!$A$417,Kiertotunnus!F$2:'Kiertotunnus'!F$417)</f>
        <v>0</v>
      </c>
      <c r="H20" s="34" cm="1">
        <f t="array" ref="H20">_xlfn.XLOOKUP($B19,Kiertotunnus!$A$2:'Kiertotunnus'!$A$417,Kiertotunnus!G$2:'Kiertotunnus'!G$417)</f>
        <v>0</v>
      </c>
      <c r="I20" s="34" cm="1">
        <f t="array" ref="I20">_xlfn.XLOOKUP($B19,Kiertotunnus!$A$2:'Kiertotunnus'!$A$417,Kiertotunnus!H$2:'Kiertotunnus'!H$417)</f>
        <v>0</v>
      </c>
      <c r="J20" s="34" cm="1">
        <f t="array" ref="J20">_xlfn.XLOOKUP($B19,Kiertotunnus!$A$2:'Kiertotunnus'!$A$417,Kiertotunnus!I$2:'Kiertotunnus'!I$417)</f>
        <v>0</v>
      </c>
      <c r="K20" s="34" cm="1">
        <f t="array" ref="K20">_xlfn.XLOOKUP($B19,Kiertotunnus!$A$2:'Kiertotunnus'!$A$417,Kiertotunnus!J$2:'Kiertotunnus'!J$417)</f>
        <v>0</v>
      </c>
      <c r="L20" s="34" cm="1">
        <f t="array" ref="L20">_xlfn.XLOOKUP($B19,Kiertotunnus!$A$2:'Kiertotunnus'!$A$417,Kiertotunnus!K$2:'Kiertotunnus'!K$417)</f>
        <v>0</v>
      </c>
      <c r="M20" s="34" cm="1">
        <f t="array" ref="M20">_xlfn.XLOOKUP($B19,Kiertotunnus!$A$2:'Kiertotunnus'!$A$417,Kiertotunnus!L$2:'Kiertotunnus'!L$417)</f>
        <v>0</v>
      </c>
      <c r="N20" s="34" cm="1">
        <f t="array" ref="N20">_xlfn.XLOOKUP($B19,Kiertotunnus!$A$2:'Kiertotunnus'!$A$417,Kiertotunnus!M$2:'Kiertotunnus'!M$417)</f>
        <v>0</v>
      </c>
      <c r="O20" s="34" cm="1">
        <f t="array" ref="O20">_xlfn.XLOOKUP($B19,Kiertotunnus!$A$2:'Kiertotunnus'!$A$417,Kiertotunnus!N$2:'Kiertotunnus'!N$417)</f>
        <v>0</v>
      </c>
      <c r="P20" s="34" cm="1">
        <f t="array" ref="P20">_xlfn.XLOOKUP($B19,Kiertotunnus!$A$2:'Kiertotunnus'!$A$417,Kiertotunnus!O$2:'Kiertotunnus'!O$417)</f>
        <v>0</v>
      </c>
      <c r="Q20" s="34" cm="1">
        <f t="array" ref="Q20">_xlfn.XLOOKUP($B19,Kiertotunnus!$A$2:'Kiertotunnus'!$A$417,Kiertotunnus!P$2:'Kiertotunnus'!P$417)</f>
        <v>0</v>
      </c>
      <c r="R20" s="34" cm="1">
        <f t="array" ref="R20">_xlfn.XLOOKUP($B19,Kiertotunnus!$A$2:'Kiertotunnus'!$A$417,Kiertotunnus!Q$2:'Kiertotunnus'!Q$417)</f>
        <v>0</v>
      </c>
      <c r="S20" s="34" cm="1">
        <f t="array" ref="S20">_xlfn.XLOOKUP($B19,Kiertotunnus!$A$2:'Kiertotunnus'!$A$417,Kiertotunnus!R$2:'Kiertotunnus'!R$417)</f>
        <v>0</v>
      </c>
      <c r="T20" s="34" cm="1">
        <f t="array" ref="T20">_xlfn.XLOOKUP($B19,Kiertotunnus!$A$2:'Kiertotunnus'!$A$417,Kiertotunnus!S$2:'Kiertotunnus'!S$417)</f>
        <v>0</v>
      </c>
      <c r="U20" s="34" cm="1">
        <f t="array" ref="U20">_xlfn.XLOOKUP($B19,Kiertotunnus!$A$2:'Kiertotunnus'!$A$417,Kiertotunnus!T$2:'Kiertotunnus'!T$417)</f>
        <v>0</v>
      </c>
      <c r="V20" s="34" cm="1">
        <f t="array" ref="V20">_xlfn.XLOOKUP($B19,Kiertotunnus!$A$2:'Kiertotunnus'!$A$417,Kiertotunnus!U$2:'Kiertotunnus'!U$417)</f>
        <v>0</v>
      </c>
      <c r="W20" s="34" cm="1">
        <f t="array" ref="W20">_xlfn.XLOOKUP($B19,Kiertotunnus!$A$2:'Kiertotunnus'!$A$417,Kiertotunnus!V$2:'Kiertotunnus'!V$417)</f>
        <v>0</v>
      </c>
    </row>
    <row r="21" spans="1:23" ht="39.75" customHeight="1" x14ac:dyDescent="0.25">
      <c r="A21" s="20"/>
      <c r="B21" s="59" t="s">
        <v>96</v>
      </c>
      <c r="C21" s="65"/>
      <c r="D21" s="65"/>
      <c r="E21" s="65"/>
      <c r="F21" s="65"/>
      <c r="G21" s="65"/>
      <c r="H21" s="78"/>
      <c r="I21" s="78"/>
      <c r="J21" s="65"/>
      <c r="K21" s="65"/>
      <c r="L21" s="65"/>
      <c r="M21" s="65"/>
      <c r="N21" s="65"/>
      <c r="O21" s="78"/>
      <c r="P21" s="78"/>
      <c r="Q21" s="65"/>
      <c r="R21" s="65"/>
      <c r="S21" s="65"/>
      <c r="T21" s="65"/>
      <c r="U21" s="65"/>
      <c r="V21" s="78"/>
      <c r="W21" s="78"/>
    </row>
    <row r="22" spans="1:23" ht="54" customHeight="1" x14ac:dyDescent="0.25">
      <c r="A22" s="29"/>
      <c r="B22" s="77"/>
      <c r="C22" s="31" t="e" cm="1">
        <f t="array" ref="C22">_xlfn.XLOOKUP(TRUE,EXACT(Vuorokoodit!$A$3:Vuorokoodit!#REF!,C23),Vuorokoodit!$E$3:Vuorokoodit!#REF!,"Ei löydy")</f>
        <v>#REF!</v>
      </c>
      <c r="D22" s="31" t="e" cm="1">
        <f t="array" ref="D22">_xlfn.XLOOKUP(TRUE,EXACT(Vuorokoodit!$A$3:Vuorokoodit!#REF!,D23),Vuorokoodit!$E$3:Vuorokoodit!#REF!,"Ei löydy")</f>
        <v>#REF!</v>
      </c>
      <c r="E22" s="31" t="e" cm="1">
        <f t="array" ref="E22">_xlfn.XLOOKUP(TRUE,EXACT(Vuorokoodit!$A$3:Vuorokoodit!#REF!,E23),Vuorokoodit!$E$3:Vuorokoodit!#REF!,"Ei löydy")</f>
        <v>#REF!</v>
      </c>
      <c r="F22" s="31" t="e" cm="1">
        <f t="array" ref="F22">_xlfn.XLOOKUP(TRUE,EXACT(Vuorokoodit!$A$3:Vuorokoodit!#REF!,F23),Vuorokoodit!$E$3:Vuorokoodit!#REF!,"Ei löydy")</f>
        <v>#REF!</v>
      </c>
      <c r="G22" s="31" t="e" cm="1">
        <f t="array" ref="G22">_xlfn.XLOOKUP(TRUE,EXACT(Vuorokoodit!$A$3:Vuorokoodit!#REF!,G23),Vuorokoodit!$E$3:Vuorokoodit!#REF!,"Ei löydy")</f>
        <v>#REF!</v>
      </c>
      <c r="H22" s="31" t="e" cm="1">
        <f t="array" ref="H22">_xlfn.XLOOKUP(TRUE,EXACT(Vuorokoodit!$A$3:Vuorokoodit!#REF!,H23),Vuorokoodit!$E$3:Vuorokoodit!#REF!,"Ei löydy")</f>
        <v>#REF!</v>
      </c>
      <c r="I22" s="31" t="e" cm="1">
        <f t="array" ref="I22">_xlfn.XLOOKUP(TRUE,EXACT(Vuorokoodit!$A$3:Vuorokoodit!#REF!,I23),Vuorokoodit!$E$3:Vuorokoodit!#REF!,"Ei löydy")</f>
        <v>#REF!</v>
      </c>
      <c r="J22" s="31" t="e" cm="1">
        <f t="array" ref="J22">_xlfn.XLOOKUP(TRUE,EXACT(Vuorokoodit!$A$3:Vuorokoodit!#REF!,J23),Vuorokoodit!$E$3:Vuorokoodit!#REF!,"Ei löydy")</f>
        <v>#REF!</v>
      </c>
      <c r="K22" s="31" t="e" cm="1">
        <f t="array" ref="K22">_xlfn.XLOOKUP(TRUE,EXACT(Vuorokoodit!$A$3:Vuorokoodit!#REF!,K23),Vuorokoodit!$E$3:Vuorokoodit!#REF!,"Ei löydy")</f>
        <v>#REF!</v>
      </c>
      <c r="L22" s="31" t="e" cm="1">
        <f t="array" ref="L22">_xlfn.XLOOKUP(TRUE,EXACT(Vuorokoodit!$A$3:Vuorokoodit!#REF!,L23),Vuorokoodit!$E$3:Vuorokoodit!#REF!,"Ei löydy")</f>
        <v>#REF!</v>
      </c>
      <c r="M22" s="31" t="e" cm="1">
        <f t="array" ref="M22">_xlfn.XLOOKUP(TRUE,EXACT(Vuorokoodit!$A$3:Vuorokoodit!#REF!,M23),Vuorokoodit!$E$3:Vuorokoodit!#REF!,"Ei löydy")</f>
        <v>#REF!</v>
      </c>
      <c r="N22" s="31" t="e" cm="1">
        <f t="array" ref="N22">_xlfn.XLOOKUP(TRUE,EXACT(Vuorokoodit!$A$3:Vuorokoodit!#REF!,N23),Vuorokoodit!$E$3:Vuorokoodit!#REF!,"Ei löydy")</f>
        <v>#REF!</v>
      </c>
      <c r="O22" s="31" t="e" cm="1">
        <f t="array" ref="O22">_xlfn.XLOOKUP(TRUE,EXACT(Vuorokoodit!$A$3:Vuorokoodit!#REF!,O23),Vuorokoodit!$E$3:Vuorokoodit!#REF!,"Ei löydy")</f>
        <v>#REF!</v>
      </c>
      <c r="P22" s="31" t="e" cm="1">
        <f t="array" ref="P22">_xlfn.XLOOKUP(TRUE,EXACT(Vuorokoodit!$A$3:Vuorokoodit!#REF!,P23),Vuorokoodit!$E$3:Vuorokoodit!#REF!,"Ei löydy")</f>
        <v>#REF!</v>
      </c>
      <c r="Q22" s="31" t="e" cm="1">
        <f t="array" ref="Q22">_xlfn.XLOOKUP(TRUE,EXACT(Vuorokoodit!$A$3:Vuorokoodit!#REF!,Q23),Vuorokoodit!$E$3:Vuorokoodit!#REF!,"Ei löydy")</f>
        <v>#REF!</v>
      </c>
      <c r="R22" s="31" t="e" cm="1">
        <f t="array" ref="R22">_xlfn.XLOOKUP(TRUE,EXACT(Vuorokoodit!$A$3:Vuorokoodit!#REF!,R23),Vuorokoodit!$E$3:Vuorokoodit!#REF!,"Ei löydy")</f>
        <v>#REF!</v>
      </c>
      <c r="S22" s="31" t="e" cm="1">
        <f t="array" ref="S22">_xlfn.XLOOKUP(TRUE,EXACT(Vuorokoodit!$A$3:Vuorokoodit!#REF!,S23),Vuorokoodit!$E$3:Vuorokoodit!#REF!,"Ei löydy")</f>
        <v>#REF!</v>
      </c>
      <c r="T22" s="31" t="e" cm="1">
        <f t="array" ref="T22">_xlfn.XLOOKUP(TRUE,EXACT(Vuorokoodit!$A$3:Vuorokoodit!#REF!,T23),Vuorokoodit!$E$3:Vuorokoodit!#REF!,"Ei löydy")</f>
        <v>#REF!</v>
      </c>
      <c r="U22" s="31" t="e" cm="1">
        <f t="array" ref="U22">_xlfn.XLOOKUP(TRUE,EXACT(Vuorokoodit!$A$3:Vuorokoodit!#REF!,U23),Vuorokoodit!$E$3:Vuorokoodit!#REF!,"Ei löydy")</f>
        <v>#REF!</v>
      </c>
      <c r="V22" s="31" t="e" cm="1">
        <f t="array" ref="V22">_xlfn.XLOOKUP(TRUE,EXACT(Vuorokoodit!$A$3:Vuorokoodit!#REF!,V23),Vuorokoodit!$E$3:Vuorokoodit!#REF!,"Ei löydy")</f>
        <v>#REF!</v>
      </c>
      <c r="W22" s="31" t="e" cm="1">
        <f t="array" ref="W22">_xlfn.XLOOKUP(TRUE,EXACT(Vuorokoodit!$A$3:Vuorokoodit!#REF!,W23),Vuorokoodit!$E$3:Vuorokoodit!#REF!,"Ei löydy")</f>
        <v>#REF!</v>
      </c>
    </row>
    <row r="23" spans="1:23" ht="22.5" customHeight="1" x14ac:dyDescent="0.25">
      <c r="A23"/>
      <c r="B23" s="59"/>
      <c r="C23" s="34" cm="1">
        <f t="array" ref="C23">_xlfn.XLOOKUP($B22,Kiertotunnus!$A$2:'Kiertotunnus'!$A$417,Kiertotunnus!B$2:'Kiertotunnus'!B$417)</f>
        <v>0</v>
      </c>
      <c r="D23" s="34" cm="1">
        <f t="array" ref="D23">_xlfn.XLOOKUP($B22,Kiertotunnus!$A$2:'Kiertotunnus'!$A$417,Kiertotunnus!C$2:'Kiertotunnus'!C$417)</f>
        <v>0</v>
      </c>
      <c r="E23" s="34" cm="1">
        <f t="array" ref="E23">_xlfn.XLOOKUP($B22,Kiertotunnus!$A$2:'Kiertotunnus'!$A$417,Kiertotunnus!D$2:'Kiertotunnus'!D$417)</f>
        <v>0</v>
      </c>
      <c r="F23" s="34" cm="1">
        <f t="array" ref="F23">_xlfn.XLOOKUP($B22,Kiertotunnus!$A$2:'Kiertotunnus'!$A$417,Kiertotunnus!E$2:'Kiertotunnus'!E$417)</f>
        <v>0</v>
      </c>
      <c r="G23" s="34" cm="1">
        <f t="array" ref="G23">_xlfn.XLOOKUP($B22,Kiertotunnus!$A$2:'Kiertotunnus'!$A$417,Kiertotunnus!F$2:'Kiertotunnus'!F$417)</f>
        <v>0</v>
      </c>
      <c r="H23" s="34" cm="1">
        <f t="array" ref="H23">_xlfn.XLOOKUP($B22,Kiertotunnus!$A$2:'Kiertotunnus'!$A$417,Kiertotunnus!G$2:'Kiertotunnus'!G$417)</f>
        <v>0</v>
      </c>
      <c r="I23" s="34" cm="1">
        <f t="array" ref="I23">_xlfn.XLOOKUP($B22,Kiertotunnus!$A$2:'Kiertotunnus'!$A$417,Kiertotunnus!H$2:'Kiertotunnus'!H$417)</f>
        <v>0</v>
      </c>
      <c r="J23" s="34" cm="1">
        <f t="array" ref="J23">_xlfn.XLOOKUP($B22,Kiertotunnus!$A$2:'Kiertotunnus'!$A$417,Kiertotunnus!I$2:'Kiertotunnus'!I$417)</f>
        <v>0</v>
      </c>
      <c r="K23" s="34" cm="1">
        <f t="array" ref="K23">_xlfn.XLOOKUP($B22,Kiertotunnus!$A$2:'Kiertotunnus'!$A$417,Kiertotunnus!J$2:'Kiertotunnus'!J$417)</f>
        <v>0</v>
      </c>
      <c r="L23" s="34" cm="1">
        <f t="array" ref="L23">_xlfn.XLOOKUP($B22,Kiertotunnus!$A$2:'Kiertotunnus'!$A$417,Kiertotunnus!K$2:'Kiertotunnus'!K$417)</f>
        <v>0</v>
      </c>
      <c r="M23" s="34" cm="1">
        <f t="array" ref="M23">_xlfn.XLOOKUP($B22,Kiertotunnus!$A$2:'Kiertotunnus'!$A$417,Kiertotunnus!L$2:'Kiertotunnus'!L$417)</f>
        <v>0</v>
      </c>
      <c r="N23" s="34" cm="1">
        <f t="array" ref="N23">_xlfn.XLOOKUP($B22,Kiertotunnus!$A$2:'Kiertotunnus'!$A$417,Kiertotunnus!M$2:'Kiertotunnus'!M$417)</f>
        <v>0</v>
      </c>
      <c r="O23" s="34" cm="1">
        <f t="array" ref="O23">_xlfn.XLOOKUP($B22,Kiertotunnus!$A$2:'Kiertotunnus'!$A$417,Kiertotunnus!N$2:'Kiertotunnus'!N$417)</f>
        <v>0</v>
      </c>
      <c r="P23" s="34" cm="1">
        <f t="array" ref="P23">_xlfn.XLOOKUP($B22,Kiertotunnus!$A$2:'Kiertotunnus'!$A$417,Kiertotunnus!O$2:'Kiertotunnus'!O$417)</f>
        <v>0</v>
      </c>
      <c r="Q23" s="34" cm="1">
        <f t="array" ref="Q23">_xlfn.XLOOKUP($B22,Kiertotunnus!$A$2:'Kiertotunnus'!$A$417,Kiertotunnus!P$2:'Kiertotunnus'!P$417)</f>
        <v>0</v>
      </c>
      <c r="R23" s="34" cm="1">
        <f t="array" ref="R23">_xlfn.XLOOKUP($B22,Kiertotunnus!$A$2:'Kiertotunnus'!$A$417,Kiertotunnus!Q$2:'Kiertotunnus'!Q$417)</f>
        <v>0</v>
      </c>
      <c r="S23" s="34" cm="1">
        <f t="array" ref="S23">_xlfn.XLOOKUP($B22,Kiertotunnus!$A$2:'Kiertotunnus'!$A$417,Kiertotunnus!R$2:'Kiertotunnus'!R$417)</f>
        <v>0</v>
      </c>
      <c r="T23" s="34" cm="1">
        <f t="array" ref="T23">_xlfn.XLOOKUP($B22,Kiertotunnus!$A$2:'Kiertotunnus'!$A$417,Kiertotunnus!S$2:'Kiertotunnus'!S$417)</f>
        <v>0</v>
      </c>
      <c r="U23" s="34" cm="1">
        <f t="array" ref="U23">_xlfn.XLOOKUP($B22,Kiertotunnus!$A$2:'Kiertotunnus'!$A$417,Kiertotunnus!T$2:'Kiertotunnus'!T$417)</f>
        <v>0</v>
      </c>
      <c r="V23" s="34" cm="1">
        <f t="array" ref="V23">_xlfn.XLOOKUP($B22,Kiertotunnus!$A$2:'Kiertotunnus'!$A$417,Kiertotunnus!U$2:'Kiertotunnus'!U$417)</f>
        <v>0</v>
      </c>
      <c r="W23" s="34" cm="1">
        <f t="array" ref="W23">_xlfn.XLOOKUP($B22,Kiertotunnus!$A$2:'Kiertotunnus'!$A$417,Kiertotunnus!V$2:'Kiertotunnus'!V$417)</f>
        <v>0</v>
      </c>
    </row>
    <row r="24" spans="1:23" ht="39.75" customHeight="1" x14ac:dyDescent="0.25">
      <c r="A24" s="20"/>
      <c r="B24" s="59" t="s">
        <v>96</v>
      </c>
      <c r="C24" s="65"/>
      <c r="D24" s="65"/>
      <c r="E24" s="65"/>
      <c r="F24" s="65"/>
      <c r="G24" s="65"/>
      <c r="H24" s="78"/>
      <c r="I24" s="78"/>
      <c r="J24" s="65"/>
      <c r="K24" s="65"/>
      <c r="L24" s="65"/>
      <c r="M24" s="65"/>
      <c r="N24" s="65"/>
      <c r="O24" s="78"/>
      <c r="P24" s="78"/>
      <c r="Q24" s="65"/>
      <c r="R24" s="65"/>
      <c r="S24" s="65"/>
      <c r="T24" s="65"/>
      <c r="U24" s="65"/>
      <c r="V24" s="78"/>
      <c r="W24" s="78"/>
    </row>
    <row r="25" spans="1:23" ht="54" customHeight="1" x14ac:dyDescent="0.25">
      <c r="A25" s="29"/>
      <c r="B25" s="77"/>
      <c r="C25" s="31" t="e" cm="1">
        <f t="array" ref="C25">_xlfn.XLOOKUP(TRUE,EXACT(Vuorokoodit!$A$3:Vuorokoodit!#REF!,C26),Vuorokoodit!$E$3:Vuorokoodit!#REF!,"Ei löydy")</f>
        <v>#REF!</v>
      </c>
      <c r="D25" s="31" t="e" cm="1">
        <f t="array" ref="D25">_xlfn.XLOOKUP(TRUE,EXACT(Vuorokoodit!$A$3:Vuorokoodit!#REF!,D26),Vuorokoodit!$E$3:Vuorokoodit!#REF!,"Ei löydy")</f>
        <v>#REF!</v>
      </c>
      <c r="E25" s="31" t="e" cm="1">
        <f t="array" ref="E25">_xlfn.XLOOKUP(TRUE,EXACT(Vuorokoodit!$A$3:Vuorokoodit!#REF!,E26),Vuorokoodit!$E$3:Vuorokoodit!#REF!,"Ei löydy")</f>
        <v>#REF!</v>
      </c>
      <c r="F25" s="31" t="e" cm="1">
        <f t="array" ref="F25">_xlfn.XLOOKUP(TRUE,EXACT(Vuorokoodit!$A$3:Vuorokoodit!#REF!,F26),Vuorokoodit!$E$3:Vuorokoodit!#REF!,"Ei löydy")</f>
        <v>#REF!</v>
      </c>
      <c r="G25" s="31" t="e" cm="1">
        <f t="array" ref="G25">_xlfn.XLOOKUP(TRUE,EXACT(Vuorokoodit!$A$3:Vuorokoodit!#REF!,G26),Vuorokoodit!$E$3:Vuorokoodit!#REF!,"Ei löydy")</f>
        <v>#REF!</v>
      </c>
      <c r="H25" s="31" t="e" cm="1">
        <f t="array" ref="H25">_xlfn.XLOOKUP(TRUE,EXACT(Vuorokoodit!$A$3:Vuorokoodit!#REF!,H26),Vuorokoodit!$E$3:Vuorokoodit!#REF!,"Ei löydy")</f>
        <v>#REF!</v>
      </c>
      <c r="I25" s="31" t="e" cm="1">
        <f t="array" ref="I25">_xlfn.XLOOKUP(TRUE,EXACT(Vuorokoodit!$A$3:Vuorokoodit!#REF!,I26),Vuorokoodit!$E$3:Vuorokoodit!#REF!,"Ei löydy")</f>
        <v>#REF!</v>
      </c>
      <c r="J25" s="31" t="e" cm="1">
        <f t="array" ref="J25">_xlfn.XLOOKUP(TRUE,EXACT(Vuorokoodit!$A$3:Vuorokoodit!#REF!,J26),Vuorokoodit!$E$3:Vuorokoodit!#REF!,"Ei löydy")</f>
        <v>#REF!</v>
      </c>
      <c r="K25" s="31" t="e" cm="1">
        <f t="array" ref="K25">_xlfn.XLOOKUP(TRUE,EXACT(Vuorokoodit!$A$3:Vuorokoodit!#REF!,K26),Vuorokoodit!$E$3:Vuorokoodit!#REF!,"Ei löydy")</f>
        <v>#REF!</v>
      </c>
      <c r="L25" s="31" t="e" cm="1">
        <f t="array" ref="L25">_xlfn.XLOOKUP(TRUE,EXACT(Vuorokoodit!$A$3:Vuorokoodit!#REF!,L26),Vuorokoodit!$E$3:Vuorokoodit!#REF!,"Ei löydy")</f>
        <v>#REF!</v>
      </c>
      <c r="M25" s="31" t="e" cm="1">
        <f t="array" ref="M25">_xlfn.XLOOKUP(TRUE,EXACT(Vuorokoodit!$A$3:Vuorokoodit!#REF!,M26),Vuorokoodit!$E$3:Vuorokoodit!#REF!,"Ei löydy")</f>
        <v>#REF!</v>
      </c>
      <c r="N25" s="31" t="e" cm="1">
        <f t="array" ref="N25">_xlfn.XLOOKUP(TRUE,EXACT(Vuorokoodit!$A$3:Vuorokoodit!#REF!,N26),Vuorokoodit!$E$3:Vuorokoodit!#REF!,"Ei löydy")</f>
        <v>#REF!</v>
      </c>
      <c r="O25" s="31" t="e" cm="1">
        <f t="array" ref="O25">_xlfn.XLOOKUP(TRUE,EXACT(Vuorokoodit!$A$3:Vuorokoodit!#REF!,O26),Vuorokoodit!$E$3:Vuorokoodit!#REF!,"Ei löydy")</f>
        <v>#REF!</v>
      </c>
      <c r="P25" s="31" t="e" cm="1">
        <f t="array" ref="P25">_xlfn.XLOOKUP(TRUE,EXACT(Vuorokoodit!$A$3:Vuorokoodit!#REF!,P26),Vuorokoodit!$E$3:Vuorokoodit!#REF!,"Ei löydy")</f>
        <v>#REF!</v>
      </c>
      <c r="Q25" s="31" t="e" cm="1">
        <f t="array" ref="Q25">_xlfn.XLOOKUP(TRUE,EXACT(Vuorokoodit!$A$3:Vuorokoodit!#REF!,Q26),Vuorokoodit!$E$3:Vuorokoodit!#REF!,"Ei löydy")</f>
        <v>#REF!</v>
      </c>
      <c r="R25" s="31" t="e" cm="1">
        <f t="array" ref="R25">_xlfn.XLOOKUP(TRUE,EXACT(Vuorokoodit!$A$3:Vuorokoodit!#REF!,R26),Vuorokoodit!$E$3:Vuorokoodit!#REF!,"Ei löydy")</f>
        <v>#REF!</v>
      </c>
      <c r="S25" s="31" t="e" cm="1">
        <f t="array" ref="S25">_xlfn.XLOOKUP(TRUE,EXACT(Vuorokoodit!$A$3:Vuorokoodit!#REF!,S26),Vuorokoodit!$E$3:Vuorokoodit!#REF!,"Ei löydy")</f>
        <v>#REF!</v>
      </c>
      <c r="T25" s="31" t="e" cm="1">
        <f t="array" ref="T25">_xlfn.XLOOKUP(TRUE,EXACT(Vuorokoodit!$A$3:Vuorokoodit!#REF!,T26),Vuorokoodit!$E$3:Vuorokoodit!#REF!,"Ei löydy")</f>
        <v>#REF!</v>
      </c>
      <c r="U25" s="31" t="e" cm="1">
        <f t="array" ref="U25">_xlfn.XLOOKUP(TRUE,EXACT(Vuorokoodit!$A$3:Vuorokoodit!#REF!,U26),Vuorokoodit!$E$3:Vuorokoodit!#REF!,"Ei löydy")</f>
        <v>#REF!</v>
      </c>
      <c r="V25" s="31" t="e" cm="1">
        <f t="array" ref="V25">_xlfn.XLOOKUP(TRUE,EXACT(Vuorokoodit!$A$3:Vuorokoodit!#REF!,V26),Vuorokoodit!$E$3:Vuorokoodit!#REF!,"Ei löydy")</f>
        <v>#REF!</v>
      </c>
      <c r="W25" s="31" t="e" cm="1">
        <f t="array" ref="W25">_xlfn.XLOOKUP(TRUE,EXACT(Vuorokoodit!$A$3:Vuorokoodit!#REF!,W26),Vuorokoodit!$E$3:Vuorokoodit!#REF!,"Ei löydy")</f>
        <v>#REF!</v>
      </c>
    </row>
    <row r="26" spans="1:23" ht="22.5" customHeight="1" x14ac:dyDescent="0.25">
      <c r="A26"/>
      <c r="B26" s="59"/>
      <c r="C26" s="34" cm="1">
        <f t="array" ref="C26">_xlfn.XLOOKUP($B25,Kiertotunnus!$A$2:'Kiertotunnus'!$A$417,Kiertotunnus!B$2:'Kiertotunnus'!B$417)</f>
        <v>0</v>
      </c>
      <c r="D26" s="34" cm="1">
        <f t="array" ref="D26">_xlfn.XLOOKUP($B25,Kiertotunnus!$A$2:'Kiertotunnus'!$A$417,Kiertotunnus!C$2:'Kiertotunnus'!C$417)</f>
        <v>0</v>
      </c>
      <c r="E26" s="34" cm="1">
        <f t="array" ref="E26">_xlfn.XLOOKUP($B25,Kiertotunnus!$A$2:'Kiertotunnus'!$A$417,Kiertotunnus!D$2:'Kiertotunnus'!D$417)</f>
        <v>0</v>
      </c>
      <c r="F26" s="34" cm="1">
        <f t="array" ref="F26">_xlfn.XLOOKUP($B25,Kiertotunnus!$A$2:'Kiertotunnus'!$A$417,Kiertotunnus!E$2:'Kiertotunnus'!E$417)</f>
        <v>0</v>
      </c>
      <c r="G26" s="34" cm="1">
        <f t="array" ref="G26">_xlfn.XLOOKUP($B25,Kiertotunnus!$A$2:'Kiertotunnus'!$A$417,Kiertotunnus!F$2:'Kiertotunnus'!F$417)</f>
        <v>0</v>
      </c>
      <c r="H26" s="34" cm="1">
        <f t="array" ref="H26">_xlfn.XLOOKUP($B25,Kiertotunnus!$A$2:'Kiertotunnus'!$A$417,Kiertotunnus!G$2:'Kiertotunnus'!G$417)</f>
        <v>0</v>
      </c>
      <c r="I26" s="34" cm="1">
        <f t="array" ref="I26">_xlfn.XLOOKUP($B25,Kiertotunnus!$A$2:'Kiertotunnus'!$A$417,Kiertotunnus!H$2:'Kiertotunnus'!H$417)</f>
        <v>0</v>
      </c>
      <c r="J26" s="34" cm="1">
        <f t="array" ref="J26">_xlfn.XLOOKUP($B25,Kiertotunnus!$A$2:'Kiertotunnus'!$A$417,Kiertotunnus!I$2:'Kiertotunnus'!I$417)</f>
        <v>0</v>
      </c>
      <c r="K26" s="34" cm="1">
        <f t="array" ref="K26">_xlfn.XLOOKUP($B25,Kiertotunnus!$A$2:'Kiertotunnus'!$A$417,Kiertotunnus!J$2:'Kiertotunnus'!J$417)</f>
        <v>0</v>
      </c>
      <c r="L26" s="34" cm="1">
        <f t="array" ref="L26">_xlfn.XLOOKUP($B25,Kiertotunnus!$A$2:'Kiertotunnus'!$A$417,Kiertotunnus!K$2:'Kiertotunnus'!K$417)</f>
        <v>0</v>
      </c>
      <c r="M26" s="34" cm="1">
        <f t="array" ref="M26">_xlfn.XLOOKUP($B25,Kiertotunnus!$A$2:'Kiertotunnus'!$A$417,Kiertotunnus!L$2:'Kiertotunnus'!L$417)</f>
        <v>0</v>
      </c>
      <c r="N26" s="34" cm="1">
        <f t="array" ref="N26">_xlfn.XLOOKUP($B25,Kiertotunnus!$A$2:'Kiertotunnus'!$A$417,Kiertotunnus!M$2:'Kiertotunnus'!M$417)</f>
        <v>0</v>
      </c>
      <c r="O26" s="34" cm="1">
        <f t="array" ref="O26">_xlfn.XLOOKUP($B25,Kiertotunnus!$A$2:'Kiertotunnus'!$A$417,Kiertotunnus!N$2:'Kiertotunnus'!N$417)</f>
        <v>0</v>
      </c>
      <c r="P26" s="34" cm="1">
        <f t="array" ref="P26">_xlfn.XLOOKUP($B25,Kiertotunnus!$A$2:'Kiertotunnus'!$A$417,Kiertotunnus!O$2:'Kiertotunnus'!O$417)</f>
        <v>0</v>
      </c>
      <c r="Q26" s="34" cm="1">
        <f t="array" ref="Q26">_xlfn.XLOOKUP($B25,Kiertotunnus!$A$2:'Kiertotunnus'!$A$417,Kiertotunnus!P$2:'Kiertotunnus'!P$417)</f>
        <v>0</v>
      </c>
      <c r="R26" s="34" cm="1">
        <f t="array" ref="R26">_xlfn.XLOOKUP($B25,Kiertotunnus!$A$2:'Kiertotunnus'!$A$417,Kiertotunnus!Q$2:'Kiertotunnus'!Q$417)</f>
        <v>0</v>
      </c>
      <c r="S26" s="34" cm="1">
        <f t="array" ref="S26">_xlfn.XLOOKUP($B25,Kiertotunnus!$A$2:'Kiertotunnus'!$A$417,Kiertotunnus!R$2:'Kiertotunnus'!R$417)</f>
        <v>0</v>
      </c>
      <c r="T26" s="34" cm="1">
        <f t="array" ref="T26">_xlfn.XLOOKUP($B25,Kiertotunnus!$A$2:'Kiertotunnus'!$A$417,Kiertotunnus!S$2:'Kiertotunnus'!S$417)</f>
        <v>0</v>
      </c>
      <c r="U26" s="34" cm="1">
        <f t="array" ref="U26">_xlfn.XLOOKUP($B25,Kiertotunnus!$A$2:'Kiertotunnus'!$A$417,Kiertotunnus!T$2:'Kiertotunnus'!T$417)</f>
        <v>0</v>
      </c>
      <c r="V26" s="34" cm="1">
        <f t="array" ref="V26">_xlfn.XLOOKUP($B25,Kiertotunnus!$A$2:'Kiertotunnus'!$A$417,Kiertotunnus!U$2:'Kiertotunnus'!U$417)</f>
        <v>0</v>
      </c>
      <c r="W26" s="34" cm="1">
        <f t="array" ref="W26">_xlfn.XLOOKUP($B25,Kiertotunnus!$A$2:'Kiertotunnus'!$A$417,Kiertotunnus!V$2:'Kiertotunnus'!V$417)</f>
        <v>0</v>
      </c>
    </row>
    <row r="27" spans="1:23" ht="39.75" customHeight="1" x14ac:dyDescent="0.25">
      <c r="A27" s="20"/>
      <c r="B27" s="59" t="s">
        <v>96</v>
      </c>
      <c r="C27" s="65"/>
      <c r="D27" s="65"/>
      <c r="E27" s="65"/>
      <c r="F27" s="65"/>
      <c r="G27" s="65"/>
      <c r="H27" s="78"/>
      <c r="I27" s="78"/>
      <c r="J27" s="65"/>
      <c r="K27" s="65"/>
      <c r="L27" s="65"/>
      <c r="M27" s="65"/>
      <c r="N27" s="65"/>
      <c r="O27" s="78"/>
      <c r="P27" s="78"/>
      <c r="Q27" s="65"/>
      <c r="R27" s="65"/>
      <c r="S27" s="65"/>
      <c r="T27" s="65"/>
      <c r="U27" s="65"/>
      <c r="V27" s="78"/>
      <c r="W27" s="78"/>
    </row>
    <row r="28" spans="1:23" ht="54" customHeight="1" x14ac:dyDescent="0.25">
      <c r="A28" s="29"/>
      <c r="B28" s="77"/>
      <c r="C28" s="31" t="e" cm="1">
        <f t="array" ref="C28">_xlfn.XLOOKUP(TRUE,EXACT(Vuorokoodit!$A$3:Vuorokoodit!#REF!,C29),Vuorokoodit!$E$3:Vuorokoodit!#REF!,"Ei löydy")</f>
        <v>#REF!</v>
      </c>
      <c r="D28" s="31" t="e" cm="1">
        <f t="array" ref="D28">_xlfn.XLOOKUP(TRUE,EXACT(Vuorokoodit!$A$3:Vuorokoodit!#REF!,D29),Vuorokoodit!$E$3:Vuorokoodit!#REF!,"Ei löydy")</f>
        <v>#REF!</v>
      </c>
      <c r="E28" s="31" t="e" cm="1">
        <f t="array" ref="E28">_xlfn.XLOOKUP(TRUE,EXACT(Vuorokoodit!$A$3:Vuorokoodit!#REF!,E29),Vuorokoodit!$E$3:Vuorokoodit!#REF!,"Ei löydy")</f>
        <v>#REF!</v>
      </c>
      <c r="F28" s="31" t="e" cm="1">
        <f t="array" ref="F28">_xlfn.XLOOKUP(TRUE,EXACT(Vuorokoodit!$A$3:Vuorokoodit!#REF!,F29),Vuorokoodit!$E$3:Vuorokoodit!#REF!,"Ei löydy")</f>
        <v>#REF!</v>
      </c>
      <c r="G28" s="31" t="e" cm="1">
        <f t="array" ref="G28">_xlfn.XLOOKUP(TRUE,EXACT(Vuorokoodit!$A$3:Vuorokoodit!#REF!,G29),Vuorokoodit!$E$3:Vuorokoodit!#REF!,"Ei löydy")</f>
        <v>#REF!</v>
      </c>
      <c r="H28" s="31" t="e" cm="1">
        <f t="array" ref="H28">_xlfn.XLOOKUP(TRUE,EXACT(Vuorokoodit!$A$3:Vuorokoodit!#REF!,H29),Vuorokoodit!$E$3:Vuorokoodit!#REF!,"Ei löydy")</f>
        <v>#REF!</v>
      </c>
      <c r="I28" s="31" t="e" cm="1">
        <f t="array" ref="I28">_xlfn.XLOOKUP(TRUE,EXACT(Vuorokoodit!$A$3:Vuorokoodit!#REF!,I29),Vuorokoodit!$E$3:Vuorokoodit!#REF!,"Ei löydy")</f>
        <v>#REF!</v>
      </c>
      <c r="J28" s="31" t="e" cm="1">
        <f t="array" ref="J28">_xlfn.XLOOKUP(TRUE,EXACT(Vuorokoodit!$A$3:Vuorokoodit!#REF!,J29),Vuorokoodit!$E$3:Vuorokoodit!#REF!,"Ei löydy")</f>
        <v>#REF!</v>
      </c>
      <c r="K28" s="31" t="e" cm="1">
        <f t="array" ref="K28">_xlfn.XLOOKUP(TRUE,EXACT(Vuorokoodit!$A$3:Vuorokoodit!#REF!,K29),Vuorokoodit!$E$3:Vuorokoodit!#REF!,"Ei löydy")</f>
        <v>#REF!</v>
      </c>
      <c r="L28" s="31" t="e" cm="1">
        <f t="array" ref="L28">_xlfn.XLOOKUP(TRUE,EXACT(Vuorokoodit!$A$3:Vuorokoodit!#REF!,L29),Vuorokoodit!$E$3:Vuorokoodit!#REF!,"Ei löydy")</f>
        <v>#REF!</v>
      </c>
      <c r="M28" s="31" t="e" cm="1">
        <f t="array" ref="M28">_xlfn.XLOOKUP(TRUE,EXACT(Vuorokoodit!$A$3:Vuorokoodit!#REF!,M29),Vuorokoodit!$E$3:Vuorokoodit!#REF!,"Ei löydy")</f>
        <v>#REF!</v>
      </c>
      <c r="N28" s="31" t="e" cm="1">
        <f t="array" ref="N28">_xlfn.XLOOKUP(TRUE,EXACT(Vuorokoodit!$A$3:Vuorokoodit!#REF!,N29),Vuorokoodit!$E$3:Vuorokoodit!#REF!,"Ei löydy")</f>
        <v>#REF!</v>
      </c>
      <c r="O28" s="31" t="e" cm="1">
        <f t="array" ref="O28">_xlfn.XLOOKUP(TRUE,EXACT(Vuorokoodit!$A$3:Vuorokoodit!#REF!,O29),Vuorokoodit!$E$3:Vuorokoodit!#REF!,"Ei löydy")</f>
        <v>#REF!</v>
      </c>
      <c r="P28" s="31" t="e" cm="1">
        <f t="array" ref="P28">_xlfn.XLOOKUP(TRUE,EXACT(Vuorokoodit!$A$3:Vuorokoodit!#REF!,P29),Vuorokoodit!$E$3:Vuorokoodit!#REF!,"Ei löydy")</f>
        <v>#REF!</v>
      </c>
      <c r="Q28" s="31" t="e" cm="1">
        <f t="array" ref="Q28">_xlfn.XLOOKUP(TRUE,EXACT(Vuorokoodit!$A$3:Vuorokoodit!#REF!,Q29),Vuorokoodit!$E$3:Vuorokoodit!#REF!,"Ei löydy")</f>
        <v>#REF!</v>
      </c>
      <c r="R28" s="31" t="e" cm="1">
        <f t="array" ref="R28">_xlfn.XLOOKUP(TRUE,EXACT(Vuorokoodit!$A$3:Vuorokoodit!#REF!,R29),Vuorokoodit!$E$3:Vuorokoodit!#REF!,"Ei löydy")</f>
        <v>#REF!</v>
      </c>
      <c r="S28" s="31" t="e" cm="1">
        <f t="array" ref="S28">_xlfn.XLOOKUP(TRUE,EXACT(Vuorokoodit!$A$3:Vuorokoodit!#REF!,S29),Vuorokoodit!$E$3:Vuorokoodit!#REF!,"Ei löydy")</f>
        <v>#REF!</v>
      </c>
      <c r="T28" s="31" t="e" cm="1">
        <f t="array" ref="T28">_xlfn.XLOOKUP(TRUE,EXACT(Vuorokoodit!$A$3:Vuorokoodit!#REF!,T29),Vuorokoodit!$E$3:Vuorokoodit!#REF!,"Ei löydy")</f>
        <v>#REF!</v>
      </c>
      <c r="U28" s="31" t="e" cm="1">
        <f t="array" ref="U28">_xlfn.XLOOKUP(TRUE,EXACT(Vuorokoodit!$A$3:Vuorokoodit!#REF!,U29),Vuorokoodit!$E$3:Vuorokoodit!#REF!,"Ei löydy")</f>
        <v>#REF!</v>
      </c>
      <c r="V28" s="31" t="e" cm="1">
        <f t="array" ref="V28">_xlfn.XLOOKUP(TRUE,EXACT(Vuorokoodit!$A$3:Vuorokoodit!#REF!,V29),Vuorokoodit!$E$3:Vuorokoodit!#REF!,"Ei löydy")</f>
        <v>#REF!</v>
      </c>
      <c r="W28" s="31" t="e" cm="1">
        <f t="array" ref="W28">_xlfn.XLOOKUP(TRUE,EXACT(Vuorokoodit!$A$3:Vuorokoodit!#REF!,W29),Vuorokoodit!$E$3:Vuorokoodit!#REF!,"Ei löydy")</f>
        <v>#REF!</v>
      </c>
    </row>
    <row r="29" spans="1:23" ht="22.5" customHeight="1" x14ac:dyDescent="0.25">
      <c r="A29"/>
      <c r="B29" s="59"/>
      <c r="C29" s="34" cm="1">
        <f t="array" ref="C29">_xlfn.XLOOKUP($B28,Kiertotunnus!$A$2:'Kiertotunnus'!$A$417,Kiertotunnus!B$2:'Kiertotunnus'!B$417)</f>
        <v>0</v>
      </c>
      <c r="D29" s="34" cm="1">
        <f t="array" ref="D29">_xlfn.XLOOKUP($B28,Kiertotunnus!$A$2:'Kiertotunnus'!$A$417,Kiertotunnus!C$2:'Kiertotunnus'!C$417)</f>
        <v>0</v>
      </c>
      <c r="E29" s="34" cm="1">
        <f t="array" ref="E29">_xlfn.XLOOKUP($B28,Kiertotunnus!$A$2:'Kiertotunnus'!$A$417,Kiertotunnus!D$2:'Kiertotunnus'!D$417)</f>
        <v>0</v>
      </c>
      <c r="F29" s="34" cm="1">
        <f t="array" ref="F29">_xlfn.XLOOKUP($B28,Kiertotunnus!$A$2:'Kiertotunnus'!$A$417,Kiertotunnus!E$2:'Kiertotunnus'!E$417)</f>
        <v>0</v>
      </c>
      <c r="G29" s="34" cm="1">
        <f t="array" ref="G29">_xlfn.XLOOKUP($B28,Kiertotunnus!$A$2:'Kiertotunnus'!$A$417,Kiertotunnus!F$2:'Kiertotunnus'!F$417)</f>
        <v>0</v>
      </c>
      <c r="H29" s="34" cm="1">
        <f t="array" ref="H29">_xlfn.XLOOKUP($B28,Kiertotunnus!$A$2:'Kiertotunnus'!$A$417,Kiertotunnus!G$2:'Kiertotunnus'!G$417)</f>
        <v>0</v>
      </c>
      <c r="I29" s="34" cm="1">
        <f t="array" ref="I29">_xlfn.XLOOKUP($B28,Kiertotunnus!$A$2:'Kiertotunnus'!$A$417,Kiertotunnus!H$2:'Kiertotunnus'!H$417)</f>
        <v>0</v>
      </c>
      <c r="J29" s="34" cm="1">
        <f t="array" ref="J29">_xlfn.XLOOKUP($B28,Kiertotunnus!$A$2:'Kiertotunnus'!$A$417,Kiertotunnus!I$2:'Kiertotunnus'!I$417)</f>
        <v>0</v>
      </c>
      <c r="K29" s="34" cm="1">
        <f t="array" ref="K29">_xlfn.XLOOKUP($B28,Kiertotunnus!$A$2:'Kiertotunnus'!$A$417,Kiertotunnus!J$2:'Kiertotunnus'!J$417)</f>
        <v>0</v>
      </c>
      <c r="L29" s="34" cm="1">
        <f t="array" ref="L29">_xlfn.XLOOKUP($B28,Kiertotunnus!$A$2:'Kiertotunnus'!$A$417,Kiertotunnus!K$2:'Kiertotunnus'!K$417)</f>
        <v>0</v>
      </c>
      <c r="M29" s="34" cm="1">
        <f t="array" ref="M29">_xlfn.XLOOKUP($B28,Kiertotunnus!$A$2:'Kiertotunnus'!$A$417,Kiertotunnus!L$2:'Kiertotunnus'!L$417)</f>
        <v>0</v>
      </c>
      <c r="N29" s="34" cm="1">
        <f t="array" ref="N29">_xlfn.XLOOKUP($B28,Kiertotunnus!$A$2:'Kiertotunnus'!$A$417,Kiertotunnus!M$2:'Kiertotunnus'!M$417)</f>
        <v>0</v>
      </c>
      <c r="O29" s="34" cm="1">
        <f t="array" ref="O29">_xlfn.XLOOKUP($B28,Kiertotunnus!$A$2:'Kiertotunnus'!$A$417,Kiertotunnus!N$2:'Kiertotunnus'!N$417)</f>
        <v>0</v>
      </c>
      <c r="P29" s="34" cm="1">
        <f t="array" ref="P29">_xlfn.XLOOKUP($B28,Kiertotunnus!$A$2:'Kiertotunnus'!$A$417,Kiertotunnus!O$2:'Kiertotunnus'!O$417)</f>
        <v>0</v>
      </c>
      <c r="Q29" s="34" cm="1">
        <f t="array" ref="Q29">_xlfn.XLOOKUP($B28,Kiertotunnus!$A$2:'Kiertotunnus'!$A$417,Kiertotunnus!P$2:'Kiertotunnus'!P$417)</f>
        <v>0</v>
      </c>
      <c r="R29" s="34" cm="1">
        <f t="array" ref="R29">_xlfn.XLOOKUP($B28,Kiertotunnus!$A$2:'Kiertotunnus'!$A$417,Kiertotunnus!Q$2:'Kiertotunnus'!Q$417)</f>
        <v>0</v>
      </c>
      <c r="S29" s="34" cm="1">
        <f t="array" ref="S29">_xlfn.XLOOKUP($B28,Kiertotunnus!$A$2:'Kiertotunnus'!$A$417,Kiertotunnus!R$2:'Kiertotunnus'!R$417)</f>
        <v>0</v>
      </c>
      <c r="T29" s="34" cm="1">
        <f t="array" ref="T29">_xlfn.XLOOKUP($B28,Kiertotunnus!$A$2:'Kiertotunnus'!$A$417,Kiertotunnus!S$2:'Kiertotunnus'!S$417)</f>
        <v>0</v>
      </c>
      <c r="U29" s="34" cm="1">
        <f t="array" ref="U29">_xlfn.XLOOKUP($B28,Kiertotunnus!$A$2:'Kiertotunnus'!$A$417,Kiertotunnus!T$2:'Kiertotunnus'!T$417)</f>
        <v>0</v>
      </c>
      <c r="V29" s="34" cm="1">
        <f t="array" ref="V29">_xlfn.XLOOKUP($B28,Kiertotunnus!$A$2:'Kiertotunnus'!$A$417,Kiertotunnus!U$2:'Kiertotunnus'!U$417)</f>
        <v>0</v>
      </c>
      <c r="W29" s="34" cm="1">
        <f t="array" ref="W29">_xlfn.XLOOKUP($B28,Kiertotunnus!$A$2:'Kiertotunnus'!$A$417,Kiertotunnus!V$2:'Kiertotunnus'!V$417)</f>
        <v>0</v>
      </c>
    </row>
    <row r="30" spans="1:23" ht="39.75" customHeight="1" x14ac:dyDescent="0.25">
      <c r="A30" s="20"/>
      <c r="B30" s="59" t="s">
        <v>96</v>
      </c>
      <c r="C30" s="65"/>
      <c r="D30" s="65"/>
      <c r="E30" s="65"/>
      <c r="F30" s="65"/>
      <c r="G30" s="65"/>
      <c r="H30" s="78"/>
      <c r="I30" s="78"/>
      <c r="J30" s="65"/>
      <c r="K30" s="65"/>
      <c r="L30" s="65"/>
      <c r="M30" s="65"/>
      <c r="N30" s="65"/>
      <c r="O30" s="78"/>
      <c r="P30" s="78"/>
      <c r="Q30" s="65"/>
      <c r="R30" s="65"/>
      <c r="S30" s="65"/>
      <c r="T30" s="65"/>
      <c r="U30" s="65"/>
      <c r="V30" s="78"/>
      <c r="W30" s="78"/>
    </row>
    <row r="31" spans="1:23" ht="54" customHeight="1" x14ac:dyDescent="0.25">
      <c r="A31" s="29"/>
      <c r="B31" s="77"/>
      <c r="C31" s="31" t="e" cm="1">
        <f t="array" ref="C31">_xlfn.XLOOKUP(TRUE,EXACT(Vuorokoodit!$A$3:Vuorokoodit!#REF!,C32),Vuorokoodit!$E$3:Vuorokoodit!#REF!,"Ei löydy")</f>
        <v>#REF!</v>
      </c>
      <c r="D31" s="31" t="e" cm="1">
        <f t="array" ref="D31">_xlfn.XLOOKUP(TRUE,EXACT(Vuorokoodit!$A$3:Vuorokoodit!#REF!,D32),Vuorokoodit!$E$3:Vuorokoodit!#REF!,"Ei löydy")</f>
        <v>#REF!</v>
      </c>
      <c r="E31" s="31" t="e" cm="1">
        <f t="array" ref="E31">_xlfn.XLOOKUP(TRUE,EXACT(Vuorokoodit!$A$3:Vuorokoodit!#REF!,E32),Vuorokoodit!$E$3:Vuorokoodit!#REF!,"Ei löydy")</f>
        <v>#REF!</v>
      </c>
      <c r="F31" s="31" t="e" cm="1">
        <f t="array" ref="F31">_xlfn.XLOOKUP(TRUE,EXACT(Vuorokoodit!$A$3:Vuorokoodit!#REF!,F32),Vuorokoodit!$E$3:Vuorokoodit!#REF!,"Ei löydy")</f>
        <v>#REF!</v>
      </c>
      <c r="G31" s="31" t="e" cm="1">
        <f t="array" ref="G31">_xlfn.XLOOKUP(TRUE,EXACT(Vuorokoodit!$A$3:Vuorokoodit!#REF!,G32),Vuorokoodit!$E$3:Vuorokoodit!#REF!,"Ei löydy")</f>
        <v>#REF!</v>
      </c>
      <c r="H31" s="31" t="e" cm="1">
        <f t="array" ref="H31">_xlfn.XLOOKUP(TRUE,EXACT(Vuorokoodit!$A$3:Vuorokoodit!#REF!,H32),Vuorokoodit!$E$3:Vuorokoodit!#REF!,"Ei löydy")</f>
        <v>#REF!</v>
      </c>
      <c r="I31" s="31" t="e" cm="1">
        <f t="array" ref="I31">_xlfn.XLOOKUP(TRUE,EXACT(Vuorokoodit!$A$3:Vuorokoodit!#REF!,I32),Vuorokoodit!$E$3:Vuorokoodit!#REF!,"Ei löydy")</f>
        <v>#REF!</v>
      </c>
      <c r="J31" s="31" t="e" cm="1">
        <f t="array" ref="J31">_xlfn.XLOOKUP(TRUE,EXACT(Vuorokoodit!$A$3:Vuorokoodit!#REF!,J32),Vuorokoodit!$E$3:Vuorokoodit!#REF!,"Ei löydy")</f>
        <v>#REF!</v>
      </c>
      <c r="K31" s="31" t="e" cm="1">
        <f t="array" ref="K31">_xlfn.XLOOKUP(TRUE,EXACT(Vuorokoodit!$A$3:Vuorokoodit!#REF!,K32),Vuorokoodit!$E$3:Vuorokoodit!#REF!,"Ei löydy")</f>
        <v>#REF!</v>
      </c>
      <c r="L31" s="31" t="e" cm="1">
        <f t="array" ref="L31">_xlfn.XLOOKUP(TRUE,EXACT(Vuorokoodit!$A$3:Vuorokoodit!#REF!,L32),Vuorokoodit!$E$3:Vuorokoodit!#REF!,"Ei löydy")</f>
        <v>#REF!</v>
      </c>
      <c r="M31" s="31" t="e" cm="1">
        <f t="array" ref="M31">_xlfn.XLOOKUP(TRUE,EXACT(Vuorokoodit!$A$3:Vuorokoodit!#REF!,M32),Vuorokoodit!$E$3:Vuorokoodit!#REF!,"Ei löydy")</f>
        <v>#REF!</v>
      </c>
      <c r="N31" s="31" t="e" cm="1">
        <f t="array" ref="N31">_xlfn.XLOOKUP(TRUE,EXACT(Vuorokoodit!$A$3:Vuorokoodit!#REF!,N32),Vuorokoodit!$E$3:Vuorokoodit!#REF!,"Ei löydy")</f>
        <v>#REF!</v>
      </c>
      <c r="O31" s="31" t="e" cm="1">
        <f t="array" ref="O31">_xlfn.XLOOKUP(TRUE,EXACT(Vuorokoodit!$A$3:Vuorokoodit!#REF!,O32),Vuorokoodit!$E$3:Vuorokoodit!#REF!,"Ei löydy")</f>
        <v>#REF!</v>
      </c>
      <c r="P31" s="31" t="e" cm="1">
        <f t="array" ref="P31">_xlfn.XLOOKUP(TRUE,EXACT(Vuorokoodit!$A$3:Vuorokoodit!#REF!,P32),Vuorokoodit!$E$3:Vuorokoodit!#REF!,"Ei löydy")</f>
        <v>#REF!</v>
      </c>
      <c r="Q31" s="31" t="e" cm="1">
        <f t="array" ref="Q31">_xlfn.XLOOKUP(TRUE,EXACT(Vuorokoodit!$A$3:Vuorokoodit!#REF!,Q32),Vuorokoodit!$E$3:Vuorokoodit!#REF!,"Ei löydy")</f>
        <v>#REF!</v>
      </c>
      <c r="R31" s="31" t="e" cm="1">
        <f t="array" ref="R31">_xlfn.XLOOKUP(TRUE,EXACT(Vuorokoodit!$A$3:Vuorokoodit!#REF!,R32),Vuorokoodit!$E$3:Vuorokoodit!#REF!,"Ei löydy")</f>
        <v>#REF!</v>
      </c>
      <c r="S31" s="31" t="e" cm="1">
        <f t="array" ref="S31">_xlfn.XLOOKUP(TRUE,EXACT(Vuorokoodit!$A$3:Vuorokoodit!#REF!,S32),Vuorokoodit!$E$3:Vuorokoodit!#REF!,"Ei löydy")</f>
        <v>#REF!</v>
      </c>
      <c r="T31" s="31" t="e" cm="1">
        <f t="array" ref="T31">_xlfn.XLOOKUP(TRUE,EXACT(Vuorokoodit!$A$3:Vuorokoodit!#REF!,T32),Vuorokoodit!$E$3:Vuorokoodit!#REF!,"Ei löydy")</f>
        <v>#REF!</v>
      </c>
      <c r="U31" s="31" t="e" cm="1">
        <f t="array" ref="U31">_xlfn.XLOOKUP(TRUE,EXACT(Vuorokoodit!$A$3:Vuorokoodit!#REF!,U32),Vuorokoodit!$E$3:Vuorokoodit!#REF!,"Ei löydy")</f>
        <v>#REF!</v>
      </c>
      <c r="V31" s="31" t="e" cm="1">
        <f t="array" ref="V31">_xlfn.XLOOKUP(TRUE,EXACT(Vuorokoodit!$A$3:Vuorokoodit!#REF!,V32),Vuorokoodit!$E$3:Vuorokoodit!#REF!,"Ei löydy")</f>
        <v>#REF!</v>
      </c>
      <c r="W31" s="31" t="e" cm="1">
        <f t="array" ref="W31">_xlfn.XLOOKUP(TRUE,EXACT(Vuorokoodit!$A$3:Vuorokoodit!#REF!,W32),Vuorokoodit!$E$3:Vuorokoodit!#REF!,"Ei löydy")</f>
        <v>#REF!</v>
      </c>
    </row>
    <row r="32" spans="1:23" ht="22.5" customHeight="1" x14ac:dyDescent="0.25">
      <c r="A32"/>
      <c r="B32" s="59"/>
      <c r="C32" s="34" cm="1">
        <f t="array" ref="C32">_xlfn.XLOOKUP($B31,Kiertotunnus!$A$2:'Kiertotunnus'!$A$417,Kiertotunnus!B$2:'Kiertotunnus'!B$417)</f>
        <v>0</v>
      </c>
      <c r="D32" s="34" cm="1">
        <f t="array" ref="D32">_xlfn.XLOOKUP($B31,Kiertotunnus!$A$2:'Kiertotunnus'!$A$417,Kiertotunnus!C$2:'Kiertotunnus'!C$417)</f>
        <v>0</v>
      </c>
      <c r="E32" s="34" cm="1">
        <f t="array" ref="E32">_xlfn.XLOOKUP($B31,Kiertotunnus!$A$2:'Kiertotunnus'!$A$417,Kiertotunnus!D$2:'Kiertotunnus'!D$417)</f>
        <v>0</v>
      </c>
      <c r="F32" s="34" cm="1">
        <f t="array" ref="F32">_xlfn.XLOOKUP($B31,Kiertotunnus!$A$2:'Kiertotunnus'!$A$417,Kiertotunnus!E$2:'Kiertotunnus'!E$417)</f>
        <v>0</v>
      </c>
      <c r="G32" s="34" cm="1">
        <f t="array" ref="G32">_xlfn.XLOOKUP($B31,Kiertotunnus!$A$2:'Kiertotunnus'!$A$417,Kiertotunnus!F$2:'Kiertotunnus'!F$417)</f>
        <v>0</v>
      </c>
      <c r="H32" s="34" cm="1">
        <f t="array" ref="H32">_xlfn.XLOOKUP($B31,Kiertotunnus!$A$2:'Kiertotunnus'!$A$417,Kiertotunnus!G$2:'Kiertotunnus'!G$417)</f>
        <v>0</v>
      </c>
      <c r="I32" s="34" cm="1">
        <f t="array" ref="I32">_xlfn.XLOOKUP($B31,Kiertotunnus!$A$2:'Kiertotunnus'!$A$417,Kiertotunnus!H$2:'Kiertotunnus'!H$417)</f>
        <v>0</v>
      </c>
      <c r="J32" s="34" cm="1">
        <f t="array" ref="J32">_xlfn.XLOOKUP($B31,Kiertotunnus!$A$2:'Kiertotunnus'!$A$417,Kiertotunnus!I$2:'Kiertotunnus'!I$417)</f>
        <v>0</v>
      </c>
      <c r="K32" s="34" cm="1">
        <f t="array" ref="K32">_xlfn.XLOOKUP($B31,Kiertotunnus!$A$2:'Kiertotunnus'!$A$417,Kiertotunnus!J$2:'Kiertotunnus'!J$417)</f>
        <v>0</v>
      </c>
      <c r="L32" s="34" cm="1">
        <f t="array" ref="L32">_xlfn.XLOOKUP($B31,Kiertotunnus!$A$2:'Kiertotunnus'!$A$417,Kiertotunnus!K$2:'Kiertotunnus'!K$417)</f>
        <v>0</v>
      </c>
      <c r="M32" s="34" cm="1">
        <f t="array" ref="M32">_xlfn.XLOOKUP($B31,Kiertotunnus!$A$2:'Kiertotunnus'!$A$417,Kiertotunnus!L$2:'Kiertotunnus'!L$417)</f>
        <v>0</v>
      </c>
      <c r="N32" s="34" cm="1">
        <f t="array" ref="N32">_xlfn.XLOOKUP($B31,Kiertotunnus!$A$2:'Kiertotunnus'!$A$417,Kiertotunnus!M$2:'Kiertotunnus'!M$417)</f>
        <v>0</v>
      </c>
      <c r="O32" s="34" cm="1">
        <f t="array" ref="O32">_xlfn.XLOOKUP($B31,Kiertotunnus!$A$2:'Kiertotunnus'!$A$417,Kiertotunnus!N$2:'Kiertotunnus'!N$417)</f>
        <v>0</v>
      </c>
      <c r="P32" s="34" cm="1">
        <f t="array" ref="P32">_xlfn.XLOOKUP($B31,Kiertotunnus!$A$2:'Kiertotunnus'!$A$417,Kiertotunnus!O$2:'Kiertotunnus'!O$417)</f>
        <v>0</v>
      </c>
      <c r="Q32" s="34" cm="1">
        <f t="array" ref="Q32">_xlfn.XLOOKUP($B31,Kiertotunnus!$A$2:'Kiertotunnus'!$A$417,Kiertotunnus!P$2:'Kiertotunnus'!P$417)</f>
        <v>0</v>
      </c>
      <c r="R32" s="34" cm="1">
        <f t="array" ref="R32">_xlfn.XLOOKUP($B31,Kiertotunnus!$A$2:'Kiertotunnus'!$A$417,Kiertotunnus!Q$2:'Kiertotunnus'!Q$417)</f>
        <v>0</v>
      </c>
      <c r="S32" s="34" cm="1">
        <f t="array" ref="S32">_xlfn.XLOOKUP($B31,Kiertotunnus!$A$2:'Kiertotunnus'!$A$417,Kiertotunnus!R$2:'Kiertotunnus'!R$417)</f>
        <v>0</v>
      </c>
      <c r="T32" s="34" cm="1">
        <f t="array" ref="T32">_xlfn.XLOOKUP($B31,Kiertotunnus!$A$2:'Kiertotunnus'!$A$417,Kiertotunnus!S$2:'Kiertotunnus'!S$417)</f>
        <v>0</v>
      </c>
      <c r="U32" s="34" cm="1">
        <f t="array" ref="U32">_xlfn.XLOOKUP($B31,Kiertotunnus!$A$2:'Kiertotunnus'!$A$417,Kiertotunnus!T$2:'Kiertotunnus'!T$417)</f>
        <v>0</v>
      </c>
      <c r="V32" s="34" cm="1">
        <f t="array" ref="V32">_xlfn.XLOOKUP($B31,Kiertotunnus!$A$2:'Kiertotunnus'!$A$417,Kiertotunnus!U$2:'Kiertotunnus'!U$417)</f>
        <v>0</v>
      </c>
      <c r="W32" s="34" cm="1">
        <f t="array" ref="W32">_xlfn.XLOOKUP($B31,Kiertotunnus!$A$2:'Kiertotunnus'!$A$417,Kiertotunnus!V$2:'Kiertotunnus'!V$417)</f>
        <v>0</v>
      </c>
    </row>
    <row r="33" spans="1:23" ht="39.75" customHeight="1" x14ac:dyDescent="0.25">
      <c r="A33" s="20"/>
      <c r="B33" s="59" t="s">
        <v>96</v>
      </c>
      <c r="C33" s="65"/>
      <c r="D33" s="65"/>
      <c r="E33" s="65"/>
      <c r="F33" s="65"/>
      <c r="G33" s="65"/>
      <c r="H33" s="78"/>
      <c r="I33" s="78"/>
      <c r="J33" s="65"/>
      <c r="K33" s="65"/>
      <c r="L33" s="65"/>
      <c r="M33" s="65"/>
      <c r="N33" s="65"/>
      <c r="O33" s="78"/>
      <c r="P33" s="78"/>
      <c r="Q33" s="65"/>
      <c r="R33" s="65"/>
      <c r="S33" s="65"/>
      <c r="T33" s="65"/>
      <c r="U33" s="65"/>
      <c r="V33" s="78"/>
      <c r="W33" s="78"/>
    </row>
    <row r="34" spans="1:23" ht="54" customHeight="1" x14ac:dyDescent="0.25">
      <c r="A34" s="29"/>
      <c r="B34" s="77"/>
      <c r="C34" s="31" t="e" cm="1">
        <f t="array" ref="C34">_xlfn.XLOOKUP(TRUE,EXACT(Vuorokoodit!$A$3:Vuorokoodit!#REF!,C35),Vuorokoodit!$E$3:Vuorokoodit!#REF!,"Ei löydy")</f>
        <v>#REF!</v>
      </c>
      <c r="D34" s="31" t="e" cm="1">
        <f t="array" ref="D34">_xlfn.XLOOKUP(TRUE,EXACT(Vuorokoodit!$A$3:Vuorokoodit!#REF!,D35),Vuorokoodit!$E$3:Vuorokoodit!#REF!,"Ei löydy")</f>
        <v>#REF!</v>
      </c>
      <c r="E34" s="31" t="e" cm="1">
        <f t="array" ref="E34">_xlfn.XLOOKUP(TRUE,EXACT(Vuorokoodit!$A$3:Vuorokoodit!#REF!,E35),Vuorokoodit!$E$3:Vuorokoodit!#REF!,"Ei löydy")</f>
        <v>#REF!</v>
      </c>
      <c r="F34" s="31" t="e" cm="1">
        <f t="array" ref="F34">_xlfn.XLOOKUP(TRUE,EXACT(Vuorokoodit!$A$3:Vuorokoodit!#REF!,F35),Vuorokoodit!$E$3:Vuorokoodit!#REF!,"Ei löydy")</f>
        <v>#REF!</v>
      </c>
      <c r="G34" s="31" t="e" cm="1">
        <f t="array" ref="G34">_xlfn.XLOOKUP(TRUE,EXACT(Vuorokoodit!$A$3:Vuorokoodit!#REF!,G35),Vuorokoodit!$E$3:Vuorokoodit!#REF!,"Ei löydy")</f>
        <v>#REF!</v>
      </c>
      <c r="H34" s="31" t="e" cm="1">
        <f t="array" ref="H34">_xlfn.XLOOKUP(TRUE,EXACT(Vuorokoodit!$A$3:Vuorokoodit!#REF!,H35),Vuorokoodit!$E$3:Vuorokoodit!#REF!,"Ei löydy")</f>
        <v>#REF!</v>
      </c>
      <c r="I34" s="31" t="e" cm="1">
        <f t="array" ref="I34">_xlfn.XLOOKUP(TRUE,EXACT(Vuorokoodit!$A$3:Vuorokoodit!#REF!,I35),Vuorokoodit!$E$3:Vuorokoodit!#REF!,"Ei löydy")</f>
        <v>#REF!</v>
      </c>
      <c r="J34" s="31" t="e" cm="1">
        <f t="array" ref="J34">_xlfn.XLOOKUP(TRUE,EXACT(Vuorokoodit!$A$3:Vuorokoodit!#REF!,J35),Vuorokoodit!$E$3:Vuorokoodit!#REF!,"Ei löydy")</f>
        <v>#REF!</v>
      </c>
      <c r="K34" s="31" t="e" cm="1">
        <f t="array" ref="K34">_xlfn.XLOOKUP(TRUE,EXACT(Vuorokoodit!$A$3:Vuorokoodit!#REF!,K35),Vuorokoodit!$E$3:Vuorokoodit!#REF!,"Ei löydy")</f>
        <v>#REF!</v>
      </c>
      <c r="L34" s="31" t="e" cm="1">
        <f t="array" ref="L34">_xlfn.XLOOKUP(TRUE,EXACT(Vuorokoodit!$A$3:Vuorokoodit!#REF!,L35),Vuorokoodit!$E$3:Vuorokoodit!#REF!,"Ei löydy")</f>
        <v>#REF!</v>
      </c>
      <c r="M34" s="31" t="e" cm="1">
        <f t="array" ref="M34">_xlfn.XLOOKUP(TRUE,EXACT(Vuorokoodit!$A$3:Vuorokoodit!#REF!,M35),Vuorokoodit!$E$3:Vuorokoodit!#REF!,"Ei löydy")</f>
        <v>#REF!</v>
      </c>
      <c r="N34" s="31" t="e" cm="1">
        <f t="array" ref="N34">_xlfn.XLOOKUP(TRUE,EXACT(Vuorokoodit!$A$3:Vuorokoodit!#REF!,N35),Vuorokoodit!$E$3:Vuorokoodit!#REF!,"Ei löydy")</f>
        <v>#REF!</v>
      </c>
      <c r="O34" s="31" t="e" cm="1">
        <f t="array" ref="O34">_xlfn.XLOOKUP(TRUE,EXACT(Vuorokoodit!$A$3:Vuorokoodit!#REF!,O35),Vuorokoodit!$E$3:Vuorokoodit!#REF!,"Ei löydy")</f>
        <v>#REF!</v>
      </c>
      <c r="P34" s="31" t="e" cm="1">
        <f t="array" ref="P34">_xlfn.XLOOKUP(TRUE,EXACT(Vuorokoodit!$A$3:Vuorokoodit!#REF!,P35),Vuorokoodit!$E$3:Vuorokoodit!#REF!,"Ei löydy")</f>
        <v>#REF!</v>
      </c>
      <c r="Q34" s="31" t="e" cm="1">
        <f t="array" ref="Q34">_xlfn.XLOOKUP(TRUE,EXACT(Vuorokoodit!$A$3:Vuorokoodit!#REF!,Q35),Vuorokoodit!$E$3:Vuorokoodit!#REF!,"Ei löydy")</f>
        <v>#REF!</v>
      </c>
      <c r="R34" s="31" t="e" cm="1">
        <f t="array" ref="R34">_xlfn.XLOOKUP(TRUE,EXACT(Vuorokoodit!$A$3:Vuorokoodit!#REF!,R35),Vuorokoodit!$E$3:Vuorokoodit!#REF!,"Ei löydy")</f>
        <v>#REF!</v>
      </c>
      <c r="S34" s="31" t="e" cm="1">
        <f t="array" ref="S34">_xlfn.XLOOKUP(TRUE,EXACT(Vuorokoodit!$A$3:Vuorokoodit!#REF!,S35),Vuorokoodit!$E$3:Vuorokoodit!#REF!,"Ei löydy")</f>
        <v>#REF!</v>
      </c>
      <c r="T34" s="31" t="e" cm="1">
        <f t="array" ref="T34">_xlfn.XLOOKUP(TRUE,EXACT(Vuorokoodit!$A$3:Vuorokoodit!#REF!,T35),Vuorokoodit!$E$3:Vuorokoodit!#REF!,"Ei löydy")</f>
        <v>#REF!</v>
      </c>
      <c r="U34" s="31" t="e" cm="1">
        <f t="array" ref="U34">_xlfn.XLOOKUP(TRUE,EXACT(Vuorokoodit!$A$3:Vuorokoodit!#REF!,U35),Vuorokoodit!$E$3:Vuorokoodit!#REF!,"Ei löydy")</f>
        <v>#REF!</v>
      </c>
      <c r="V34" s="31" t="e" cm="1">
        <f t="array" ref="V34">_xlfn.XLOOKUP(TRUE,EXACT(Vuorokoodit!$A$3:Vuorokoodit!#REF!,V35),Vuorokoodit!$E$3:Vuorokoodit!#REF!,"Ei löydy")</f>
        <v>#REF!</v>
      </c>
      <c r="W34" s="31" t="e" cm="1">
        <f t="array" ref="W34">_xlfn.XLOOKUP(TRUE,EXACT(Vuorokoodit!$A$3:Vuorokoodit!#REF!,W35),Vuorokoodit!$E$3:Vuorokoodit!#REF!,"Ei löydy")</f>
        <v>#REF!</v>
      </c>
    </row>
    <row r="35" spans="1:23" ht="22.5" customHeight="1" x14ac:dyDescent="0.25">
      <c r="A35"/>
      <c r="B35" s="59"/>
      <c r="C35" s="34" cm="1">
        <f t="array" ref="C35">_xlfn.XLOOKUP($B34,Kiertotunnus!$A$2:'Kiertotunnus'!$A$417,Kiertotunnus!B$2:'Kiertotunnus'!B$417)</f>
        <v>0</v>
      </c>
      <c r="D35" s="34" cm="1">
        <f t="array" ref="D35">_xlfn.XLOOKUP($B34,Kiertotunnus!$A$2:'Kiertotunnus'!$A$417,Kiertotunnus!C$2:'Kiertotunnus'!C$417)</f>
        <v>0</v>
      </c>
      <c r="E35" s="34" cm="1">
        <f t="array" ref="E35">_xlfn.XLOOKUP($B34,Kiertotunnus!$A$2:'Kiertotunnus'!$A$417,Kiertotunnus!D$2:'Kiertotunnus'!D$417)</f>
        <v>0</v>
      </c>
      <c r="F35" s="34" cm="1">
        <f t="array" ref="F35">_xlfn.XLOOKUP($B34,Kiertotunnus!$A$2:'Kiertotunnus'!$A$417,Kiertotunnus!E$2:'Kiertotunnus'!E$417)</f>
        <v>0</v>
      </c>
      <c r="G35" s="34" cm="1">
        <f t="array" ref="G35">_xlfn.XLOOKUP($B34,Kiertotunnus!$A$2:'Kiertotunnus'!$A$417,Kiertotunnus!F$2:'Kiertotunnus'!F$417)</f>
        <v>0</v>
      </c>
      <c r="H35" s="34" cm="1">
        <f t="array" ref="H35">_xlfn.XLOOKUP($B34,Kiertotunnus!$A$2:'Kiertotunnus'!$A$417,Kiertotunnus!G$2:'Kiertotunnus'!G$417)</f>
        <v>0</v>
      </c>
      <c r="I35" s="34" cm="1">
        <f t="array" ref="I35">_xlfn.XLOOKUP($B34,Kiertotunnus!$A$2:'Kiertotunnus'!$A$417,Kiertotunnus!H$2:'Kiertotunnus'!H$417)</f>
        <v>0</v>
      </c>
      <c r="J35" s="34" cm="1">
        <f t="array" ref="J35">_xlfn.XLOOKUP($B34,Kiertotunnus!$A$2:'Kiertotunnus'!$A$417,Kiertotunnus!I$2:'Kiertotunnus'!I$417)</f>
        <v>0</v>
      </c>
      <c r="K35" s="34" cm="1">
        <f t="array" ref="K35">_xlfn.XLOOKUP($B34,Kiertotunnus!$A$2:'Kiertotunnus'!$A$417,Kiertotunnus!J$2:'Kiertotunnus'!J$417)</f>
        <v>0</v>
      </c>
      <c r="L35" s="34" cm="1">
        <f t="array" ref="L35">_xlfn.XLOOKUP($B34,Kiertotunnus!$A$2:'Kiertotunnus'!$A$417,Kiertotunnus!K$2:'Kiertotunnus'!K$417)</f>
        <v>0</v>
      </c>
      <c r="M35" s="34" cm="1">
        <f t="array" ref="M35">_xlfn.XLOOKUP($B34,Kiertotunnus!$A$2:'Kiertotunnus'!$A$417,Kiertotunnus!L$2:'Kiertotunnus'!L$417)</f>
        <v>0</v>
      </c>
      <c r="N35" s="34" cm="1">
        <f t="array" ref="N35">_xlfn.XLOOKUP($B34,Kiertotunnus!$A$2:'Kiertotunnus'!$A$417,Kiertotunnus!M$2:'Kiertotunnus'!M$417)</f>
        <v>0</v>
      </c>
      <c r="O35" s="34" cm="1">
        <f t="array" ref="O35">_xlfn.XLOOKUP($B34,Kiertotunnus!$A$2:'Kiertotunnus'!$A$417,Kiertotunnus!N$2:'Kiertotunnus'!N$417)</f>
        <v>0</v>
      </c>
      <c r="P35" s="34" cm="1">
        <f t="array" ref="P35">_xlfn.XLOOKUP($B34,Kiertotunnus!$A$2:'Kiertotunnus'!$A$417,Kiertotunnus!O$2:'Kiertotunnus'!O$417)</f>
        <v>0</v>
      </c>
      <c r="Q35" s="34" cm="1">
        <f t="array" ref="Q35">_xlfn.XLOOKUP($B34,Kiertotunnus!$A$2:'Kiertotunnus'!$A$417,Kiertotunnus!P$2:'Kiertotunnus'!P$417)</f>
        <v>0</v>
      </c>
      <c r="R35" s="34" cm="1">
        <f t="array" ref="R35">_xlfn.XLOOKUP($B34,Kiertotunnus!$A$2:'Kiertotunnus'!$A$417,Kiertotunnus!Q$2:'Kiertotunnus'!Q$417)</f>
        <v>0</v>
      </c>
      <c r="S35" s="34" cm="1">
        <f t="array" ref="S35">_xlfn.XLOOKUP($B34,Kiertotunnus!$A$2:'Kiertotunnus'!$A$417,Kiertotunnus!R$2:'Kiertotunnus'!R$417)</f>
        <v>0</v>
      </c>
      <c r="T35" s="34" cm="1">
        <f t="array" ref="T35">_xlfn.XLOOKUP($B34,Kiertotunnus!$A$2:'Kiertotunnus'!$A$417,Kiertotunnus!S$2:'Kiertotunnus'!S$417)</f>
        <v>0</v>
      </c>
      <c r="U35" s="34" cm="1">
        <f t="array" ref="U35">_xlfn.XLOOKUP($B34,Kiertotunnus!$A$2:'Kiertotunnus'!$A$417,Kiertotunnus!T$2:'Kiertotunnus'!T$417)</f>
        <v>0</v>
      </c>
      <c r="V35" s="34" cm="1">
        <f t="array" ref="V35">_xlfn.XLOOKUP($B34,Kiertotunnus!$A$2:'Kiertotunnus'!$A$417,Kiertotunnus!U$2:'Kiertotunnus'!U$417)</f>
        <v>0</v>
      </c>
      <c r="W35" s="34" cm="1">
        <f t="array" ref="W35">_xlfn.XLOOKUP($B34,Kiertotunnus!$A$2:'Kiertotunnus'!$A$417,Kiertotunnus!V$2:'Kiertotunnus'!V$417)</f>
        <v>0</v>
      </c>
    </row>
    <row r="36" spans="1:23" ht="39.75" customHeight="1" x14ac:dyDescent="0.25">
      <c r="A36" s="20"/>
      <c r="B36" s="59" t="s">
        <v>96</v>
      </c>
      <c r="C36" s="65"/>
      <c r="D36" s="65"/>
      <c r="E36" s="65"/>
      <c r="F36" s="65"/>
      <c r="G36" s="65"/>
      <c r="H36" s="78"/>
      <c r="I36" s="78"/>
      <c r="J36" s="65"/>
      <c r="K36" s="65"/>
      <c r="L36" s="65"/>
      <c r="M36" s="65"/>
      <c r="N36" s="65"/>
      <c r="O36" s="78"/>
      <c r="P36" s="78"/>
      <c r="Q36" s="65"/>
      <c r="R36" s="65"/>
      <c r="S36" s="65"/>
      <c r="T36" s="65"/>
      <c r="U36" s="65"/>
      <c r="V36" s="78"/>
      <c r="W36" s="78"/>
    </row>
    <row r="37" spans="1:23" ht="54" customHeight="1" x14ac:dyDescent="0.25">
      <c r="A37" s="29"/>
      <c r="B37" s="77"/>
      <c r="C37" s="31" t="e" cm="1">
        <f t="array" ref="C37">_xlfn.XLOOKUP(TRUE,EXACT(Vuorokoodit!$A$3:Vuorokoodit!#REF!,C38),Vuorokoodit!$E$3:Vuorokoodit!#REF!,"Ei löydy")</f>
        <v>#REF!</v>
      </c>
      <c r="D37" s="31" t="e" cm="1">
        <f t="array" ref="D37">_xlfn.XLOOKUP(TRUE,EXACT(Vuorokoodit!$A$3:Vuorokoodit!#REF!,D38),Vuorokoodit!$E$3:Vuorokoodit!#REF!,"Ei löydy")</f>
        <v>#REF!</v>
      </c>
      <c r="E37" s="31" t="e" cm="1">
        <f t="array" ref="E37">_xlfn.XLOOKUP(TRUE,EXACT(Vuorokoodit!$A$3:Vuorokoodit!#REF!,E38),Vuorokoodit!$E$3:Vuorokoodit!#REF!,"Ei löydy")</f>
        <v>#REF!</v>
      </c>
      <c r="F37" s="31" t="e" cm="1">
        <f t="array" ref="F37">_xlfn.XLOOKUP(TRUE,EXACT(Vuorokoodit!$A$3:Vuorokoodit!#REF!,F38),Vuorokoodit!$E$3:Vuorokoodit!#REF!,"Ei löydy")</f>
        <v>#REF!</v>
      </c>
      <c r="G37" s="31" t="e" cm="1">
        <f t="array" ref="G37">_xlfn.XLOOKUP(TRUE,EXACT(Vuorokoodit!$A$3:Vuorokoodit!#REF!,G38),Vuorokoodit!$E$3:Vuorokoodit!#REF!,"Ei löydy")</f>
        <v>#REF!</v>
      </c>
      <c r="H37" s="31" t="e" cm="1">
        <f t="array" ref="H37">_xlfn.XLOOKUP(TRUE,EXACT(Vuorokoodit!$A$3:Vuorokoodit!#REF!,H38),Vuorokoodit!$E$3:Vuorokoodit!#REF!,"Ei löydy")</f>
        <v>#REF!</v>
      </c>
      <c r="I37" s="31" t="e" cm="1">
        <f t="array" ref="I37">_xlfn.XLOOKUP(TRUE,EXACT(Vuorokoodit!$A$3:Vuorokoodit!#REF!,I38),Vuorokoodit!$E$3:Vuorokoodit!#REF!,"Ei löydy")</f>
        <v>#REF!</v>
      </c>
      <c r="J37" s="31" t="e" cm="1">
        <f t="array" ref="J37">_xlfn.XLOOKUP(TRUE,EXACT(Vuorokoodit!$A$3:Vuorokoodit!#REF!,J38),Vuorokoodit!$E$3:Vuorokoodit!#REF!,"Ei löydy")</f>
        <v>#REF!</v>
      </c>
      <c r="K37" s="31" t="e" cm="1">
        <f t="array" ref="K37">_xlfn.XLOOKUP(TRUE,EXACT(Vuorokoodit!$A$3:Vuorokoodit!#REF!,K38),Vuorokoodit!$E$3:Vuorokoodit!#REF!,"Ei löydy")</f>
        <v>#REF!</v>
      </c>
      <c r="L37" s="31" t="e" cm="1">
        <f t="array" ref="L37">_xlfn.XLOOKUP(TRUE,EXACT(Vuorokoodit!$A$3:Vuorokoodit!#REF!,L38),Vuorokoodit!$E$3:Vuorokoodit!#REF!,"Ei löydy")</f>
        <v>#REF!</v>
      </c>
      <c r="M37" s="31" t="e" cm="1">
        <f t="array" ref="M37">_xlfn.XLOOKUP(TRUE,EXACT(Vuorokoodit!$A$3:Vuorokoodit!#REF!,M38),Vuorokoodit!$E$3:Vuorokoodit!#REF!,"Ei löydy")</f>
        <v>#REF!</v>
      </c>
      <c r="N37" s="31" t="e" cm="1">
        <f t="array" ref="N37">_xlfn.XLOOKUP(TRUE,EXACT(Vuorokoodit!$A$3:Vuorokoodit!#REF!,N38),Vuorokoodit!$E$3:Vuorokoodit!#REF!,"Ei löydy")</f>
        <v>#REF!</v>
      </c>
      <c r="O37" s="31" t="e" cm="1">
        <f t="array" ref="O37">_xlfn.XLOOKUP(TRUE,EXACT(Vuorokoodit!$A$3:Vuorokoodit!#REF!,O38),Vuorokoodit!$E$3:Vuorokoodit!#REF!,"Ei löydy")</f>
        <v>#REF!</v>
      </c>
      <c r="P37" s="31" t="e" cm="1">
        <f t="array" ref="P37">_xlfn.XLOOKUP(TRUE,EXACT(Vuorokoodit!$A$3:Vuorokoodit!#REF!,P38),Vuorokoodit!$E$3:Vuorokoodit!#REF!,"Ei löydy")</f>
        <v>#REF!</v>
      </c>
      <c r="Q37" s="31" t="e" cm="1">
        <f t="array" ref="Q37">_xlfn.XLOOKUP(TRUE,EXACT(Vuorokoodit!$A$3:Vuorokoodit!#REF!,Q38),Vuorokoodit!$E$3:Vuorokoodit!#REF!,"Ei löydy")</f>
        <v>#REF!</v>
      </c>
      <c r="R37" s="31" t="e" cm="1">
        <f t="array" ref="R37">_xlfn.XLOOKUP(TRUE,EXACT(Vuorokoodit!$A$3:Vuorokoodit!#REF!,R38),Vuorokoodit!$E$3:Vuorokoodit!#REF!,"Ei löydy")</f>
        <v>#REF!</v>
      </c>
      <c r="S37" s="31" t="e" cm="1">
        <f t="array" ref="S37">_xlfn.XLOOKUP(TRUE,EXACT(Vuorokoodit!$A$3:Vuorokoodit!#REF!,S38),Vuorokoodit!$E$3:Vuorokoodit!#REF!,"Ei löydy")</f>
        <v>#REF!</v>
      </c>
      <c r="T37" s="31" t="e" cm="1">
        <f t="array" ref="T37">_xlfn.XLOOKUP(TRUE,EXACT(Vuorokoodit!$A$3:Vuorokoodit!#REF!,T38),Vuorokoodit!$E$3:Vuorokoodit!#REF!,"Ei löydy")</f>
        <v>#REF!</v>
      </c>
      <c r="U37" s="31" t="e" cm="1">
        <f t="array" ref="U37">_xlfn.XLOOKUP(TRUE,EXACT(Vuorokoodit!$A$3:Vuorokoodit!#REF!,U38),Vuorokoodit!$E$3:Vuorokoodit!#REF!,"Ei löydy")</f>
        <v>#REF!</v>
      </c>
      <c r="V37" s="31" t="e" cm="1">
        <f t="array" ref="V37">_xlfn.XLOOKUP(TRUE,EXACT(Vuorokoodit!$A$3:Vuorokoodit!#REF!,V38),Vuorokoodit!$E$3:Vuorokoodit!#REF!,"Ei löydy")</f>
        <v>#REF!</v>
      </c>
      <c r="W37" s="31" t="e" cm="1">
        <f t="array" ref="W37">_xlfn.XLOOKUP(TRUE,EXACT(Vuorokoodit!$A$3:Vuorokoodit!#REF!,W38),Vuorokoodit!$E$3:Vuorokoodit!#REF!,"Ei löydy")</f>
        <v>#REF!</v>
      </c>
    </row>
    <row r="38" spans="1:23" ht="22.5" customHeight="1" x14ac:dyDescent="0.25">
      <c r="A38"/>
      <c r="B38" s="59"/>
      <c r="C38" s="34" cm="1">
        <f t="array" ref="C38">_xlfn.XLOOKUP($B37,Kiertotunnus!$A$2:'Kiertotunnus'!$A$417,Kiertotunnus!B$2:'Kiertotunnus'!B$417)</f>
        <v>0</v>
      </c>
      <c r="D38" s="34" cm="1">
        <f t="array" ref="D38">_xlfn.XLOOKUP($B37,Kiertotunnus!$A$2:'Kiertotunnus'!$A$417,Kiertotunnus!C$2:'Kiertotunnus'!C$417)</f>
        <v>0</v>
      </c>
      <c r="E38" s="34" cm="1">
        <f t="array" ref="E38">_xlfn.XLOOKUP($B37,Kiertotunnus!$A$2:'Kiertotunnus'!$A$417,Kiertotunnus!D$2:'Kiertotunnus'!D$417)</f>
        <v>0</v>
      </c>
      <c r="F38" s="34" cm="1">
        <f t="array" ref="F38">_xlfn.XLOOKUP($B37,Kiertotunnus!$A$2:'Kiertotunnus'!$A$417,Kiertotunnus!E$2:'Kiertotunnus'!E$417)</f>
        <v>0</v>
      </c>
      <c r="G38" s="34" cm="1">
        <f t="array" ref="G38">_xlfn.XLOOKUP($B37,Kiertotunnus!$A$2:'Kiertotunnus'!$A$417,Kiertotunnus!F$2:'Kiertotunnus'!F$417)</f>
        <v>0</v>
      </c>
      <c r="H38" s="34" cm="1">
        <f t="array" ref="H38">_xlfn.XLOOKUP($B37,Kiertotunnus!$A$2:'Kiertotunnus'!$A$417,Kiertotunnus!G$2:'Kiertotunnus'!G$417)</f>
        <v>0</v>
      </c>
      <c r="I38" s="34" cm="1">
        <f t="array" ref="I38">_xlfn.XLOOKUP($B37,Kiertotunnus!$A$2:'Kiertotunnus'!$A$417,Kiertotunnus!H$2:'Kiertotunnus'!H$417)</f>
        <v>0</v>
      </c>
      <c r="J38" s="34" cm="1">
        <f t="array" ref="J38">_xlfn.XLOOKUP($B37,Kiertotunnus!$A$2:'Kiertotunnus'!$A$417,Kiertotunnus!I$2:'Kiertotunnus'!I$417)</f>
        <v>0</v>
      </c>
      <c r="K38" s="34" cm="1">
        <f t="array" ref="K38">_xlfn.XLOOKUP($B37,Kiertotunnus!$A$2:'Kiertotunnus'!$A$417,Kiertotunnus!J$2:'Kiertotunnus'!J$417)</f>
        <v>0</v>
      </c>
      <c r="L38" s="34" cm="1">
        <f t="array" ref="L38">_xlfn.XLOOKUP($B37,Kiertotunnus!$A$2:'Kiertotunnus'!$A$417,Kiertotunnus!K$2:'Kiertotunnus'!K$417)</f>
        <v>0</v>
      </c>
      <c r="M38" s="34" cm="1">
        <f t="array" ref="M38">_xlfn.XLOOKUP($B37,Kiertotunnus!$A$2:'Kiertotunnus'!$A$417,Kiertotunnus!L$2:'Kiertotunnus'!L$417)</f>
        <v>0</v>
      </c>
      <c r="N38" s="34" cm="1">
        <f t="array" ref="N38">_xlfn.XLOOKUP($B37,Kiertotunnus!$A$2:'Kiertotunnus'!$A$417,Kiertotunnus!M$2:'Kiertotunnus'!M$417)</f>
        <v>0</v>
      </c>
      <c r="O38" s="34" cm="1">
        <f t="array" ref="O38">_xlfn.XLOOKUP($B37,Kiertotunnus!$A$2:'Kiertotunnus'!$A$417,Kiertotunnus!N$2:'Kiertotunnus'!N$417)</f>
        <v>0</v>
      </c>
      <c r="P38" s="34" cm="1">
        <f t="array" ref="P38">_xlfn.XLOOKUP($B37,Kiertotunnus!$A$2:'Kiertotunnus'!$A$417,Kiertotunnus!O$2:'Kiertotunnus'!O$417)</f>
        <v>0</v>
      </c>
      <c r="Q38" s="34" cm="1">
        <f t="array" ref="Q38">_xlfn.XLOOKUP($B37,Kiertotunnus!$A$2:'Kiertotunnus'!$A$417,Kiertotunnus!P$2:'Kiertotunnus'!P$417)</f>
        <v>0</v>
      </c>
      <c r="R38" s="34" cm="1">
        <f t="array" ref="R38">_xlfn.XLOOKUP($B37,Kiertotunnus!$A$2:'Kiertotunnus'!$A$417,Kiertotunnus!Q$2:'Kiertotunnus'!Q$417)</f>
        <v>0</v>
      </c>
      <c r="S38" s="34" cm="1">
        <f t="array" ref="S38">_xlfn.XLOOKUP($B37,Kiertotunnus!$A$2:'Kiertotunnus'!$A$417,Kiertotunnus!R$2:'Kiertotunnus'!R$417)</f>
        <v>0</v>
      </c>
      <c r="T38" s="34" cm="1">
        <f t="array" ref="T38">_xlfn.XLOOKUP($B37,Kiertotunnus!$A$2:'Kiertotunnus'!$A$417,Kiertotunnus!S$2:'Kiertotunnus'!S$417)</f>
        <v>0</v>
      </c>
      <c r="U38" s="34" cm="1">
        <f t="array" ref="U38">_xlfn.XLOOKUP($B37,Kiertotunnus!$A$2:'Kiertotunnus'!$A$417,Kiertotunnus!T$2:'Kiertotunnus'!T$417)</f>
        <v>0</v>
      </c>
      <c r="V38" s="34" cm="1">
        <f t="array" ref="V38">_xlfn.XLOOKUP($B37,Kiertotunnus!$A$2:'Kiertotunnus'!$A$417,Kiertotunnus!U$2:'Kiertotunnus'!U$417)</f>
        <v>0</v>
      </c>
      <c r="W38" s="34" cm="1">
        <f t="array" ref="W38">_xlfn.XLOOKUP($B37,Kiertotunnus!$A$2:'Kiertotunnus'!$A$417,Kiertotunnus!V$2:'Kiertotunnus'!V$417)</f>
        <v>0</v>
      </c>
    </row>
    <row r="39" spans="1:23" ht="39.75" customHeight="1" x14ac:dyDescent="0.25">
      <c r="A39" s="20"/>
      <c r="B39" s="59" t="s">
        <v>96</v>
      </c>
      <c r="C39" s="65"/>
      <c r="D39" s="65"/>
      <c r="E39" s="65"/>
      <c r="F39" s="65"/>
      <c r="G39" s="65"/>
      <c r="H39" s="78"/>
      <c r="I39" s="78"/>
      <c r="J39" s="65"/>
      <c r="K39" s="65"/>
      <c r="L39" s="65"/>
      <c r="M39" s="65"/>
      <c r="N39" s="65"/>
      <c r="O39" s="78"/>
      <c r="P39" s="78"/>
      <c r="Q39" s="65"/>
      <c r="R39" s="65"/>
      <c r="S39" s="65"/>
      <c r="T39" s="65"/>
      <c r="U39" s="65"/>
      <c r="V39" s="78"/>
      <c r="W39" s="78"/>
    </row>
    <row r="40" spans="1:23" ht="18.75" x14ac:dyDescent="0.3">
      <c r="B40" s="61"/>
      <c r="C40" s="65" t="s">
        <v>117</v>
      </c>
      <c r="D40" s="65" t="s">
        <v>117</v>
      </c>
      <c r="E40" s="65" t="s">
        <v>117</v>
      </c>
      <c r="F40" s="65" t="s">
        <v>117</v>
      </c>
      <c r="G40" s="65" t="s">
        <v>117</v>
      </c>
      <c r="H40" s="78" t="s">
        <v>117</v>
      </c>
      <c r="I40" s="78" t="s">
        <v>117</v>
      </c>
      <c r="J40" s="65" t="s">
        <v>117</v>
      </c>
      <c r="K40" s="65" t="s">
        <v>117</v>
      </c>
      <c r="L40" s="65" t="s">
        <v>117</v>
      </c>
      <c r="M40" s="65" t="s">
        <v>117</v>
      </c>
      <c r="N40" s="65" t="s">
        <v>117</v>
      </c>
      <c r="O40" s="78" t="s">
        <v>117</v>
      </c>
      <c r="P40" s="78" t="s">
        <v>117</v>
      </c>
      <c r="Q40" s="65" t="s">
        <v>117</v>
      </c>
      <c r="R40" s="65" t="s">
        <v>117</v>
      </c>
      <c r="S40" s="65" t="s">
        <v>117</v>
      </c>
      <c r="T40" s="65" t="s">
        <v>117</v>
      </c>
      <c r="U40" s="65" t="s">
        <v>117</v>
      </c>
      <c r="V40" s="78" t="s">
        <v>117</v>
      </c>
      <c r="W40" s="78" t="s">
        <v>117</v>
      </c>
    </row>
    <row r="41" spans="1:23" ht="18.75" x14ac:dyDescent="0.3">
      <c r="B41" s="61"/>
    </row>
  </sheetData>
  <conditionalFormatting sqref="C4:W4">
    <cfRule type="containsText" dxfId="248" priority="2009" operator="containsText" text="19:45 -">
      <formula>NOT(ISERROR(SEARCH("19:45 -",C4)))</formula>
    </cfRule>
    <cfRule type="containsText" dxfId="247" priority="2010" operator="containsText" text="00:00">
      <formula>NOT(ISERROR(SEARCH("00:00",C4)))</formula>
    </cfRule>
    <cfRule type="containsText" dxfId="246" priority="2011" operator="containsText" text=":2">
      <formula>NOT(ISERROR(SEARCH(":2",C4)))</formula>
    </cfRule>
    <cfRule type="containsText" dxfId="245" priority="2012" operator="containsText" text=":18">
      <formula>NOT(ISERROR(SEARCH(":18",C4)))</formula>
    </cfRule>
    <cfRule type="containsText" dxfId="244" priority="2013" operator="containsText" text="07:0">
      <formula>NOT(ISERROR(SEARCH("07:0",C4)))</formula>
    </cfRule>
    <cfRule type="containsText" dxfId="243" priority="2014" operator="containsText" text="07:15">
      <formula>NOT(ISERROR(SEARCH("07:15",C4)))</formula>
    </cfRule>
    <cfRule type="containsText" dxfId="242" priority="2015" operator="containsText" text="06:">
      <formula>NOT(ISERROR(SEARCH("06:",C4)))</formula>
    </cfRule>
    <cfRule type="containsText" dxfId="241" priority="2016" operator="containsText" text="05">
      <formula>NOT(ISERROR(SEARCH("05",C4)))</formula>
    </cfRule>
  </conditionalFormatting>
  <conditionalFormatting sqref="C4:W4">
    <cfRule type="containsText" dxfId="240" priority="2008" operator="containsText" text="2*:">
      <formula>NOT(ISERROR(SEARCH("2*:",C4)))</formula>
    </cfRule>
  </conditionalFormatting>
  <conditionalFormatting sqref="H4">
    <cfRule type="containsText" dxfId="239" priority="2000" operator="containsText" text="19:45 -">
      <formula>NOT(ISERROR(SEARCH("19:45 -",H4)))</formula>
    </cfRule>
    <cfRule type="containsText" dxfId="238" priority="2001" operator="containsText" text="00:00">
      <formula>NOT(ISERROR(SEARCH("00:00",H4)))</formula>
    </cfRule>
    <cfRule type="containsText" dxfId="237" priority="2002" operator="containsText" text=":2">
      <formula>NOT(ISERROR(SEARCH(":2",H4)))</formula>
    </cfRule>
    <cfRule type="containsText" dxfId="236" priority="2003" operator="containsText" text=":18">
      <formula>NOT(ISERROR(SEARCH(":18",H4)))</formula>
    </cfRule>
    <cfRule type="containsText" dxfId="235" priority="2004" operator="containsText" text="07:0">
      <formula>NOT(ISERROR(SEARCH("07:0",H4)))</formula>
    </cfRule>
    <cfRule type="containsText" dxfId="234" priority="2005" operator="containsText" text="07:15">
      <formula>NOT(ISERROR(SEARCH("07:15",H4)))</formula>
    </cfRule>
    <cfRule type="containsText" dxfId="233" priority="2006" operator="containsText" text="06:">
      <formula>NOT(ISERROR(SEARCH("06:",H4)))</formula>
    </cfRule>
    <cfRule type="containsText" dxfId="232" priority="2007" operator="containsText" text="05">
      <formula>NOT(ISERROR(SEARCH("05",H4)))</formula>
    </cfRule>
  </conditionalFormatting>
  <conditionalFormatting sqref="H4">
    <cfRule type="containsText" dxfId="231" priority="1999" operator="containsText" text="2*:">
      <formula>NOT(ISERROR(SEARCH("2*:",H4)))</formula>
    </cfRule>
  </conditionalFormatting>
  <conditionalFormatting sqref="O4">
    <cfRule type="containsText" dxfId="230" priority="1991" operator="containsText" text="19:45 -">
      <formula>NOT(ISERROR(SEARCH("19:45 -",O4)))</formula>
    </cfRule>
    <cfRule type="containsText" dxfId="229" priority="1992" operator="containsText" text="00:00">
      <formula>NOT(ISERROR(SEARCH("00:00",O4)))</formula>
    </cfRule>
    <cfRule type="containsText" dxfId="228" priority="1993" operator="containsText" text=":2">
      <formula>NOT(ISERROR(SEARCH(":2",O4)))</formula>
    </cfRule>
    <cfRule type="containsText" dxfId="227" priority="1994" operator="containsText" text=":18">
      <formula>NOT(ISERROR(SEARCH(":18",O4)))</formula>
    </cfRule>
    <cfRule type="containsText" dxfId="226" priority="1995" operator="containsText" text="07:0">
      <formula>NOT(ISERROR(SEARCH("07:0",O4)))</formula>
    </cfRule>
    <cfRule type="containsText" dxfId="225" priority="1996" operator="containsText" text="07:15">
      <formula>NOT(ISERROR(SEARCH("07:15",O4)))</formula>
    </cfRule>
    <cfRule type="containsText" dxfId="224" priority="1997" operator="containsText" text="06:">
      <formula>NOT(ISERROR(SEARCH("06:",O4)))</formula>
    </cfRule>
    <cfRule type="containsText" dxfId="223" priority="1998" operator="containsText" text="05">
      <formula>NOT(ISERROR(SEARCH("05",O4)))</formula>
    </cfRule>
  </conditionalFormatting>
  <conditionalFormatting sqref="O4">
    <cfRule type="containsText" dxfId="222" priority="1990" operator="containsText" text="2*:">
      <formula>NOT(ISERROR(SEARCH("2*:",O4)))</formula>
    </cfRule>
  </conditionalFormatting>
  <conditionalFormatting sqref="V4">
    <cfRule type="containsText" dxfId="221" priority="1982" operator="containsText" text="19:45 -">
      <formula>NOT(ISERROR(SEARCH("19:45 -",V4)))</formula>
    </cfRule>
    <cfRule type="containsText" dxfId="220" priority="1983" operator="containsText" text="00:00">
      <formula>NOT(ISERROR(SEARCH("00:00",V4)))</formula>
    </cfRule>
    <cfRule type="containsText" dxfId="219" priority="1984" operator="containsText" text=":2">
      <formula>NOT(ISERROR(SEARCH(":2",V4)))</formula>
    </cfRule>
    <cfRule type="containsText" dxfId="218" priority="1985" operator="containsText" text=":18">
      <formula>NOT(ISERROR(SEARCH(":18",V4)))</formula>
    </cfRule>
    <cfRule type="containsText" dxfId="217" priority="1986" operator="containsText" text="07:0">
      <formula>NOT(ISERROR(SEARCH("07:0",V4)))</formula>
    </cfRule>
    <cfRule type="containsText" dxfId="216" priority="1987" operator="containsText" text="07:15">
      <formula>NOT(ISERROR(SEARCH("07:15",V4)))</formula>
    </cfRule>
    <cfRule type="containsText" dxfId="215" priority="1988" operator="containsText" text="06:">
      <formula>NOT(ISERROR(SEARCH("06:",V4)))</formula>
    </cfRule>
    <cfRule type="containsText" dxfId="214" priority="1989" operator="containsText" text="05">
      <formula>NOT(ISERROR(SEARCH("05",V4)))</formula>
    </cfRule>
  </conditionalFormatting>
  <conditionalFormatting sqref="V4">
    <cfRule type="containsText" dxfId="213" priority="1981" operator="containsText" text="2*:">
      <formula>NOT(ISERROR(SEARCH("2*:",V4)))</formula>
    </cfRule>
  </conditionalFormatting>
  <conditionalFormatting sqref="C4:W4">
    <cfRule type="containsText" dxfId="212" priority="1979" operator="containsText" text="T">
      <formula>NOT(ISERROR(SEARCH("T",C4)))</formula>
    </cfRule>
    <cfRule type="containsText" dxfId="211" priority="1980" operator="containsText" text="V">
      <formula>NOT(ISERROR(SEARCH("V",C4)))</formula>
    </cfRule>
  </conditionalFormatting>
  <conditionalFormatting sqref="C4:W4">
    <cfRule type="containsText" dxfId="210" priority="1977" operator="containsText" text="#">
      <formula>NOT(ISERROR(SEARCH("#",C4)))</formula>
    </cfRule>
    <cfRule type="containsText" dxfId="209" priority="1978" operator="containsText" text="T">
      <formula>NOT(ISERROR(SEARCH("T",C4)))</formula>
    </cfRule>
  </conditionalFormatting>
  <conditionalFormatting sqref="C7:W7">
    <cfRule type="containsText" dxfId="208" priority="755" operator="containsText" text="T">
      <formula>NOT(ISERROR(SEARCH("T",C7)))</formula>
    </cfRule>
    <cfRule type="containsText" dxfId="207" priority="756" operator="containsText" text="V">
      <formula>NOT(ISERROR(SEARCH("V",C7)))</formula>
    </cfRule>
  </conditionalFormatting>
  <conditionalFormatting sqref="C7:W7">
    <cfRule type="containsText" dxfId="206" priority="753" operator="containsText" text="#">
      <formula>NOT(ISERROR(SEARCH("#",C7)))</formula>
    </cfRule>
    <cfRule type="containsText" dxfId="205" priority="754" operator="containsText" text="T">
      <formula>NOT(ISERROR(SEARCH("T",C7)))</formula>
    </cfRule>
  </conditionalFormatting>
  <conditionalFormatting sqref="C10:W10">
    <cfRule type="containsText" dxfId="204" priority="683" operator="containsText" text="T">
      <formula>NOT(ISERROR(SEARCH("T",C10)))</formula>
    </cfRule>
    <cfRule type="containsText" dxfId="203" priority="684" operator="containsText" text="V">
      <formula>NOT(ISERROR(SEARCH("V",C10)))</formula>
    </cfRule>
  </conditionalFormatting>
  <conditionalFormatting sqref="C10:W10">
    <cfRule type="containsText" dxfId="202" priority="681" operator="containsText" text="#">
      <formula>NOT(ISERROR(SEARCH("#",C10)))</formula>
    </cfRule>
    <cfRule type="containsText" dxfId="201" priority="682" operator="containsText" text="T">
      <formula>NOT(ISERROR(SEARCH("T",C10)))</formula>
    </cfRule>
  </conditionalFormatting>
  <conditionalFormatting sqref="C13:W13">
    <cfRule type="containsText" dxfId="200" priority="611" operator="containsText" text="T">
      <formula>NOT(ISERROR(SEARCH("T",C13)))</formula>
    </cfRule>
    <cfRule type="containsText" dxfId="199" priority="612" operator="containsText" text="V">
      <formula>NOT(ISERROR(SEARCH("V",C13)))</formula>
    </cfRule>
  </conditionalFormatting>
  <conditionalFormatting sqref="C13:W13">
    <cfRule type="containsText" dxfId="198" priority="609" operator="containsText" text="#">
      <formula>NOT(ISERROR(SEARCH("#",C13)))</formula>
    </cfRule>
    <cfRule type="containsText" dxfId="197" priority="610" operator="containsText" text="T">
      <formula>NOT(ISERROR(SEARCH("T",C13)))</formula>
    </cfRule>
  </conditionalFormatting>
  <conditionalFormatting sqref="C16:W16">
    <cfRule type="containsText" dxfId="196" priority="539" operator="containsText" text="T">
      <formula>NOT(ISERROR(SEARCH("T",C16)))</formula>
    </cfRule>
    <cfRule type="containsText" dxfId="195" priority="540" operator="containsText" text="V">
      <formula>NOT(ISERROR(SEARCH("V",C16)))</formula>
    </cfRule>
  </conditionalFormatting>
  <conditionalFormatting sqref="C16:W16">
    <cfRule type="containsText" dxfId="194" priority="537" operator="containsText" text="#">
      <formula>NOT(ISERROR(SEARCH("#",C16)))</formula>
    </cfRule>
    <cfRule type="containsText" dxfId="193" priority="538" operator="containsText" text="T">
      <formula>NOT(ISERROR(SEARCH("T",C16)))</formula>
    </cfRule>
  </conditionalFormatting>
  <conditionalFormatting sqref="C19:W19">
    <cfRule type="containsText" dxfId="192" priority="467" operator="containsText" text="T">
      <formula>NOT(ISERROR(SEARCH("T",C19)))</formula>
    </cfRule>
    <cfRule type="containsText" dxfId="191" priority="468" operator="containsText" text="V">
      <formula>NOT(ISERROR(SEARCH("V",C19)))</formula>
    </cfRule>
  </conditionalFormatting>
  <conditionalFormatting sqref="C19:W19">
    <cfRule type="containsText" dxfId="190" priority="465" operator="containsText" text="#">
      <formula>NOT(ISERROR(SEARCH("#",C19)))</formula>
    </cfRule>
    <cfRule type="containsText" dxfId="189" priority="466" operator="containsText" text="T">
      <formula>NOT(ISERROR(SEARCH("T",C19)))</formula>
    </cfRule>
  </conditionalFormatting>
  <conditionalFormatting sqref="C22:W22">
    <cfRule type="containsText" dxfId="188" priority="395" operator="containsText" text="T">
      <formula>NOT(ISERROR(SEARCH("T",C22)))</formula>
    </cfRule>
    <cfRule type="containsText" dxfId="187" priority="396" operator="containsText" text="V">
      <formula>NOT(ISERROR(SEARCH("V",C22)))</formula>
    </cfRule>
  </conditionalFormatting>
  <conditionalFormatting sqref="C22:W22">
    <cfRule type="containsText" dxfId="186" priority="393" operator="containsText" text="#">
      <formula>NOT(ISERROR(SEARCH("#",C22)))</formula>
    </cfRule>
    <cfRule type="containsText" dxfId="185" priority="394" operator="containsText" text="T">
      <formula>NOT(ISERROR(SEARCH("T",C22)))</formula>
    </cfRule>
  </conditionalFormatting>
  <conditionalFormatting sqref="C25:W25">
    <cfRule type="containsText" dxfId="184" priority="323" operator="containsText" text="T">
      <formula>NOT(ISERROR(SEARCH("T",C25)))</formula>
    </cfRule>
    <cfRule type="containsText" dxfId="183" priority="324" operator="containsText" text="V">
      <formula>NOT(ISERROR(SEARCH("V",C25)))</formula>
    </cfRule>
  </conditionalFormatting>
  <conditionalFormatting sqref="C25:W25">
    <cfRule type="containsText" dxfId="182" priority="321" operator="containsText" text="#">
      <formula>NOT(ISERROR(SEARCH("#",C25)))</formula>
    </cfRule>
    <cfRule type="containsText" dxfId="181" priority="322" operator="containsText" text="T">
      <formula>NOT(ISERROR(SEARCH("T",C25)))</formula>
    </cfRule>
  </conditionalFormatting>
  <conditionalFormatting sqref="C28:W28">
    <cfRule type="containsText" dxfId="180" priority="251" operator="containsText" text="T">
      <formula>NOT(ISERROR(SEARCH("T",C28)))</formula>
    </cfRule>
    <cfRule type="containsText" dxfId="179" priority="252" operator="containsText" text="V">
      <formula>NOT(ISERROR(SEARCH("V",C28)))</formula>
    </cfRule>
  </conditionalFormatting>
  <conditionalFormatting sqref="C28:W28">
    <cfRule type="containsText" dxfId="178" priority="249" operator="containsText" text="#">
      <formula>NOT(ISERROR(SEARCH("#",C28)))</formula>
    </cfRule>
    <cfRule type="containsText" dxfId="177" priority="250" operator="containsText" text="T">
      <formula>NOT(ISERROR(SEARCH("T",C28)))</formula>
    </cfRule>
  </conditionalFormatting>
  <conditionalFormatting sqref="C31:W31">
    <cfRule type="containsText" dxfId="176" priority="179" operator="containsText" text="T">
      <formula>NOT(ISERROR(SEARCH("T",C31)))</formula>
    </cfRule>
    <cfRule type="containsText" dxfId="175" priority="180" operator="containsText" text="V">
      <formula>NOT(ISERROR(SEARCH("V",C31)))</formula>
    </cfRule>
  </conditionalFormatting>
  <conditionalFormatting sqref="C31:W31">
    <cfRule type="containsText" dxfId="174" priority="177" operator="containsText" text="#">
      <formula>NOT(ISERROR(SEARCH("#",C31)))</formula>
    </cfRule>
    <cfRule type="containsText" dxfId="173" priority="178" operator="containsText" text="T">
      <formula>NOT(ISERROR(SEARCH("T",C31)))</formula>
    </cfRule>
  </conditionalFormatting>
  <conditionalFormatting sqref="C34:W34">
    <cfRule type="containsText" dxfId="172" priority="107" operator="containsText" text="T">
      <formula>NOT(ISERROR(SEARCH("T",C34)))</formula>
    </cfRule>
    <cfRule type="containsText" dxfId="171" priority="108" operator="containsText" text="V">
      <formula>NOT(ISERROR(SEARCH("V",C34)))</formula>
    </cfRule>
  </conditionalFormatting>
  <conditionalFormatting sqref="C34:W34">
    <cfRule type="containsText" dxfId="170" priority="105" operator="containsText" text="#">
      <formula>NOT(ISERROR(SEARCH("#",C34)))</formula>
    </cfRule>
    <cfRule type="containsText" dxfId="169" priority="106" operator="containsText" text="T">
      <formula>NOT(ISERROR(SEARCH("T",C34)))</formula>
    </cfRule>
  </conditionalFormatting>
  <conditionalFormatting sqref="C37:W37">
    <cfRule type="containsText" dxfId="168" priority="35" operator="containsText" text="T">
      <formula>NOT(ISERROR(SEARCH("T",C37)))</formula>
    </cfRule>
    <cfRule type="containsText" dxfId="167" priority="36" operator="containsText" text="V">
      <formula>NOT(ISERROR(SEARCH("V",C37)))</formula>
    </cfRule>
  </conditionalFormatting>
  <conditionalFormatting sqref="C37:W37">
    <cfRule type="containsText" dxfId="166" priority="33" operator="containsText" text="#">
      <formula>NOT(ISERROR(SEARCH("#",C37)))</formula>
    </cfRule>
    <cfRule type="containsText" dxfId="165" priority="34" operator="containsText" text="T">
      <formula>NOT(ISERROR(SEARCH("T",C37)))</formula>
    </cfRule>
  </conditionalFormatting>
  <printOptions gridLines="1"/>
  <pageMargins left="0.25" right="0.25" top="0.75" bottom="0.75" header="0.3" footer="0.3"/>
  <pageSetup paperSize="8" scale="71" fitToHeight="5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063BB-B40C-42B0-861A-CAE0E22162D5}">
  <sheetPr codeName="Taul31">
    <tabColor theme="3" tint="0.59999389629810485"/>
    <pageSetUpPr fitToPage="1"/>
  </sheetPr>
  <dimension ref="A1:W50"/>
  <sheetViews>
    <sheetView topLeftCell="B1" zoomScale="70" zoomScaleNormal="70" workbookViewId="0">
      <selection activeCell="J4" sqref="J4"/>
    </sheetView>
  </sheetViews>
  <sheetFormatPr defaultRowHeight="15" x14ac:dyDescent="0.25"/>
  <cols>
    <col min="1" max="1" width="30.7109375" style="8" hidden="1" customWidth="1"/>
    <col min="2" max="2" width="24.28515625" style="8" customWidth="1"/>
    <col min="3" max="7" width="8" style="4" customWidth="1"/>
    <col min="8" max="9" width="8" style="101" customWidth="1"/>
    <col min="10" max="14" width="8" style="4" customWidth="1"/>
    <col min="15" max="16" width="8" style="101" customWidth="1"/>
    <col min="17" max="21" width="8" style="4" customWidth="1"/>
    <col min="22" max="23" width="8" style="101" customWidth="1"/>
  </cols>
  <sheetData>
    <row r="1" spans="1:23" ht="123" customHeight="1" x14ac:dyDescent="0.25">
      <c r="A1" s="135"/>
      <c r="B1" s="135"/>
    </row>
    <row r="2" spans="1:23" ht="15" customHeight="1" thickBot="1" x14ac:dyDescent="0.3">
      <c r="A2" s="135"/>
      <c r="B2" s="135"/>
      <c r="C2" s="79" t="s">
        <v>87</v>
      </c>
      <c r="D2" s="79" t="s">
        <v>88</v>
      </c>
      <c r="E2" s="79" t="s">
        <v>89</v>
      </c>
      <c r="F2" s="79" t="s">
        <v>90</v>
      </c>
      <c r="G2" s="79" t="s">
        <v>91</v>
      </c>
      <c r="H2" s="80" t="s">
        <v>92</v>
      </c>
      <c r="I2" s="80" t="s">
        <v>93</v>
      </c>
      <c r="J2" s="79" t="s">
        <v>87</v>
      </c>
      <c r="K2" s="79" t="s">
        <v>88</v>
      </c>
      <c r="L2" s="79" t="s">
        <v>89</v>
      </c>
      <c r="M2" s="79" t="s">
        <v>90</v>
      </c>
      <c r="N2" s="79" t="s">
        <v>91</v>
      </c>
      <c r="O2" s="80" t="s">
        <v>92</v>
      </c>
      <c r="P2" s="80" t="s">
        <v>125</v>
      </c>
      <c r="Q2" s="79" t="s">
        <v>87</v>
      </c>
      <c r="R2" s="79" t="s">
        <v>88</v>
      </c>
      <c r="S2" s="79" t="s">
        <v>89</v>
      </c>
      <c r="T2" s="79" t="s">
        <v>90</v>
      </c>
      <c r="U2" s="79" t="s">
        <v>91</v>
      </c>
      <c r="V2" s="80" t="s">
        <v>92</v>
      </c>
      <c r="W2" s="80" t="s">
        <v>93</v>
      </c>
    </row>
    <row r="3" spans="1:23" ht="28.15" hidden="1" customHeight="1" thickBot="1" x14ac:dyDescent="0.3">
      <c r="A3" s="49"/>
      <c r="B3" s="49"/>
      <c r="C3" s="32"/>
      <c r="D3" s="32"/>
      <c r="E3" s="32"/>
      <c r="F3" s="32"/>
      <c r="G3" s="32"/>
      <c r="H3" s="33"/>
      <c r="I3" s="33"/>
      <c r="J3" s="32"/>
      <c r="K3" s="32"/>
      <c r="L3" s="32"/>
      <c r="M3" s="32"/>
      <c r="N3" s="32"/>
      <c r="O3" s="33"/>
      <c r="P3" s="33"/>
      <c r="Q3" s="32"/>
      <c r="R3" s="32"/>
      <c r="S3" s="32"/>
      <c r="T3" s="32"/>
      <c r="U3" s="32"/>
      <c r="V3" s="33"/>
      <c r="W3" s="33"/>
    </row>
    <row r="4" spans="1:23" ht="54" customHeight="1" x14ac:dyDescent="0.25">
      <c r="A4" s="60"/>
      <c r="B4" s="76"/>
      <c r="C4" s="31" t="str" cm="1">
        <f t="array" ref="C4">_xlfn.XLOOKUP(TRUE,EXACT(Vuorokoodit!$A:$A,C5),Vuorokoodit!$E:$E,"Ei löydy")</f>
        <v>Ei löydy</v>
      </c>
      <c r="D4" s="31" t="str" cm="1">
        <f t="array" ref="D4">_xlfn.XLOOKUP(TRUE,EXACT(Vuorokoodit!$A:$A,D5),Vuorokoodit!$E:$E,"Ei löydy")</f>
        <v>Ei löydy</v>
      </c>
      <c r="E4" s="31" t="str" cm="1">
        <f t="array" ref="E4">_xlfn.XLOOKUP(TRUE,EXACT(Vuorokoodit!$A:$A,E5),Vuorokoodit!$E:$E,"Ei löydy")</f>
        <v>Ei löydy</v>
      </c>
      <c r="F4" s="31" t="str" cm="1">
        <f t="array" ref="F4">_xlfn.XLOOKUP(TRUE,EXACT(Vuorokoodit!$A:$A,F5),Vuorokoodit!$E:$E,"Ei löydy")</f>
        <v>Ei löydy</v>
      </c>
      <c r="G4" s="31" t="str" cm="1">
        <f t="array" ref="G4">_xlfn.XLOOKUP(TRUE,EXACT(Vuorokoodit!$A:$A,G5),Vuorokoodit!$E:$E,"Ei löydy")</f>
        <v>Ei löydy</v>
      </c>
      <c r="H4" s="31" t="str" cm="1">
        <f t="array" ref="H4">_xlfn.XLOOKUP(TRUE,EXACT(Vuorokoodit!$A:$A,H5),Vuorokoodit!$E:$E,"Ei löydy")</f>
        <v>Ei löydy</v>
      </c>
      <c r="I4" s="31" t="str" cm="1">
        <f t="array" ref="I4">_xlfn.XLOOKUP(TRUE,EXACT(Vuorokoodit!$A:$A,I5),Vuorokoodit!$E:$E,"Ei löydy")</f>
        <v>Ei löydy</v>
      </c>
      <c r="J4" s="31" t="str" cm="1">
        <f t="array" ref="J4">_xlfn.XLOOKUP(TRUE,EXACT(Vuorokoodit!$A:$A,J5),Vuorokoodit!$E:$E,"Ei löydy")</f>
        <v>Ei löydy</v>
      </c>
      <c r="K4" s="31" t="str" cm="1">
        <f t="array" ref="K4">_xlfn.XLOOKUP(TRUE,EXACT(Vuorokoodit!$A:$A,K5),Vuorokoodit!$E:$E,"Ei löydy")</f>
        <v>Ei löydy</v>
      </c>
      <c r="L4" s="31" t="str" cm="1">
        <f t="array" ref="L4">_xlfn.XLOOKUP(TRUE,EXACT(Vuorokoodit!$A:$A,L5),Vuorokoodit!$E:$E,"Ei löydy")</f>
        <v>Ei löydy</v>
      </c>
      <c r="M4" s="31" t="str" cm="1">
        <f t="array" ref="M4">_xlfn.XLOOKUP(TRUE,EXACT(Vuorokoodit!$A:$A,M5),Vuorokoodit!$E:$E,"Ei löydy")</f>
        <v>Ei löydy</v>
      </c>
      <c r="N4" s="31" t="str" cm="1">
        <f t="array" ref="N4">_xlfn.XLOOKUP(TRUE,EXACT(Vuorokoodit!$A:$A,N5),Vuorokoodit!$E:$E,"Ei löydy")</f>
        <v>Ei löydy</v>
      </c>
      <c r="O4" s="31" t="str" cm="1">
        <f t="array" ref="O4">_xlfn.XLOOKUP(TRUE,EXACT(Vuorokoodit!$A:$A,O5),Vuorokoodit!$E:$E,"Ei löydy")</f>
        <v>Ei löydy</v>
      </c>
      <c r="P4" s="31" t="str" cm="1">
        <f t="array" ref="P4">_xlfn.XLOOKUP(TRUE,EXACT(Vuorokoodit!$A:$A,P5),Vuorokoodit!$E:$E,"Ei löydy")</f>
        <v>Ei löydy</v>
      </c>
      <c r="Q4" s="31" t="str" cm="1">
        <f t="array" ref="Q4">_xlfn.XLOOKUP(TRUE,EXACT(Vuorokoodit!$A:$A,Q5),Vuorokoodit!$E:$E,"Ei löydy")</f>
        <v>Ei löydy</v>
      </c>
      <c r="R4" s="31" t="str" cm="1">
        <f t="array" ref="R4">_xlfn.XLOOKUP(TRUE,EXACT(Vuorokoodit!$A:$A,R5),Vuorokoodit!$E:$E,"Ei löydy")</f>
        <v>Ei löydy</v>
      </c>
      <c r="S4" s="31" t="str" cm="1">
        <f t="array" ref="S4">_xlfn.XLOOKUP(TRUE,EXACT(Vuorokoodit!$A:$A,S5),Vuorokoodit!$E:$E,"Ei löydy")</f>
        <v>Ei löydy</v>
      </c>
      <c r="T4" s="31" t="str" cm="1">
        <f t="array" ref="T4">_xlfn.XLOOKUP(TRUE,EXACT(Vuorokoodit!$A:$A,T5),Vuorokoodit!$E:$E,"Ei löydy")</f>
        <v>Ei löydy</v>
      </c>
      <c r="U4" s="31" t="str" cm="1">
        <f t="array" ref="U4">_xlfn.XLOOKUP(TRUE,EXACT(Vuorokoodit!$A:$A,U5),Vuorokoodit!$E:$E,"Ei löydy")</f>
        <v>Ei löydy</v>
      </c>
      <c r="V4" s="31" t="str" cm="1">
        <f t="array" ref="V4">_xlfn.XLOOKUP(TRUE,EXACT(Vuorokoodit!$A:$A,V5),Vuorokoodit!$E:$E,"Ei löydy")</f>
        <v>Ei löydy</v>
      </c>
      <c r="W4" s="31" t="str" cm="1">
        <f t="array" ref="W4">_xlfn.XLOOKUP(TRUE,EXACT(Vuorokoodit!$A:$A,W5),Vuorokoodit!$E:$E,"Ei löydy")</f>
        <v>Ei löydy</v>
      </c>
    </row>
    <row r="5" spans="1:23" ht="19.5" customHeight="1" x14ac:dyDescent="0.25">
      <c r="A5"/>
      <c r="B5" s="59"/>
      <c r="C5" s="34">
        <f>_xlfn.XLOOKUP($B4,Kiertotunnus!$A:$A,Kiertotunnus!B:B)</f>
        <v>0</v>
      </c>
      <c r="D5" s="34">
        <f>_xlfn.XLOOKUP($B4,Kiertotunnus!$A:$A,Kiertotunnus!C:C)</f>
        <v>0</v>
      </c>
      <c r="E5" s="34">
        <f>_xlfn.XLOOKUP($B4,Kiertotunnus!$A:$A,Kiertotunnus!D:D)</f>
        <v>0</v>
      </c>
      <c r="F5" s="34">
        <f>_xlfn.XLOOKUP($B4,Kiertotunnus!$A:$A,Kiertotunnus!E:E)</f>
        <v>0</v>
      </c>
      <c r="G5" s="34">
        <f>_xlfn.XLOOKUP($B4,Kiertotunnus!$A:$A,Kiertotunnus!F:F)</f>
        <v>0</v>
      </c>
      <c r="H5" s="34">
        <f>_xlfn.XLOOKUP($B4,Kiertotunnus!$A:$A,Kiertotunnus!G:G)</f>
        <v>0</v>
      </c>
      <c r="I5" s="34">
        <f>_xlfn.XLOOKUP($B4,Kiertotunnus!$A:$A,Kiertotunnus!H:H)</f>
        <v>0</v>
      </c>
      <c r="J5" s="34">
        <f>_xlfn.XLOOKUP($B4,Kiertotunnus!$A:$A,Kiertotunnus!I:I)</f>
        <v>0</v>
      </c>
      <c r="K5" s="34">
        <f>_xlfn.XLOOKUP($B4,Kiertotunnus!$A:$A,Kiertotunnus!J:J)</f>
        <v>0</v>
      </c>
      <c r="L5" s="34">
        <f>_xlfn.XLOOKUP($B4,Kiertotunnus!$A:$A,Kiertotunnus!K:K)</f>
        <v>0</v>
      </c>
      <c r="M5" s="34">
        <f>_xlfn.XLOOKUP($B4,Kiertotunnus!$A:$A,Kiertotunnus!L:L)</f>
        <v>0</v>
      </c>
      <c r="N5" s="34">
        <f>_xlfn.XLOOKUP($B4,Kiertotunnus!$A:$A,Kiertotunnus!M:M)</f>
        <v>0</v>
      </c>
      <c r="O5" s="34">
        <f>_xlfn.XLOOKUP($B4,Kiertotunnus!$A:$A,Kiertotunnus!N:N)</f>
        <v>0</v>
      </c>
      <c r="P5" s="34">
        <f>_xlfn.XLOOKUP($B4,Kiertotunnus!$A:$A,Kiertotunnus!O:O)</f>
        <v>0</v>
      </c>
      <c r="Q5" s="34">
        <f>_xlfn.XLOOKUP($B4,Kiertotunnus!$A:$A,Kiertotunnus!P:P)</f>
        <v>0</v>
      </c>
      <c r="R5" s="34">
        <f>_xlfn.XLOOKUP($B4,Kiertotunnus!$A:$A,Kiertotunnus!Q:Q)</f>
        <v>0</v>
      </c>
      <c r="S5" s="34">
        <f>_xlfn.XLOOKUP($B4,Kiertotunnus!$A:$A,Kiertotunnus!R:R)</f>
        <v>0</v>
      </c>
      <c r="T5" s="34">
        <f>_xlfn.XLOOKUP($B4,Kiertotunnus!$A:$A,Kiertotunnus!S:S)</f>
        <v>0</v>
      </c>
      <c r="U5" s="34">
        <f>_xlfn.XLOOKUP($B4,Kiertotunnus!$A:$A,Kiertotunnus!T:T)</f>
        <v>0</v>
      </c>
      <c r="V5" s="34">
        <f>_xlfn.XLOOKUP($B4,Kiertotunnus!$A:$A,Kiertotunnus!U:U)</f>
        <v>0</v>
      </c>
      <c r="W5" s="34">
        <f>_xlfn.XLOOKUP($B4,Kiertotunnus!$A:$A,Kiertotunnus!V:V)</f>
        <v>0</v>
      </c>
    </row>
    <row r="6" spans="1:23" ht="39.75" customHeight="1" x14ac:dyDescent="0.25">
      <c r="A6"/>
      <c r="B6" s="59" t="s">
        <v>96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</row>
    <row r="7" spans="1:23" ht="54" customHeight="1" x14ac:dyDescent="0.25">
      <c r="A7" s="29"/>
      <c r="B7" s="77"/>
      <c r="C7" s="31" t="str" cm="1">
        <f t="array" ref="C7">_xlfn.XLOOKUP(TRUE,EXACT(Vuorokoodit!$A:$A,C8),Vuorokoodit!$E:$E,"Ei löydy")</f>
        <v>Ei löydy</v>
      </c>
      <c r="D7" s="31" t="str" cm="1">
        <f t="array" ref="D7">_xlfn.XLOOKUP(TRUE,EXACT(Vuorokoodit!$A:$A,D8),Vuorokoodit!$E:$E,"Ei löydy")</f>
        <v>Ei löydy</v>
      </c>
      <c r="E7" s="31" t="str" cm="1">
        <f t="array" ref="E7">_xlfn.XLOOKUP(TRUE,EXACT(Vuorokoodit!$A:$A,E8),Vuorokoodit!$E:$E,"Ei löydy")</f>
        <v>Ei löydy</v>
      </c>
      <c r="F7" s="31" t="str" cm="1">
        <f t="array" ref="F7">_xlfn.XLOOKUP(TRUE,EXACT(Vuorokoodit!$A:$A,F8),Vuorokoodit!$E:$E,"Ei löydy")</f>
        <v>Ei löydy</v>
      </c>
      <c r="G7" s="31" t="str" cm="1">
        <f t="array" ref="G7">_xlfn.XLOOKUP(TRUE,EXACT(Vuorokoodit!$A:$A,G8),Vuorokoodit!$E:$E,"Ei löydy")</f>
        <v>Ei löydy</v>
      </c>
      <c r="H7" s="31" t="str" cm="1">
        <f t="array" ref="H7">_xlfn.XLOOKUP(TRUE,EXACT(Vuorokoodit!$A:$A,H8),Vuorokoodit!$E:$E,"Ei löydy")</f>
        <v>Ei löydy</v>
      </c>
      <c r="I7" s="31" t="str" cm="1">
        <f t="array" ref="I7">_xlfn.XLOOKUP(TRUE,EXACT(Vuorokoodit!$A:$A,I8),Vuorokoodit!$E:$E,"Ei löydy")</f>
        <v>Ei löydy</v>
      </c>
      <c r="J7" s="31" t="str" cm="1">
        <f t="array" ref="J7">_xlfn.XLOOKUP(TRUE,EXACT(Vuorokoodit!$A:$A,J8),Vuorokoodit!$E:$E,"Ei löydy")</f>
        <v>Ei löydy</v>
      </c>
      <c r="K7" s="31" t="str" cm="1">
        <f t="array" ref="K7">_xlfn.XLOOKUP(TRUE,EXACT(Vuorokoodit!$A:$A,K8),Vuorokoodit!$E:$E,"Ei löydy")</f>
        <v>Ei löydy</v>
      </c>
      <c r="L7" s="31" t="str" cm="1">
        <f t="array" ref="L7">_xlfn.XLOOKUP(TRUE,EXACT(Vuorokoodit!$A:$A,L8),Vuorokoodit!$E:$E,"Ei löydy")</f>
        <v>Ei löydy</v>
      </c>
      <c r="M7" s="31" t="str" cm="1">
        <f t="array" ref="M7">_xlfn.XLOOKUP(TRUE,EXACT(Vuorokoodit!$A:$A,M8),Vuorokoodit!$E:$E,"Ei löydy")</f>
        <v>Ei löydy</v>
      </c>
      <c r="N7" s="31" t="str" cm="1">
        <f t="array" ref="N7">_xlfn.XLOOKUP(TRUE,EXACT(Vuorokoodit!$A:$A,N8),Vuorokoodit!$E:$E,"Ei löydy")</f>
        <v>Ei löydy</v>
      </c>
      <c r="O7" s="31" t="str" cm="1">
        <f t="array" ref="O7">_xlfn.XLOOKUP(TRUE,EXACT(Vuorokoodit!$A:$A,O8),Vuorokoodit!$E:$E,"Ei löydy")</f>
        <v>Ei löydy</v>
      </c>
      <c r="P7" s="31" t="str" cm="1">
        <f t="array" ref="P7">_xlfn.XLOOKUP(TRUE,EXACT(Vuorokoodit!$A:$A,P8),Vuorokoodit!$E:$E,"Ei löydy")</f>
        <v>Ei löydy</v>
      </c>
      <c r="Q7" s="31" t="str" cm="1">
        <f t="array" ref="Q7">_xlfn.XLOOKUP(TRUE,EXACT(Vuorokoodit!$A:$A,Q8),Vuorokoodit!$E:$E,"Ei löydy")</f>
        <v>Ei löydy</v>
      </c>
      <c r="R7" s="31" t="str" cm="1">
        <f t="array" ref="R7">_xlfn.XLOOKUP(TRUE,EXACT(Vuorokoodit!$A:$A,R8),Vuorokoodit!$E:$E,"Ei löydy")</f>
        <v>Ei löydy</v>
      </c>
      <c r="S7" s="31" t="str" cm="1">
        <f t="array" ref="S7">_xlfn.XLOOKUP(TRUE,EXACT(Vuorokoodit!$A:$A,S8),Vuorokoodit!$E:$E,"Ei löydy")</f>
        <v>Ei löydy</v>
      </c>
      <c r="T7" s="31" t="str" cm="1">
        <f t="array" ref="T7">_xlfn.XLOOKUP(TRUE,EXACT(Vuorokoodit!$A:$A,T8),Vuorokoodit!$E:$E,"Ei löydy")</f>
        <v>Ei löydy</v>
      </c>
      <c r="U7" s="31" t="str" cm="1">
        <f t="array" ref="U7">_xlfn.XLOOKUP(TRUE,EXACT(Vuorokoodit!$A:$A,U8),Vuorokoodit!$E:$E,"Ei löydy")</f>
        <v>Ei löydy</v>
      </c>
      <c r="V7" s="31" t="str" cm="1">
        <f t="array" ref="V7">_xlfn.XLOOKUP(TRUE,EXACT(Vuorokoodit!$A:$A,V8),Vuorokoodit!$E:$E,"Ei löydy")</f>
        <v>Ei löydy</v>
      </c>
      <c r="W7" s="31" t="str" cm="1">
        <f t="array" ref="W7">_xlfn.XLOOKUP(TRUE,EXACT(Vuorokoodit!$A:$A,W8),Vuorokoodit!$E:$E,"Ei löydy")</f>
        <v>Ei löydy</v>
      </c>
    </row>
    <row r="8" spans="1:23" ht="22.5" customHeight="1" x14ac:dyDescent="0.25">
      <c r="A8"/>
      <c r="B8" s="59"/>
      <c r="C8" s="34">
        <f>_xlfn.XLOOKUP($B7,Kiertotunnus!$A:$A,Kiertotunnus!B:B)</f>
        <v>0</v>
      </c>
      <c r="D8" s="34">
        <f>_xlfn.XLOOKUP($B7,Kiertotunnus!$A:$A,Kiertotunnus!C:C)</f>
        <v>0</v>
      </c>
      <c r="E8" s="34">
        <f>_xlfn.XLOOKUP($B7,Kiertotunnus!$A:$A,Kiertotunnus!D:D)</f>
        <v>0</v>
      </c>
      <c r="F8" s="34">
        <f>_xlfn.XLOOKUP($B7,Kiertotunnus!$A:$A,Kiertotunnus!E:E)</f>
        <v>0</v>
      </c>
      <c r="G8" s="34">
        <f>_xlfn.XLOOKUP($B7,Kiertotunnus!$A:$A,Kiertotunnus!F:F)</f>
        <v>0</v>
      </c>
      <c r="H8" s="34">
        <f>_xlfn.XLOOKUP($B7,Kiertotunnus!$A:$A,Kiertotunnus!G:G)</f>
        <v>0</v>
      </c>
      <c r="I8" s="34">
        <f>_xlfn.XLOOKUP($B7,Kiertotunnus!$A:$A,Kiertotunnus!H:H)</f>
        <v>0</v>
      </c>
      <c r="J8" s="34">
        <f>_xlfn.XLOOKUP($B7,Kiertotunnus!$A:$A,Kiertotunnus!I:I)</f>
        <v>0</v>
      </c>
      <c r="K8" s="34">
        <f>_xlfn.XLOOKUP($B7,Kiertotunnus!$A:$A,Kiertotunnus!J:J)</f>
        <v>0</v>
      </c>
      <c r="L8" s="34">
        <f>_xlfn.XLOOKUP($B7,Kiertotunnus!$A:$A,Kiertotunnus!K:K)</f>
        <v>0</v>
      </c>
      <c r="M8" s="34">
        <f>_xlfn.XLOOKUP($B7,Kiertotunnus!$A:$A,Kiertotunnus!L:L)</f>
        <v>0</v>
      </c>
      <c r="N8" s="34">
        <f>_xlfn.XLOOKUP($B7,Kiertotunnus!$A:$A,Kiertotunnus!M:M)</f>
        <v>0</v>
      </c>
      <c r="O8" s="34">
        <f>_xlfn.XLOOKUP($B7,Kiertotunnus!$A:$A,Kiertotunnus!N:N)</f>
        <v>0</v>
      </c>
      <c r="P8" s="34">
        <f>_xlfn.XLOOKUP($B7,Kiertotunnus!$A:$A,Kiertotunnus!O:O)</f>
        <v>0</v>
      </c>
      <c r="Q8" s="34">
        <f>_xlfn.XLOOKUP($B7,Kiertotunnus!$A:$A,Kiertotunnus!P:P)</f>
        <v>0</v>
      </c>
      <c r="R8" s="34">
        <f>_xlfn.XLOOKUP($B7,Kiertotunnus!$A:$A,Kiertotunnus!Q:Q)</f>
        <v>0</v>
      </c>
      <c r="S8" s="34">
        <f>_xlfn.XLOOKUP($B7,Kiertotunnus!$A:$A,Kiertotunnus!R:R)</f>
        <v>0</v>
      </c>
      <c r="T8" s="34">
        <f>_xlfn.XLOOKUP($B7,Kiertotunnus!$A:$A,Kiertotunnus!S:S)</f>
        <v>0</v>
      </c>
      <c r="U8" s="34">
        <f>_xlfn.XLOOKUP($B7,Kiertotunnus!$A:$A,Kiertotunnus!T:T)</f>
        <v>0</v>
      </c>
      <c r="V8" s="34">
        <f>_xlfn.XLOOKUP($B7,Kiertotunnus!$A:$A,Kiertotunnus!U:U)</f>
        <v>0</v>
      </c>
      <c r="W8" s="34">
        <f>_xlfn.XLOOKUP($B7,Kiertotunnus!$A:$A,Kiertotunnus!V:V)</f>
        <v>0</v>
      </c>
    </row>
    <row r="9" spans="1:23" ht="39.75" customHeight="1" x14ac:dyDescent="0.25">
      <c r="A9" s="20"/>
      <c r="B9" s="59" t="s">
        <v>96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</row>
    <row r="10" spans="1:23" ht="53.25" customHeight="1" x14ac:dyDescent="0.25">
      <c r="A10" s="29"/>
      <c r="B10" s="77"/>
      <c r="C10" s="31" t="str" cm="1">
        <f t="array" ref="C10">_xlfn.XLOOKUP(TRUE,EXACT(Vuorokoodit!$A:$A,C11),Vuorokoodit!$E:$E,"Ei löydy")</f>
        <v>Ei löydy</v>
      </c>
      <c r="D10" s="31" t="str" cm="1">
        <f t="array" ref="D10">_xlfn.XLOOKUP(TRUE,EXACT(Vuorokoodit!$A:$A,D11),Vuorokoodit!$E:$E,"Ei löydy")</f>
        <v>Ei löydy</v>
      </c>
      <c r="E10" s="31" t="str" cm="1">
        <f t="array" ref="E10">_xlfn.XLOOKUP(TRUE,EXACT(Vuorokoodit!$A:$A,E11),Vuorokoodit!$E:$E,"Ei löydy")</f>
        <v>Ei löydy</v>
      </c>
      <c r="F10" s="31" t="str" cm="1">
        <f t="array" ref="F10">_xlfn.XLOOKUP(TRUE,EXACT(Vuorokoodit!$A:$A,F11),Vuorokoodit!$E:$E,"Ei löydy")</f>
        <v>Ei löydy</v>
      </c>
      <c r="G10" s="31" t="str" cm="1">
        <f t="array" ref="G10">_xlfn.XLOOKUP(TRUE,EXACT(Vuorokoodit!$A:$A,G11),Vuorokoodit!$E:$E,"Ei löydy")</f>
        <v>Ei löydy</v>
      </c>
      <c r="H10" s="31" t="str" cm="1">
        <f t="array" ref="H10">_xlfn.XLOOKUP(TRUE,EXACT(Vuorokoodit!$A:$A,H11),Vuorokoodit!$E:$E,"Ei löydy")</f>
        <v>Ei löydy</v>
      </c>
      <c r="I10" s="31" t="str" cm="1">
        <f t="array" ref="I10">_xlfn.XLOOKUP(TRUE,EXACT(Vuorokoodit!$A:$A,I11),Vuorokoodit!$E:$E,"Ei löydy")</f>
        <v>Ei löydy</v>
      </c>
      <c r="J10" s="31" t="str" cm="1">
        <f t="array" ref="J10">_xlfn.XLOOKUP(TRUE,EXACT(Vuorokoodit!$A:$A,J11),Vuorokoodit!$E:$E,"Ei löydy")</f>
        <v>Ei löydy</v>
      </c>
      <c r="K10" s="31" t="str" cm="1">
        <f t="array" ref="K10">_xlfn.XLOOKUP(TRUE,EXACT(Vuorokoodit!$A:$A,K11),Vuorokoodit!$E:$E,"Ei löydy")</f>
        <v>Ei löydy</v>
      </c>
      <c r="L10" s="31" t="str" cm="1">
        <f t="array" ref="L10">_xlfn.XLOOKUP(TRUE,EXACT(Vuorokoodit!$A:$A,L11),Vuorokoodit!$E:$E,"Ei löydy")</f>
        <v>Ei löydy</v>
      </c>
      <c r="M10" s="31" t="str" cm="1">
        <f t="array" ref="M10">_xlfn.XLOOKUP(TRUE,EXACT(Vuorokoodit!$A:$A,M11),Vuorokoodit!$E:$E,"Ei löydy")</f>
        <v>Ei löydy</v>
      </c>
      <c r="N10" s="31" t="str" cm="1">
        <f t="array" ref="N10">_xlfn.XLOOKUP(TRUE,EXACT(Vuorokoodit!$A:$A,N11),Vuorokoodit!$E:$E,"Ei löydy")</f>
        <v>Ei löydy</v>
      </c>
      <c r="O10" s="31" t="str" cm="1">
        <f t="array" ref="O10">_xlfn.XLOOKUP(TRUE,EXACT(Vuorokoodit!$A:$A,O11),Vuorokoodit!$E:$E,"Ei löydy")</f>
        <v>Ei löydy</v>
      </c>
      <c r="P10" s="31" t="str" cm="1">
        <f t="array" ref="P10">_xlfn.XLOOKUP(TRUE,EXACT(Vuorokoodit!$A:$A,P11),Vuorokoodit!$E:$E,"Ei löydy")</f>
        <v>Ei löydy</v>
      </c>
      <c r="Q10" s="31" t="str" cm="1">
        <f t="array" ref="Q10">_xlfn.XLOOKUP(TRUE,EXACT(Vuorokoodit!$A:$A,Q11),Vuorokoodit!$E:$E,"Ei löydy")</f>
        <v>Ei löydy</v>
      </c>
      <c r="R10" s="31" t="str" cm="1">
        <f t="array" ref="R10">_xlfn.XLOOKUP(TRUE,EXACT(Vuorokoodit!$A:$A,R11),Vuorokoodit!$E:$E,"Ei löydy")</f>
        <v>Ei löydy</v>
      </c>
      <c r="S10" s="31" t="str" cm="1">
        <f t="array" ref="S10">_xlfn.XLOOKUP(TRUE,EXACT(Vuorokoodit!$A:$A,S11),Vuorokoodit!$E:$E,"Ei löydy")</f>
        <v>Ei löydy</v>
      </c>
      <c r="T10" s="31" t="str" cm="1">
        <f t="array" ref="T10">_xlfn.XLOOKUP(TRUE,EXACT(Vuorokoodit!$A:$A,T11),Vuorokoodit!$E:$E,"Ei löydy")</f>
        <v>Ei löydy</v>
      </c>
      <c r="U10" s="31" t="str" cm="1">
        <f t="array" ref="U10">_xlfn.XLOOKUP(TRUE,EXACT(Vuorokoodit!$A:$A,U11),Vuorokoodit!$E:$E,"Ei löydy")</f>
        <v>Ei löydy</v>
      </c>
      <c r="V10" s="31" t="str" cm="1">
        <f t="array" ref="V10">_xlfn.XLOOKUP(TRUE,EXACT(Vuorokoodit!$A:$A,V11),Vuorokoodit!$E:$E,"Ei löydy")</f>
        <v>Ei löydy</v>
      </c>
      <c r="W10" s="31" t="str" cm="1">
        <f t="array" ref="W10">_xlfn.XLOOKUP(TRUE,EXACT(Vuorokoodit!$A:$A,W11),Vuorokoodit!$E:$E,"Ei löydy")</f>
        <v>Ei löydy</v>
      </c>
    </row>
    <row r="11" spans="1:23" ht="22.5" customHeight="1" x14ac:dyDescent="0.25">
      <c r="A11"/>
      <c r="B11" s="59"/>
      <c r="C11" s="34">
        <f>_xlfn.XLOOKUP($B10,Kiertotunnus!$A:$A,Kiertotunnus!B:B)</f>
        <v>0</v>
      </c>
      <c r="D11" s="34">
        <f>_xlfn.XLOOKUP($B10,Kiertotunnus!$A:$A,Kiertotunnus!C:C)</f>
        <v>0</v>
      </c>
      <c r="E11" s="34">
        <f>_xlfn.XLOOKUP($B10,Kiertotunnus!$A:$A,Kiertotunnus!D:D)</f>
        <v>0</v>
      </c>
      <c r="F11" s="34">
        <f>_xlfn.XLOOKUP($B10,Kiertotunnus!$A:$A,Kiertotunnus!E:E)</f>
        <v>0</v>
      </c>
      <c r="G11" s="34">
        <f>_xlfn.XLOOKUP($B10,Kiertotunnus!$A:$A,Kiertotunnus!F:F)</f>
        <v>0</v>
      </c>
      <c r="H11" s="34">
        <f>_xlfn.XLOOKUP($B10,Kiertotunnus!$A:$A,Kiertotunnus!G:G)</f>
        <v>0</v>
      </c>
      <c r="I11" s="34">
        <f>_xlfn.XLOOKUP($B10,Kiertotunnus!$A:$A,Kiertotunnus!H:H)</f>
        <v>0</v>
      </c>
      <c r="J11" s="34">
        <f>_xlfn.XLOOKUP($B10,Kiertotunnus!$A:$A,Kiertotunnus!I:I)</f>
        <v>0</v>
      </c>
      <c r="K11" s="34">
        <f>_xlfn.XLOOKUP($B10,Kiertotunnus!$A:$A,Kiertotunnus!J:J)</f>
        <v>0</v>
      </c>
      <c r="L11" s="34">
        <f>_xlfn.XLOOKUP($B10,Kiertotunnus!$A:$A,Kiertotunnus!K:K)</f>
        <v>0</v>
      </c>
      <c r="M11" s="34">
        <f>_xlfn.XLOOKUP($B10,Kiertotunnus!$A:$A,Kiertotunnus!L:L)</f>
        <v>0</v>
      </c>
      <c r="N11" s="34">
        <f>_xlfn.XLOOKUP($B10,Kiertotunnus!$A:$A,Kiertotunnus!M:M)</f>
        <v>0</v>
      </c>
      <c r="O11" s="34">
        <f>_xlfn.XLOOKUP($B10,Kiertotunnus!$A:$A,Kiertotunnus!N:N)</f>
        <v>0</v>
      </c>
      <c r="P11" s="34">
        <f>_xlfn.XLOOKUP($B10,Kiertotunnus!$A:$A,Kiertotunnus!O:O)</f>
        <v>0</v>
      </c>
      <c r="Q11" s="34">
        <f>_xlfn.XLOOKUP($B10,Kiertotunnus!$A:$A,Kiertotunnus!P:P)</f>
        <v>0</v>
      </c>
      <c r="R11" s="34">
        <f>_xlfn.XLOOKUP($B10,Kiertotunnus!$A:$A,Kiertotunnus!Q:Q)</f>
        <v>0</v>
      </c>
      <c r="S11" s="34">
        <f>_xlfn.XLOOKUP($B10,Kiertotunnus!$A:$A,Kiertotunnus!R:R)</f>
        <v>0</v>
      </c>
      <c r="T11" s="34">
        <f>_xlfn.XLOOKUP($B10,Kiertotunnus!$A:$A,Kiertotunnus!S:S)</f>
        <v>0</v>
      </c>
      <c r="U11" s="34">
        <f>_xlfn.XLOOKUP($B10,Kiertotunnus!$A:$A,Kiertotunnus!T:T)</f>
        <v>0</v>
      </c>
      <c r="V11" s="34">
        <f>_xlfn.XLOOKUP($B10,Kiertotunnus!$A:$A,Kiertotunnus!U:U)</f>
        <v>0</v>
      </c>
      <c r="W11" s="34">
        <f>_xlfn.XLOOKUP($B10,Kiertotunnus!$A:$A,Kiertotunnus!V:V)</f>
        <v>0</v>
      </c>
    </row>
    <row r="12" spans="1:23" ht="39.75" customHeight="1" x14ac:dyDescent="0.25">
      <c r="A12" s="20"/>
      <c r="B12" s="59" t="s">
        <v>96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</row>
    <row r="13" spans="1:23" ht="54" customHeight="1" x14ac:dyDescent="0.25">
      <c r="A13" s="29"/>
      <c r="B13" s="77"/>
      <c r="C13" s="31" t="str" cm="1">
        <f t="array" ref="C13">_xlfn.XLOOKUP(TRUE,EXACT(Vuorokoodit!$A:$A,C14),Vuorokoodit!$E:$E,"Ei löydy")</f>
        <v>Ei löydy</v>
      </c>
      <c r="D13" s="31" t="str" cm="1">
        <f t="array" ref="D13">_xlfn.XLOOKUP(TRUE,EXACT(Vuorokoodit!$A:$A,D14),Vuorokoodit!$E:$E,"Ei löydy")</f>
        <v>Ei löydy</v>
      </c>
      <c r="E13" s="31" t="str" cm="1">
        <f t="array" ref="E13">_xlfn.XLOOKUP(TRUE,EXACT(Vuorokoodit!$A:$A,E14),Vuorokoodit!$E:$E,"Ei löydy")</f>
        <v>Ei löydy</v>
      </c>
      <c r="F13" s="31" t="str" cm="1">
        <f t="array" ref="F13">_xlfn.XLOOKUP(TRUE,EXACT(Vuorokoodit!$A:$A,F14),Vuorokoodit!$E:$E,"Ei löydy")</f>
        <v>Ei löydy</v>
      </c>
      <c r="G13" s="31" t="str" cm="1">
        <f t="array" ref="G13">_xlfn.XLOOKUP(TRUE,EXACT(Vuorokoodit!$A:$A,G14),Vuorokoodit!$E:$E,"Ei löydy")</f>
        <v>Ei löydy</v>
      </c>
      <c r="H13" s="31" t="str" cm="1">
        <f t="array" ref="H13">_xlfn.XLOOKUP(TRUE,EXACT(Vuorokoodit!$A:$A,H14),Vuorokoodit!$E:$E,"Ei löydy")</f>
        <v>Ei löydy</v>
      </c>
      <c r="I13" s="31" t="str" cm="1">
        <f t="array" ref="I13">_xlfn.XLOOKUP(TRUE,EXACT(Vuorokoodit!$A:$A,I14),Vuorokoodit!$E:$E,"Ei löydy")</f>
        <v>Ei löydy</v>
      </c>
      <c r="J13" s="31" t="str" cm="1">
        <f t="array" ref="J13">_xlfn.XLOOKUP(TRUE,EXACT(Vuorokoodit!$A:$A,J14),Vuorokoodit!$E:$E,"Ei löydy")</f>
        <v>Ei löydy</v>
      </c>
      <c r="K13" s="31" t="str" cm="1">
        <f t="array" ref="K13">_xlfn.XLOOKUP(TRUE,EXACT(Vuorokoodit!$A:$A,K14),Vuorokoodit!$E:$E,"Ei löydy")</f>
        <v>Ei löydy</v>
      </c>
      <c r="L13" s="31" t="str" cm="1">
        <f t="array" ref="L13">_xlfn.XLOOKUP(TRUE,EXACT(Vuorokoodit!$A:$A,L14),Vuorokoodit!$E:$E,"Ei löydy")</f>
        <v>Ei löydy</v>
      </c>
      <c r="M13" s="31" t="str" cm="1">
        <f t="array" ref="M13">_xlfn.XLOOKUP(TRUE,EXACT(Vuorokoodit!$A:$A,M14),Vuorokoodit!$E:$E,"Ei löydy")</f>
        <v>Ei löydy</v>
      </c>
      <c r="N13" s="31" t="str" cm="1">
        <f t="array" ref="N13">_xlfn.XLOOKUP(TRUE,EXACT(Vuorokoodit!$A:$A,N14),Vuorokoodit!$E:$E,"Ei löydy")</f>
        <v>Ei löydy</v>
      </c>
      <c r="O13" s="31" t="str" cm="1">
        <f t="array" ref="O13">_xlfn.XLOOKUP(TRUE,EXACT(Vuorokoodit!$A:$A,O14),Vuorokoodit!$E:$E,"Ei löydy")</f>
        <v>Ei löydy</v>
      </c>
      <c r="P13" s="31" t="str" cm="1">
        <f t="array" ref="P13">_xlfn.XLOOKUP(TRUE,EXACT(Vuorokoodit!$A:$A,P14),Vuorokoodit!$E:$E,"Ei löydy")</f>
        <v>Ei löydy</v>
      </c>
      <c r="Q13" s="31" t="str" cm="1">
        <f t="array" ref="Q13">_xlfn.XLOOKUP(TRUE,EXACT(Vuorokoodit!$A:$A,Q14),Vuorokoodit!$E:$E,"Ei löydy")</f>
        <v>Ei löydy</v>
      </c>
      <c r="R13" s="31" t="str" cm="1">
        <f t="array" ref="R13">_xlfn.XLOOKUP(TRUE,EXACT(Vuorokoodit!$A:$A,R14),Vuorokoodit!$E:$E,"Ei löydy")</f>
        <v>Ei löydy</v>
      </c>
      <c r="S13" s="31" t="str" cm="1">
        <f t="array" ref="S13">_xlfn.XLOOKUP(TRUE,EXACT(Vuorokoodit!$A:$A,S14),Vuorokoodit!$E:$E,"Ei löydy")</f>
        <v>Ei löydy</v>
      </c>
      <c r="T13" s="31" t="str" cm="1">
        <f t="array" ref="T13">_xlfn.XLOOKUP(TRUE,EXACT(Vuorokoodit!$A:$A,T14),Vuorokoodit!$E:$E,"Ei löydy")</f>
        <v>Ei löydy</v>
      </c>
      <c r="U13" s="31" t="str" cm="1">
        <f t="array" ref="U13">_xlfn.XLOOKUP(TRUE,EXACT(Vuorokoodit!$A:$A,U14),Vuorokoodit!$E:$E,"Ei löydy")</f>
        <v>Ei löydy</v>
      </c>
      <c r="V13" s="31" t="str" cm="1">
        <f t="array" ref="V13">_xlfn.XLOOKUP(TRUE,EXACT(Vuorokoodit!$A:$A,V14),Vuorokoodit!$E:$E,"Ei löydy")</f>
        <v>Ei löydy</v>
      </c>
      <c r="W13" s="31" t="str" cm="1">
        <f t="array" ref="W13">_xlfn.XLOOKUP(TRUE,EXACT(Vuorokoodit!$A:$A,W14),Vuorokoodit!$E:$E,"Ei löydy")</f>
        <v>Ei löydy</v>
      </c>
    </row>
    <row r="14" spans="1:23" ht="22.5" customHeight="1" x14ac:dyDescent="0.25">
      <c r="A14"/>
      <c r="B14" s="59"/>
      <c r="C14" s="34">
        <f>_xlfn.XLOOKUP($B13,Kiertotunnus!$A:$A,Kiertotunnus!B:B)</f>
        <v>0</v>
      </c>
      <c r="D14" s="34">
        <f>_xlfn.XLOOKUP($B13,Kiertotunnus!$A:$A,Kiertotunnus!C:C)</f>
        <v>0</v>
      </c>
      <c r="E14" s="34">
        <f>_xlfn.XLOOKUP($B13,Kiertotunnus!$A:$A,Kiertotunnus!D:D)</f>
        <v>0</v>
      </c>
      <c r="F14" s="34">
        <f>_xlfn.XLOOKUP($B13,Kiertotunnus!$A:$A,Kiertotunnus!E:E)</f>
        <v>0</v>
      </c>
      <c r="G14" s="34">
        <f>_xlfn.XLOOKUP($B13,Kiertotunnus!$A:$A,Kiertotunnus!F:F)</f>
        <v>0</v>
      </c>
      <c r="H14" s="34">
        <f>_xlfn.XLOOKUP($B13,Kiertotunnus!$A:$A,Kiertotunnus!G:G)</f>
        <v>0</v>
      </c>
      <c r="I14" s="34">
        <f>_xlfn.XLOOKUP($B13,Kiertotunnus!$A:$A,Kiertotunnus!H:H)</f>
        <v>0</v>
      </c>
      <c r="J14" s="34">
        <f>_xlfn.XLOOKUP($B13,Kiertotunnus!$A:$A,Kiertotunnus!I:I)</f>
        <v>0</v>
      </c>
      <c r="K14" s="34">
        <f>_xlfn.XLOOKUP($B13,Kiertotunnus!$A:$A,Kiertotunnus!J:J)</f>
        <v>0</v>
      </c>
      <c r="L14" s="34">
        <f>_xlfn.XLOOKUP($B13,Kiertotunnus!$A:$A,Kiertotunnus!K:K)</f>
        <v>0</v>
      </c>
      <c r="M14" s="34">
        <f>_xlfn.XLOOKUP($B13,Kiertotunnus!$A:$A,Kiertotunnus!L:L)</f>
        <v>0</v>
      </c>
      <c r="N14" s="34">
        <f>_xlfn.XLOOKUP($B13,Kiertotunnus!$A:$A,Kiertotunnus!M:M)</f>
        <v>0</v>
      </c>
      <c r="O14" s="34">
        <f>_xlfn.XLOOKUP($B13,Kiertotunnus!$A:$A,Kiertotunnus!N:N)</f>
        <v>0</v>
      </c>
      <c r="P14" s="34">
        <f>_xlfn.XLOOKUP($B13,Kiertotunnus!$A:$A,Kiertotunnus!O:O)</f>
        <v>0</v>
      </c>
      <c r="Q14" s="34">
        <f>_xlfn.XLOOKUP($B13,Kiertotunnus!$A:$A,Kiertotunnus!P:P)</f>
        <v>0</v>
      </c>
      <c r="R14" s="34">
        <f>_xlfn.XLOOKUP($B13,Kiertotunnus!$A:$A,Kiertotunnus!Q:Q)</f>
        <v>0</v>
      </c>
      <c r="S14" s="34">
        <f>_xlfn.XLOOKUP($B13,Kiertotunnus!$A:$A,Kiertotunnus!R:R)</f>
        <v>0</v>
      </c>
      <c r="T14" s="34">
        <f>_xlfn.XLOOKUP($B13,Kiertotunnus!$A:$A,Kiertotunnus!S:S)</f>
        <v>0</v>
      </c>
      <c r="U14" s="34">
        <f>_xlfn.XLOOKUP($B13,Kiertotunnus!$A:$A,Kiertotunnus!T:T)</f>
        <v>0</v>
      </c>
      <c r="V14" s="34">
        <f>_xlfn.XLOOKUP($B13,Kiertotunnus!$A:$A,Kiertotunnus!U:U)</f>
        <v>0</v>
      </c>
      <c r="W14" s="34">
        <f>_xlfn.XLOOKUP($B13,Kiertotunnus!$A:$A,Kiertotunnus!V:V)</f>
        <v>0</v>
      </c>
    </row>
    <row r="15" spans="1:23" ht="39.75" customHeight="1" x14ac:dyDescent="0.25">
      <c r="A15" s="20"/>
      <c r="B15" s="59" t="s">
        <v>96</v>
      </c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</row>
    <row r="16" spans="1:23" ht="54" customHeight="1" x14ac:dyDescent="0.25">
      <c r="A16" s="29"/>
      <c r="B16" s="77"/>
      <c r="C16" s="31" t="str" cm="1">
        <f t="array" ref="C16">_xlfn.XLOOKUP(TRUE,EXACT(Vuorokoodit!$A:$A,C17),Vuorokoodit!$E:$E,"Ei löydy")</f>
        <v>Ei löydy</v>
      </c>
      <c r="D16" s="31" t="str" cm="1">
        <f t="array" ref="D16">_xlfn.XLOOKUP(TRUE,EXACT(Vuorokoodit!$A:$A,D17),Vuorokoodit!$E:$E,"Ei löydy")</f>
        <v>Ei löydy</v>
      </c>
      <c r="E16" s="31" t="str" cm="1">
        <f t="array" ref="E16">_xlfn.XLOOKUP(TRUE,EXACT(Vuorokoodit!$A:$A,E17),Vuorokoodit!$E:$E,"Ei löydy")</f>
        <v>Ei löydy</v>
      </c>
      <c r="F16" s="31" t="str" cm="1">
        <f t="array" ref="F16">_xlfn.XLOOKUP(TRUE,EXACT(Vuorokoodit!$A:$A,F17),Vuorokoodit!$E:$E,"Ei löydy")</f>
        <v>Ei löydy</v>
      </c>
      <c r="G16" s="31" t="str" cm="1">
        <f t="array" ref="G16">_xlfn.XLOOKUP(TRUE,EXACT(Vuorokoodit!$A:$A,G17),Vuorokoodit!$E:$E,"Ei löydy")</f>
        <v>Ei löydy</v>
      </c>
      <c r="H16" s="31" t="str" cm="1">
        <f t="array" ref="H16">_xlfn.XLOOKUP(TRUE,EXACT(Vuorokoodit!$A:$A,H17),Vuorokoodit!$E:$E,"Ei löydy")</f>
        <v>Ei löydy</v>
      </c>
      <c r="I16" s="31" t="str" cm="1">
        <f t="array" ref="I16">_xlfn.XLOOKUP(TRUE,EXACT(Vuorokoodit!$A:$A,I17),Vuorokoodit!$E:$E,"Ei löydy")</f>
        <v>Ei löydy</v>
      </c>
      <c r="J16" s="31" t="str" cm="1">
        <f t="array" ref="J16">_xlfn.XLOOKUP(TRUE,EXACT(Vuorokoodit!$A:$A,J17),Vuorokoodit!$E:$E,"Ei löydy")</f>
        <v>Ei löydy</v>
      </c>
      <c r="K16" s="31" t="str" cm="1">
        <f t="array" ref="K16">_xlfn.XLOOKUP(TRUE,EXACT(Vuorokoodit!$A:$A,K17),Vuorokoodit!$E:$E,"Ei löydy")</f>
        <v>Ei löydy</v>
      </c>
      <c r="L16" s="31" t="str" cm="1">
        <f t="array" ref="L16">_xlfn.XLOOKUP(TRUE,EXACT(Vuorokoodit!$A:$A,L17),Vuorokoodit!$E:$E,"Ei löydy")</f>
        <v>Ei löydy</v>
      </c>
      <c r="M16" s="31" t="str" cm="1">
        <f t="array" ref="M16">_xlfn.XLOOKUP(TRUE,EXACT(Vuorokoodit!$A:$A,M17),Vuorokoodit!$E:$E,"Ei löydy")</f>
        <v>Ei löydy</v>
      </c>
      <c r="N16" s="31" t="str" cm="1">
        <f t="array" ref="N16">_xlfn.XLOOKUP(TRUE,EXACT(Vuorokoodit!$A:$A,N17),Vuorokoodit!$E:$E,"Ei löydy")</f>
        <v>Ei löydy</v>
      </c>
      <c r="O16" s="31" t="str" cm="1">
        <f t="array" ref="O16">_xlfn.XLOOKUP(TRUE,EXACT(Vuorokoodit!$A:$A,O17),Vuorokoodit!$E:$E,"Ei löydy")</f>
        <v>Ei löydy</v>
      </c>
      <c r="P16" s="31" t="str" cm="1">
        <f t="array" ref="P16">_xlfn.XLOOKUP(TRUE,EXACT(Vuorokoodit!$A:$A,P17),Vuorokoodit!$E:$E,"Ei löydy")</f>
        <v>Ei löydy</v>
      </c>
      <c r="Q16" s="31" t="str" cm="1">
        <f t="array" ref="Q16">_xlfn.XLOOKUP(TRUE,EXACT(Vuorokoodit!$A:$A,Q17),Vuorokoodit!$E:$E,"Ei löydy")</f>
        <v>Ei löydy</v>
      </c>
      <c r="R16" s="31" t="str" cm="1">
        <f t="array" ref="R16">_xlfn.XLOOKUP(TRUE,EXACT(Vuorokoodit!$A:$A,R17),Vuorokoodit!$E:$E,"Ei löydy")</f>
        <v>Ei löydy</v>
      </c>
      <c r="S16" s="31" t="str" cm="1">
        <f t="array" ref="S16">_xlfn.XLOOKUP(TRUE,EXACT(Vuorokoodit!$A:$A,S17),Vuorokoodit!$E:$E,"Ei löydy")</f>
        <v>Ei löydy</v>
      </c>
      <c r="T16" s="31" t="str" cm="1">
        <f t="array" ref="T16">_xlfn.XLOOKUP(TRUE,EXACT(Vuorokoodit!$A:$A,T17),Vuorokoodit!$E:$E,"Ei löydy")</f>
        <v>Ei löydy</v>
      </c>
      <c r="U16" s="31" t="str" cm="1">
        <f t="array" ref="U16">_xlfn.XLOOKUP(TRUE,EXACT(Vuorokoodit!$A:$A,U17),Vuorokoodit!$E:$E,"Ei löydy")</f>
        <v>Ei löydy</v>
      </c>
      <c r="V16" s="31" t="str" cm="1">
        <f t="array" ref="V16">_xlfn.XLOOKUP(TRUE,EXACT(Vuorokoodit!$A:$A,V17),Vuorokoodit!$E:$E,"Ei löydy")</f>
        <v>Ei löydy</v>
      </c>
      <c r="W16" s="31" t="str" cm="1">
        <f t="array" ref="W16">_xlfn.XLOOKUP(TRUE,EXACT(Vuorokoodit!$A:$A,W17),Vuorokoodit!$E:$E,"Ei löydy")</f>
        <v>Ei löydy</v>
      </c>
    </row>
    <row r="17" spans="1:23" ht="22.5" customHeight="1" x14ac:dyDescent="0.25">
      <c r="A17"/>
      <c r="B17" s="59"/>
      <c r="C17" s="34">
        <f>_xlfn.XLOOKUP($B16,Kiertotunnus!$A:$A,Kiertotunnus!B:B)</f>
        <v>0</v>
      </c>
      <c r="D17" s="34">
        <f>_xlfn.XLOOKUP($B16,Kiertotunnus!$A:$A,Kiertotunnus!C:C)</f>
        <v>0</v>
      </c>
      <c r="E17" s="34">
        <f>_xlfn.XLOOKUP($B16,Kiertotunnus!$A:$A,Kiertotunnus!D:D)</f>
        <v>0</v>
      </c>
      <c r="F17" s="34">
        <f>_xlfn.XLOOKUP($B16,Kiertotunnus!$A:$A,Kiertotunnus!E:E)</f>
        <v>0</v>
      </c>
      <c r="G17" s="34">
        <f>_xlfn.XLOOKUP($B16,Kiertotunnus!$A:$A,Kiertotunnus!F:F)</f>
        <v>0</v>
      </c>
      <c r="H17" s="34">
        <f>_xlfn.XLOOKUP($B16,Kiertotunnus!$A:$A,Kiertotunnus!G:G)</f>
        <v>0</v>
      </c>
      <c r="I17" s="34">
        <f>_xlfn.XLOOKUP($B16,Kiertotunnus!$A:$A,Kiertotunnus!H:H)</f>
        <v>0</v>
      </c>
      <c r="J17" s="34">
        <f>_xlfn.XLOOKUP($B16,Kiertotunnus!$A:$A,Kiertotunnus!I:I)</f>
        <v>0</v>
      </c>
      <c r="K17" s="34">
        <f>_xlfn.XLOOKUP($B16,Kiertotunnus!$A:$A,Kiertotunnus!J:J)</f>
        <v>0</v>
      </c>
      <c r="L17" s="34">
        <f>_xlfn.XLOOKUP($B16,Kiertotunnus!$A:$A,Kiertotunnus!K:K)</f>
        <v>0</v>
      </c>
      <c r="M17" s="34">
        <f>_xlfn.XLOOKUP($B16,Kiertotunnus!$A:$A,Kiertotunnus!L:L)</f>
        <v>0</v>
      </c>
      <c r="N17" s="34">
        <f>_xlfn.XLOOKUP($B16,Kiertotunnus!$A:$A,Kiertotunnus!M:M)</f>
        <v>0</v>
      </c>
      <c r="O17" s="34">
        <f>_xlfn.XLOOKUP($B16,Kiertotunnus!$A:$A,Kiertotunnus!N:N)</f>
        <v>0</v>
      </c>
      <c r="P17" s="34">
        <f>_xlfn.XLOOKUP($B16,Kiertotunnus!$A:$A,Kiertotunnus!O:O)</f>
        <v>0</v>
      </c>
      <c r="Q17" s="34">
        <f>_xlfn.XLOOKUP($B16,Kiertotunnus!$A:$A,Kiertotunnus!P:P)</f>
        <v>0</v>
      </c>
      <c r="R17" s="34">
        <f>_xlfn.XLOOKUP($B16,Kiertotunnus!$A:$A,Kiertotunnus!Q:Q)</f>
        <v>0</v>
      </c>
      <c r="S17" s="34">
        <f>_xlfn.XLOOKUP($B16,Kiertotunnus!$A:$A,Kiertotunnus!R:R)</f>
        <v>0</v>
      </c>
      <c r="T17" s="34">
        <f>_xlfn.XLOOKUP($B16,Kiertotunnus!$A:$A,Kiertotunnus!S:S)</f>
        <v>0</v>
      </c>
      <c r="U17" s="34">
        <f>_xlfn.XLOOKUP($B16,Kiertotunnus!$A:$A,Kiertotunnus!T:T)</f>
        <v>0</v>
      </c>
      <c r="V17" s="34">
        <f>_xlfn.XLOOKUP($B16,Kiertotunnus!$A:$A,Kiertotunnus!U:U)</f>
        <v>0</v>
      </c>
      <c r="W17" s="34">
        <f>_xlfn.XLOOKUP($B16,Kiertotunnus!$A:$A,Kiertotunnus!V:V)</f>
        <v>0</v>
      </c>
    </row>
    <row r="18" spans="1:23" ht="39.75" customHeight="1" x14ac:dyDescent="0.25">
      <c r="A18" s="20"/>
      <c r="B18" s="59" t="s">
        <v>96</v>
      </c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</row>
    <row r="19" spans="1:23" ht="54" customHeight="1" x14ac:dyDescent="0.25">
      <c r="A19" s="29"/>
      <c r="B19" s="77"/>
      <c r="C19" s="31" t="str" cm="1">
        <f t="array" ref="C19">_xlfn.XLOOKUP(TRUE,EXACT(Vuorokoodit!$A:$A,C20),Vuorokoodit!$E:$E,"Ei löydy")</f>
        <v>Ei löydy</v>
      </c>
      <c r="D19" s="31" t="str" cm="1">
        <f t="array" ref="D19">_xlfn.XLOOKUP(TRUE,EXACT(Vuorokoodit!$A:$A,D20),Vuorokoodit!$E:$E,"Ei löydy")</f>
        <v>Ei löydy</v>
      </c>
      <c r="E19" s="31" t="str" cm="1">
        <f t="array" ref="E19">_xlfn.XLOOKUP(TRUE,EXACT(Vuorokoodit!$A:$A,E20),Vuorokoodit!$E:$E,"Ei löydy")</f>
        <v>Ei löydy</v>
      </c>
      <c r="F19" s="31" t="str" cm="1">
        <f t="array" ref="F19">_xlfn.XLOOKUP(TRUE,EXACT(Vuorokoodit!$A:$A,F20),Vuorokoodit!$E:$E,"Ei löydy")</f>
        <v>Ei löydy</v>
      </c>
      <c r="G19" s="31" t="str" cm="1">
        <f t="array" ref="G19">_xlfn.XLOOKUP(TRUE,EXACT(Vuorokoodit!$A:$A,G20),Vuorokoodit!$E:$E,"Ei löydy")</f>
        <v>Ei löydy</v>
      </c>
      <c r="H19" s="31" t="str" cm="1">
        <f t="array" ref="H19">_xlfn.XLOOKUP(TRUE,EXACT(Vuorokoodit!$A:$A,H20),Vuorokoodit!$E:$E,"Ei löydy")</f>
        <v>Ei löydy</v>
      </c>
      <c r="I19" s="31" t="str" cm="1">
        <f t="array" ref="I19">_xlfn.XLOOKUP(TRUE,EXACT(Vuorokoodit!$A:$A,I20),Vuorokoodit!$E:$E,"Ei löydy")</f>
        <v>Ei löydy</v>
      </c>
      <c r="J19" s="31" t="str" cm="1">
        <f t="array" ref="J19">_xlfn.XLOOKUP(TRUE,EXACT(Vuorokoodit!$A:$A,J20),Vuorokoodit!$E:$E,"Ei löydy")</f>
        <v>Ei löydy</v>
      </c>
      <c r="K19" s="31" t="str" cm="1">
        <f t="array" ref="K19">_xlfn.XLOOKUP(TRUE,EXACT(Vuorokoodit!$A:$A,K20),Vuorokoodit!$E:$E,"Ei löydy")</f>
        <v>Ei löydy</v>
      </c>
      <c r="L19" s="31" t="str" cm="1">
        <f t="array" ref="L19">_xlfn.XLOOKUP(TRUE,EXACT(Vuorokoodit!$A:$A,L20),Vuorokoodit!$E:$E,"Ei löydy")</f>
        <v>Ei löydy</v>
      </c>
      <c r="M19" s="31" t="str" cm="1">
        <f t="array" ref="M19">_xlfn.XLOOKUP(TRUE,EXACT(Vuorokoodit!$A:$A,M20),Vuorokoodit!$E:$E,"Ei löydy")</f>
        <v>Ei löydy</v>
      </c>
      <c r="N19" s="31" t="str" cm="1">
        <f t="array" ref="N19">_xlfn.XLOOKUP(TRUE,EXACT(Vuorokoodit!$A:$A,N20),Vuorokoodit!$E:$E,"Ei löydy")</f>
        <v>Ei löydy</v>
      </c>
      <c r="O19" s="31" t="str" cm="1">
        <f t="array" ref="O19">_xlfn.XLOOKUP(TRUE,EXACT(Vuorokoodit!$A:$A,O20),Vuorokoodit!$E:$E,"Ei löydy")</f>
        <v>Ei löydy</v>
      </c>
      <c r="P19" s="31" t="str" cm="1">
        <f t="array" ref="P19">_xlfn.XLOOKUP(TRUE,EXACT(Vuorokoodit!$A:$A,P20),Vuorokoodit!$E:$E,"Ei löydy")</f>
        <v>Ei löydy</v>
      </c>
      <c r="Q19" s="31" t="str" cm="1">
        <f t="array" ref="Q19">_xlfn.XLOOKUP(TRUE,EXACT(Vuorokoodit!$A:$A,Q20),Vuorokoodit!$E:$E,"Ei löydy")</f>
        <v>Ei löydy</v>
      </c>
      <c r="R19" s="31" t="str" cm="1">
        <f t="array" ref="R19">_xlfn.XLOOKUP(TRUE,EXACT(Vuorokoodit!$A:$A,R20),Vuorokoodit!$E:$E,"Ei löydy")</f>
        <v>Ei löydy</v>
      </c>
      <c r="S19" s="31" t="str" cm="1">
        <f t="array" ref="S19">_xlfn.XLOOKUP(TRUE,EXACT(Vuorokoodit!$A:$A,S20),Vuorokoodit!$E:$E,"Ei löydy")</f>
        <v>Ei löydy</v>
      </c>
      <c r="T19" s="31" t="str" cm="1">
        <f t="array" ref="T19">_xlfn.XLOOKUP(TRUE,EXACT(Vuorokoodit!$A:$A,T20),Vuorokoodit!$E:$E,"Ei löydy")</f>
        <v>Ei löydy</v>
      </c>
      <c r="U19" s="31" t="str" cm="1">
        <f t="array" ref="U19">_xlfn.XLOOKUP(TRUE,EXACT(Vuorokoodit!$A:$A,U20),Vuorokoodit!$E:$E,"Ei löydy")</f>
        <v>Ei löydy</v>
      </c>
      <c r="V19" s="31" t="str" cm="1">
        <f t="array" ref="V19">_xlfn.XLOOKUP(TRUE,EXACT(Vuorokoodit!$A:$A,V20),Vuorokoodit!$E:$E,"Ei löydy")</f>
        <v>Ei löydy</v>
      </c>
      <c r="W19" s="31" t="str" cm="1">
        <f t="array" ref="W19">_xlfn.XLOOKUP(TRUE,EXACT(Vuorokoodit!$A:$A,W20),Vuorokoodit!$E:$E,"Ei löydy")</f>
        <v>Ei löydy</v>
      </c>
    </row>
    <row r="20" spans="1:23" ht="22.5" customHeight="1" x14ac:dyDescent="0.25">
      <c r="A20"/>
      <c r="B20" s="59"/>
      <c r="C20" s="34">
        <f>_xlfn.XLOOKUP($B19,Kiertotunnus!$A:$A,Kiertotunnus!B:B)</f>
        <v>0</v>
      </c>
      <c r="D20" s="34">
        <f>_xlfn.XLOOKUP($B19,Kiertotunnus!$A:$A,Kiertotunnus!C:C)</f>
        <v>0</v>
      </c>
      <c r="E20" s="34">
        <f>_xlfn.XLOOKUP($B19,Kiertotunnus!$A:$A,Kiertotunnus!D:D)</f>
        <v>0</v>
      </c>
      <c r="F20" s="34">
        <f>_xlfn.XLOOKUP($B19,Kiertotunnus!$A:$A,Kiertotunnus!E:E)</f>
        <v>0</v>
      </c>
      <c r="G20" s="34">
        <f>_xlfn.XLOOKUP($B19,Kiertotunnus!$A:$A,Kiertotunnus!F:F)</f>
        <v>0</v>
      </c>
      <c r="H20" s="34">
        <f>_xlfn.XLOOKUP($B19,Kiertotunnus!$A:$A,Kiertotunnus!G:G)</f>
        <v>0</v>
      </c>
      <c r="I20" s="34">
        <f>_xlfn.XLOOKUP($B19,Kiertotunnus!$A:$A,Kiertotunnus!H:H)</f>
        <v>0</v>
      </c>
      <c r="J20" s="34">
        <f>_xlfn.XLOOKUP($B19,Kiertotunnus!$A:$A,Kiertotunnus!I:I)</f>
        <v>0</v>
      </c>
      <c r="K20" s="34">
        <f>_xlfn.XLOOKUP($B19,Kiertotunnus!$A:$A,Kiertotunnus!J:J)</f>
        <v>0</v>
      </c>
      <c r="L20" s="34">
        <f>_xlfn.XLOOKUP($B19,Kiertotunnus!$A:$A,Kiertotunnus!K:K)</f>
        <v>0</v>
      </c>
      <c r="M20" s="34">
        <f>_xlfn.XLOOKUP($B19,Kiertotunnus!$A:$A,Kiertotunnus!L:L)</f>
        <v>0</v>
      </c>
      <c r="N20" s="34">
        <f>_xlfn.XLOOKUP($B19,Kiertotunnus!$A:$A,Kiertotunnus!M:M)</f>
        <v>0</v>
      </c>
      <c r="O20" s="34">
        <f>_xlfn.XLOOKUP($B19,Kiertotunnus!$A:$A,Kiertotunnus!N:N)</f>
        <v>0</v>
      </c>
      <c r="P20" s="34">
        <f>_xlfn.XLOOKUP($B19,Kiertotunnus!$A:$A,Kiertotunnus!O:O)</f>
        <v>0</v>
      </c>
      <c r="Q20" s="34">
        <f>_xlfn.XLOOKUP($B19,Kiertotunnus!$A:$A,Kiertotunnus!P:P)</f>
        <v>0</v>
      </c>
      <c r="R20" s="34">
        <f>_xlfn.XLOOKUP($B19,Kiertotunnus!$A:$A,Kiertotunnus!Q:Q)</f>
        <v>0</v>
      </c>
      <c r="S20" s="34">
        <f>_xlfn.XLOOKUP($B19,Kiertotunnus!$A:$A,Kiertotunnus!R:R)</f>
        <v>0</v>
      </c>
      <c r="T20" s="34">
        <f>_xlfn.XLOOKUP($B19,Kiertotunnus!$A:$A,Kiertotunnus!S:S)</f>
        <v>0</v>
      </c>
      <c r="U20" s="34">
        <f>_xlfn.XLOOKUP($B19,Kiertotunnus!$A:$A,Kiertotunnus!T:T)</f>
        <v>0</v>
      </c>
      <c r="V20" s="34">
        <f>_xlfn.XLOOKUP($B19,Kiertotunnus!$A:$A,Kiertotunnus!U:U)</f>
        <v>0</v>
      </c>
      <c r="W20" s="34">
        <f>_xlfn.XLOOKUP($B19,Kiertotunnus!$A:$A,Kiertotunnus!V:V)</f>
        <v>0</v>
      </c>
    </row>
    <row r="21" spans="1:23" ht="39.75" customHeight="1" x14ac:dyDescent="0.25">
      <c r="A21" s="20"/>
      <c r="B21" s="59" t="s">
        <v>96</v>
      </c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</row>
    <row r="22" spans="1:23" ht="54" customHeight="1" x14ac:dyDescent="0.25">
      <c r="A22" s="29"/>
      <c r="B22" s="77"/>
      <c r="C22" s="31" t="str" cm="1">
        <f t="array" ref="C22">_xlfn.XLOOKUP(TRUE,EXACT(Vuorokoodit!$A:$A,C23),Vuorokoodit!$E:$E,"Ei löydy")</f>
        <v>Ei löydy</v>
      </c>
      <c r="D22" s="31" t="str" cm="1">
        <f t="array" ref="D22">_xlfn.XLOOKUP(TRUE,EXACT(Vuorokoodit!$A:$A,D23),Vuorokoodit!$E:$E,"Ei löydy")</f>
        <v>Ei löydy</v>
      </c>
      <c r="E22" s="31" t="str" cm="1">
        <f t="array" ref="E22">_xlfn.XLOOKUP(TRUE,EXACT(Vuorokoodit!$A:$A,E23),Vuorokoodit!$E:$E,"Ei löydy")</f>
        <v>Ei löydy</v>
      </c>
      <c r="F22" s="31" t="str" cm="1">
        <f t="array" ref="F22">_xlfn.XLOOKUP(TRUE,EXACT(Vuorokoodit!$A:$A,F23),Vuorokoodit!$E:$E,"Ei löydy")</f>
        <v>Ei löydy</v>
      </c>
      <c r="G22" s="31" t="str" cm="1">
        <f t="array" ref="G22">_xlfn.XLOOKUP(TRUE,EXACT(Vuorokoodit!$A:$A,G23),Vuorokoodit!$E:$E,"Ei löydy")</f>
        <v>Ei löydy</v>
      </c>
      <c r="H22" s="31" t="str" cm="1">
        <f t="array" ref="H22">_xlfn.XLOOKUP(TRUE,EXACT(Vuorokoodit!$A:$A,H23),Vuorokoodit!$E:$E,"Ei löydy")</f>
        <v>Ei löydy</v>
      </c>
      <c r="I22" s="31" t="str" cm="1">
        <f t="array" ref="I22">_xlfn.XLOOKUP(TRUE,EXACT(Vuorokoodit!$A:$A,I23),Vuorokoodit!$E:$E,"Ei löydy")</f>
        <v>Ei löydy</v>
      </c>
      <c r="J22" s="31" t="str" cm="1">
        <f t="array" ref="J22">_xlfn.XLOOKUP(TRUE,EXACT(Vuorokoodit!$A:$A,J23),Vuorokoodit!$E:$E,"Ei löydy")</f>
        <v>Ei löydy</v>
      </c>
      <c r="K22" s="31" t="str" cm="1">
        <f t="array" ref="K22">_xlfn.XLOOKUP(TRUE,EXACT(Vuorokoodit!$A:$A,K23),Vuorokoodit!$E:$E,"Ei löydy")</f>
        <v>Ei löydy</v>
      </c>
      <c r="L22" s="31" t="str" cm="1">
        <f t="array" ref="L22">_xlfn.XLOOKUP(TRUE,EXACT(Vuorokoodit!$A:$A,L23),Vuorokoodit!$E:$E,"Ei löydy")</f>
        <v>Ei löydy</v>
      </c>
      <c r="M22" s="31" t="str" cm="1">
        <f t="array" ref="M22">_xlfn.XLOOKUP(TRUE,EXACT(Vuorokoodit!$A:$A,M23),Vuorokoodit!$E:$E,"Ei löydy")</f>
        <v>Ei löydy</v>
      </c>
      <c r="N22" s="31" t="str" cm="1">
        <f t="array" ref="N22">_xlfn.XLOOKUP(TRUE,EXACT(Vuorokoodit!$A:$A,N23),Vuorokoodit!$E:$E,"Ei löydy")</f>
        <v>Ei löydy</v>
      </c>
      <c r="O22" s="31" t="str" cm="1">
        <f t="array" ref="O22">_xlfn.XLOOKUP(TRUE,EXACT(Vuorokoodit!$A:$A,O23),Vuorokoodit!$E:$E,"Ei löydy")</f>
        <v>Ei löydy</v>
      </c>
      <c r="P22" s="31" t="str" cm="1">
        <f t="array" ref="P22">_xlfn.XLOOKUP(TRUE,EXACT(Vuorokoodit!$A:$A,P23),Vuorokoodit!$E:$E,"Ei löydy")</f>
        <v>Ei löydy</v>
      </c>
      <c r="Q22" s="31" t="str" cm="1">
        <f t="array" ref="Q22">_xlfn.XLOOKUP(TRUE,EXACT(Vuorokoodit!$A:$A,Q23),Vuorokoodit!$E:$E,"Ei löydy")</f>
        <v>Ei löydy</v>
      </c>
      <c r="R22" s="31" t="str" cm="1">
        <f t="array" ref="R22">_xlfn.XLOOKUP(TRUE,EXACT(Vuorokoodit!$A:$A,R23),Vuorokoodit!$E:$E,"Ei löydy")</f>
        <v>Ei löydy</v>
      </c>
      <c r="S22" s="31" t="str" cm="1">
        <f t="array" ref="S22">_xlfn.XLOOKUP(TRUE,EXACT(Vuorokoodit!$A:$A,S23),Vuorokoodit!$E:$E,"Ei löydy")</f>
        <v>Ei löydy</v>
      </c>
      <c r="T22" s="31" t="str" cm="1">
        <f t="array" ref="T22">_xlfn.XLOOKUP(TRUE,EXACT(Vuorokoodit!$A:$A,T23),Vuorokoodit!$E:$E,"Ei löydy")</f>
        <v>Ei löydy</v>
      </c>
      <c r="U22" s="31" t="str" cm="1">
        <f t="array" ref="U22">_xlfn.XLOOKUP(TRUE,EXACT(Vuorokoodit!$A:$A,U23),Vuorokoodit!$E:$E,"Ei löydy")</f>
        <v>Ei löydy</v>
      </c>
      <c r="V22" s="31" t="str" cm="1">
        <f t="array" ref="V22">_xlfn.XLOOKUP(TRUE,EXACT(Vuorokoodit!$A:$A,V23),Vuorokoodit!$E:$E,"Ei löydy")</f>
        <v>Ei löydy</v>
      </c>
      <c r="W22" s="31" t="str" cm="1">
        <f t="array" ref="W22">_xlfn.XLOOKUP(TRUE,EXACT(Vuorokoodit!$A:$A,W23),Vuorokoodit!$E:$E,"Ei löydy")</f>
        <v>Ei löydy</v>
      </c>
    </row>
    <row r="23" spans="1:23" ht="22.5" customHeight="1" x14ac:dyDescent="0.25">
      <c r="A23"/>
      <c r="B23" s="59"/>
      <c r="C23" s="34">
        <f>_xlfn.XLOOKUP($B22,Kiertotunnus!$A:$A,Kiertotunnus!B:B)</f>
        <v>0</v>
      </c>
      <c r="D23" s="34">
        <f>_xlfn.XLOOKUP($B22,Kiertotunnus!$A:$A,Kiertotunnus!C:C)</f>
        <v>0</v>
      </c>
      <c r="E23" s="34">
        <f>_xlfn.XLOOKUP($B22,Kiertotunnus!$A:$A,Kiertotunnus!D:D)</f>
        <v>0</v>
      </c>
      <c r="F23" s="34">
        <f>_xlfn.XLOOKUP($B22,Kiertotunnus!$A:$A,Kiertotunnus!E:E)</f>
        <v>0</v>
      </c>
      <c r="G23" s="34">
        <f>_xlfn.XLOOKUP($B22,Kiertotunnus!$A:$A,Kiertotunnus!F:F)</f>
        <v>0</v>
      </c>
      <c r="H23" s="34">
        <f>_xlfn.XLOOKUP($B22,Kiertotunnus!$A:$A,Kiertotunnus!G:G)</f>
        <v>0</v>
      </c>
      <c r="I23" s="34">
        <f>_xlfn.XLOOKUP($B22,Kiertotunnus!$A:$A,Kiertotunnus!H:H)</f>
        <v>0</v>
      </c>
      <c r="J23" s="34">
        <f>_xlfn.XLOOKUP($B22,Kiertotunnus!$A:$A,Kiertotunnus!I:I)</f>
        <v>0</v>
      </c>
      <c r="K23" s="34">
        <f>_xlfn.XLOOKUP($B22,Kiertotunnus!$A:$A,Kiertotunnus!J:J)</f>
        <v>0</v>
      </c>
      <c r="L23" s="34">
        <f>_xlfn.XLOOKUP($B22,Kiertotunnus!$A:$A,Kiertotunnus!K:K)</f>
        <v>0</v>
      </c>
      <c r="M23" s="34">
        <f>_xlfn.XLOOKUP($B22,Kiertotunnus!$A:$A,Kiertotunnus!L:L)</f>
        <v>0</v>
      </c>
      <c r="N23" s="34">
        <f>_xlfn.XLOOKUP($B22,Kiertotunnus!$A:$A,Kiertotunnus!M:M)</f>
        <v>0</v>
      </c>
      <c r="O23" s="34">
        <f>_xlfn.XLOOKUP($B22,Kiertotunnus!$A:$A,Kiertotunnus!N:N)</f>
        <v>0</v>
      </c>
      <c r="P23" s="34">
        <f>_xlfn.XLOOKUP($B22,Kiertotunnus!$A:$A,Kiertotunnus!O:O)</f>
        <v>0</v>
      </c>
      <c r="Q23" s="34">
        <f>_xlfn.XLOOKUP($B22,Kiertotunnus!$A:$A,Kiertotunnus!P:P)</f>
        <v>0</v>
      </c>
      <c r="R23" s="34">
        <f>_xlfn.XLOOKUP($B22,Kiertotunnus!$A:$A,Kiertotunnus!Q:Q)</f>
        <v>0</v>
      </c>
      <c r="S23" s="34">
        <f>_xlfn.XLOOKUP($B22,Kiertotunnus!$A:$A,Kiertotunnus!R:R)</f>
        <v>0</v>
      </c>
      <c r="T23" s="34">
        <f>_xlfn.XLOOKUP($B22,Kiertotunnus!$A:$A,Kiertotunnus!S:S)</f>
        <v>0</v>
      </c>
      <c r="U23" s="34">
        <f>_xlfn.XLOOKUP($B22,Kiertotunnus!$A:$A,Kiertotunnus!T:T)</f>
        <v>0</v>
      </c>
      <c r="V23" s="34">
        <f>_xlfn.XLOOKUP($B22,Kiertotunnus!$A:$A,Kiertotunnus!U:U)</f>
        <v>0</v>
      </c>
      <c r="W23" s="34">
        <f>_xlfn.XLOOKUP($B22,Kiertotunnus!$A:$A,Kiertotunnus!V:V)</f>
        <v>0</v>
      </c>
    </row>
    <row r="24" spans="1:23" ht="39.75" customHeight="1" x14ac:dyDescent="0.25">
      <c r="A24" s="20"/>
      <c r="B24" s="59" t="s">
        <v>96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</row>
    <row r="25" spans="1:23" ht="54" customHeight="1" x14ac:dyDescent="0.25">
      <c r="A25" s="29"/>
      <c r="B25" s="77"/>
      <c r="C25" s="31" t="str" cm="1">
        <f t="array" ref="C25">_xlfn.XLOOKUP(TRUE,EXACT(Vuorokoodit!$A:$A,C26),Vuorokoodit!$E:$E,"Ei löydy")</f>
        <v>Ei löydy</v>
      </c>
      <c r="D25" s="31" t="str" cm="1">
        <f t="array" ref="D25">_xlfn.XLOOKUP(TRUE,EXACT(Vuorokoodit!$A:$A,D26),Vuorokoodit!$E:$E,"Ei löydy")</f>
        <v>Ei löydy</v>
      </c>
      <c r="E25" s="31" t="str" cm="1">
        <f t="array" ref="E25">_xlfn.XLOOKUP(TRUE,EXACT(Vuorokoodit!$A:$A,E26),Vuorokoodit!$E:$E,"Ei löydy")</f>
        <v>Ei löydy</v>
      </c>
      <c r="F25" s="31" t="str" cm="1">
        <f t="array" ref="F25">_xlfn.XLOOKUP(TRUE,EXACT(Vuorokoodit!$A:$A,F26),Vuorokoodit!$E:$E,"Ei löydy")</f>
        <v>Ei löydy</v>
      </c>
      <c r="G25" s="31" t="str" cm="1">
        <f t="array" ref="G25">_xlfn.XLOOKUP(TRUE,EXACT(Vuorokoodit!$A:$A,G26),Vuorokoodit!$E:$E,"Ei löydy")</f>
        <v>Ei löydy</v>
      </c>
      <c r="H25" s="31" t="str" cm="1">
        <f t="array" ref="H25">_xlfn.XLOOKUP(TRUE,EXACT(Vuorokoodit!$A:$A,H26),Vuorokoodit!$E:$E,"Ei löydy")</f>
        <v>Ei löydy</v>
      </c>
      <c r="I25" s="31" t="str" cm="1">
        <f t="array" ref="I25">_xlfn.XLOOKUP(TRUE,EXACT(Vuorokoodit!$A:$A,I26),Vuorokoodit!$E:$E,"Ei löydy")</f>
        <v>Ei löydy</v>
      </c>
      <c r="J25" s="31" t="str" cm="1">
        <f t="array" ref="J25">_xlfn.XLOOKUP(TRUE,EXACT(Vuorokoodit!$A:$A,J26),Vuorokoodit!$E:$E,"Ei löydy")</f>
        <v>Ei löydy</v>
      </c>
      <c r="K25" s="31" t="str" cm="1">
        <f t="array" ref="K25">_xlfn.XLOOKUP(TRUE,EXACT(Vuorokoodit!$A:$A,K26),Vuorokoodit!$E:$E,"Ei löydy")</f>
        <v>Ei löydy</v>
      </c>
      <c r="L25" s="31" t="str" cm="1">
        <f t="array" ref="L25">_xlfn.XLOOKUP(TRUE,EXACT(Vuorokoodit!$A:$A,L26),Vuorokoodit!$E:$E,"Ei löydy")</f>
        <v>Ei löydy</v>
      </c>
      <c r="M25" s="31" t="str" cm="1">
        <f t="array" ref="M25">_xlfn.XLOOKUP(TRUE,EXACT(Vuorokoodit!$A:$A,M26),Vuorokoodit!$E:$E,"Ei löydy")</f>
        <v>Ei löydy</v>
      </c>
      <c r="N25" s="31" t="str" cm="1">
        <f t="array" ref="N25">_xlfn.XLOOKUP(TRUE,EXACT(Vuorokoodit!$A:$A,N26),Vuorokoodit!$E:$E,"Ei löydy")</f>
        <v>Ei löydy</v>
      </c>
      <c r="O25" s="31" t="str" cm="1">
        <f t="array" ref="O25">_xlfn.XLOOKUP(TRUE,EXACT(Vuorokoodit!$A:$A,O26),Vuorokoodit!$E:$E,"Ei löydy")</f>
        <v>Ei löydy</v>
      </c>
      <c r="P25" s="31" t="str" cm="1">
        <f t="array" ref="P25">_xlfn.XLOOKUP(TRUE,EXACT(Vuorokoodit!$A:$A,P26),Vuorokoodit!$E:$E,"Ei löydy")</f>
        <v>Ei löydy</v>
      </c>
      <c r="Q25" s="31" t="str" cm="1">
        <f t="array" ref="Q25">_xlfn.XLOOKUP(TRUE,EXACT(Vuorokoodit!$A:$A,Q26),Vuorokoodit!$E:$E,"Ei löydy")</f>
        <v>Ei löydy</v>
      </c>
      <c r="R25" s="31" t="str" cm="1">
        <f t="array" ref="R25">_xlfn.XLOOKUP(TRUE,EXACT(Vuorokoodit!$A:$A,R26),Vuorokoodit!$E:$E,"Ei löydy")</f>
        <v>Ei löydy</v>
      </c>
      <c r="S25" s="31" t="str" cm="1">
        <f t="array" ref="S25">_xlfn.XLOOKUP(TRUE,EXACT(Vuorokoodit!$A:$A,S26),Vuorokoodit!$E:$E,"Ei löydy")</f>
        <v>Ei löydy</v>
      </c>
      <c r="T25" s="31" t="str" cm="1">
        <f t="array" ref="T25">_xlfn.XLOOKUP(TRUE,EXACT(Vuorokoodit!$A:$A,T26),Vuorokoodit!$E:$E,"Ei löydy")</f>
        <v>Ei löydy</v>
      </c>
      <c r="U25" s="31" t="str" cm="1">
        <f t="array" ref="U25">_xlfn.XLOOKUP(TRUE,EXACT(Vuorokoodit!$A:$A,U26),Vuorokoodit!$E:$E,"Ei löydy")</f>
        <v>Ei löydy</v>
      </c>
      <c r="V25" s="31" t="str" cm="1">
        <f t="array" ref="V25">_xlfn.XLOOKUP(TRUE,EXACT(Vuorokoodit!$A:$A,V26),Vuorokoodit!$E:$E,"Ei löydy")</f>
        <v>Ei löydy</v>
      </c>
      <c r="W25" s="31" t="str" cm="1">
        <f t="array" ref="W25">_xlfn.XLOOKUP(TRUE,EXACT(Vuorokoodit!$A:$A,W26),Vuorokoodit!$E:$E,"Ei löydy")</f>
        <v>Ei löydy</v>
      </c>
    </row>
    <row r="26" spans="1:23" ht="22.5" customHeight="1" x14ac:dyDescent="0.25">
      <c r="A26"/>
      <c r="B26" s="59"/>
      <c r="C26" s="34">
        <f>_xlfn.XLOOKUP($B25,Kiertotunnus!$A:$A,Kiertotunnus!B:B)</f>
        <v>0</v>
      </c>
      <c r="D26" s="34">
        <f>_xlfn.XLOOKUP($B25,Kiertotunnus!$A:$A,Kiertotunnus!C:C)</f>
        <v>0</v>
      </c>
      <c r="E26" s="34">
        <f>_xlfn.XLOOKUP($B25,Kiertotunnus!$A:$A,Kiertotunnus!D:D)</f>
        <v>0</v>
      </c>
      <c r="F26" s="34">
        <f>_xlfn.XLOOKUP($B25,Kiertotunnus!$A:$A,Kiertotunnus!E:E)</f>
        <v>0</v>
      </c>
      <c r="G26" s="34">
        <f>_xlfn.XLOOKUP($B25,Kiertotunnus!$A:$A,Kiertotunnus!F:F)</f>
        <v>0</v>
      </c>
      <c r="H26" s="34">
        <f>_xlfn.XLOOKUP($B25,Kiertotunnus!$A:$A,Kiertotunnus!G:G)</f>
        <v>0</v>
      </c>
      <c r="I26" s="34">
        <f>_xlfn.XLOOKUP($B25,Kiertotunnus!$A:$A,Kiertotunnus!H:H)</f>
        <v>0</v>
      </c>
      <c r="J26" s="34">
        <f>_xlfn.XLOOKUP($B25,Kiertotunnus!$A:$A,Kiertotunnus!I:I)</f>
        <v>0</v>
      </c>
      <c r="K26" s="34">
        <f>_xlfn.XLOOKUP($B25,Kiertotunnus!$A:$A,Kiertotunnus!J:J)</f>
        <v>0</v>
      </c>
      <c r="L26" s="34">
        <f>_xlfn.XLOOKUP($B25,Kiertotunnus!$A:$A,Kiertotunnus!K:K)</f>
        <v>0</v>
      </c>
      <c r="M26" s="34">
        <f>_xlfn.XLOOKUP($B25,Kiertotunnus!$A:$A,Kiertotunnus!L:L)</f>
        <v>0</v>
      </c>
      <c r="N26" s="34">
        <f>_xlfn.XLOOKUP($B25,Kiertotunnus!$A:$A,Kiertotunnus!M:M)</f>
        <v>0</v>
      </c>
      <c r="O26" s="34">
        <f>_xlfn.XLOOKUP($B25,Kiertotunnus!$A:$A,Kiertotunnus!N:N)</f>
        <v>0</v>
      </c>
      <c r="P26" s="34">
        <f>_xlfn.XLOOKUP($B25,Kiertotunnus!$A:$A,Kiertotunnus!O:O)</f>
        <v>0</v>
      </c>
      <c r="Q26" s="34">
        <f>_xlfn.XLOOKUP($B25,Kiertotunnus!$A:$A,Kiertotunnus!P:P)</f>
        <v>0</v>
      </c>
      <c r="R26" s="34">
        <f>_xlfn.XLOOKUP($B25,Kiertotunnus!$A:$A,Kiertotunnus!Q:Q)</f>
        <v>0</v>
      </c>
      <c r="S26" s="34">
        <f>_xlfn.XLOOKUP($B25,Kiertotunnus!$A:$A,Kiertotunnus!R:R)</f>
        <v>0</v>
      </c>
      <c r="T26" s="34">
        <f>_xlfn.XLOOKUP($B25,Kiertotunnus!$A:$A,Kiertotunnus!S:S)</f>
        <v>0</v>
      </c>
      <c r="U26" s="34">
        <f>_xlfn.XLOOKUP($B25,Kiertotunnus!$A:$A,Kiertotunnus!T:T)</f>
        <v>0</v>
      </c>
      <c r="V26" s="34">
        <f>_xlfn.XLOOKUP($B25,Kiertotunnus!$A:$A,Kiertotunnus!U:U)</f>
        <v>0</v>
      </c>
      <c r="W26" s="34">
        <f>_xlfn.XLOOKUP($B25,Kiertotunnus!$A:$A,Kiertotunnus!V:V)</f>
        <v>0</v>
      </c>
    </row>
    <row r="27" spans="1:23" ht="39.75" customHeight="1" x14ac:dyDescent="0.25">
      <c r="A27" s="20"/>
      <c r="B27" s="59" t="s">
        <v>96</v>
      </c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</row>
    <row r="28" spans="1:23" ht="54" customHeight="1" x14ac:dyDescent="0.25">
      <c r="A28" s="29"/>
      <c r="B28" s="77"/>
      <c r="C28" s="31" t="str" cm="1">
        <f t="array" ref="C28">_xlfn.XLOOKUP(TRUE,EXACT(Vuorokoodit!$A:$A,C29),Vuorokoodit!$E:$E,"Ei löydy")</f>
        <v>Ei löydy</v>
      </c>
      <c r="D28" s="31" t="str" cm="1">
        <f t="array" ref="D28">_xlfn.XLOOKUP(TRUE,EXACT(Vuorokoodit!$A:$A,D29),Vuorokoodit!$E:$E,"Ei löydy")</f>
        <v>Ei löydy</v>
      </c>
      <c r="E28" s="31" t="str" cm="1">
        <f t="array" ref="E28">_xlfn.XLOOKUP(TRUE,EXACT(Vuorokoodit!$A:$A,E29),Vuorokoodit!$E:$E,"Ei löydy")</f>
        <v>Ei löydy</v>
      </c>
      <c r="F28" s="31" t="str" cm="1">
        <f t="array" ref="F28">_xlfn.XLOOKUP(TRUE,EXACT(Vuorokoodit!$A:$A,F29),Vuorokoodit!$E:$E,"Ei löydy")</f>
        <v>Ei löydy</v>
      </c>
      <c r="G28" s="31" t="str" cm="1">
        <f t="array" ref="G28">_xlfn.XLOOKUP(TRUE,EXACT(Vuorokoodit!$A:$A,G29),Vuorokoodit!$E:$E,"Ei löydy")</f>
        <v>Ei löydy</v>
      </c>
      <c r="H28" s="31" t="str" cm="1">
        <f t="array" ref="H28">_xlfn.XLOOKUP(TRUE,EXACT(Vuorokoodit!$A:$A,H29),Vuorokoodit!$E:$E,"Ei löydy")</f>
        <v>Ei löydy</v>
      </c>
      <c r="I28" s="31" t="str" cm="1">
        <f t="array" ref="I28">_xlfn.XLOOKUP(TRUE,EXACT(Vuorokoodit!$A:$A,I29),Vuorokoodit!$E:$E,"Ei löydy")</f>
        <v>Ei löydy</v>
      </c>
      <c r="J28" s="31" t="str" cm="1">
        <f t="array" ref="J28">_xlfn.XLOOKUP(TRUE,EXACT(Vuorokoodit!$A:$A,J29),Vuorokoodit!$E:$E,"Ei löydy")</f>
        <v>Ei löydy</v>
      </c>
      <c r="K28" s="31" t="str" cm="1">
        <f t="array" ref="K28">_xlfn.XLOOKUP(TRUE,EXACT(Vuorokoodit!$A:$A,K29),Vuorokoodit!$E:$E,"Ei löydy")</f>
        <v>Ei löydy</v>
      </c>
      <c r="L28" s="31" t="str" cm="1">
        <f t="array" ref="L28">_xlfn.XLOOKUP(TRUE,EXACT(Vuorokoodit!$A:$A,L29),Vuorokoodit!$E:$E,"Ei löydy")</f>
        <v>Ei löydy</v>
      </c>
      <c r="M28" s="31" t="str" cm="1">
        <f t="array" ref="M28">_xlfn.XLOOKUP(TRUE,EXACT(Vuorokoodit!$A:$A,M29),Vuorokoodit!$E:$E,"Ei löydy")</f>
        <v>Ei löydy</v>
      </c>
      <c r="N28" s="31" t="str" cm="1">
        <f t="array" ref="N28">_xlfn.XLOOKUP(TRUE,EXACT(Vuorokoodit!$A:$A,N29),Vuorokoodit!$E:$E,"Ei löydy")</f>
        <v>Ei löydy</v>
      </c>
      <c r="O28" s="31" t="str" cm="1">
        <f t="array" ref="O28">_xlfn.XLOOKUP(TRUE,EXACT(Vuorokoodit!$A:$A,O29),Vuorokoodit!$E:$E,"Ei löydy")</f>
        <v>Ei löydy</v>
      </c>
      <c r="P28" s="31" t="str" cm="1">
        <f t="array" ref="P28">_xlfn.XLOOKUP(TRUE,EXACT(Vuorokoodit!$A:$A,P29),Vuorokoodit!$E:$E,"Ei löydy")</f>
        <v>Ei löydy</v>
      </c>
      <c r="Q28" s="31" t="str" cm="1">
        <f t="array" ref="Q28">_xlfn.XLOOKUP(TRUE,EXACT(Vuorokoodit!$A:$A,Q29),Vuorokoodit!$E:$E,"Ei löydy")</f>
        <v>Ei löydy</v>
      </c>
      <c r="R28" s="31" t="str" cm="1">
        <f t="array" ref="R28">_xlfn.XLOOKUP(TRUE,EXACT(Vuorokoodit!$A:$A,R29),Vuorokoodit!$E:$E,"Ei löydy")</f>
        <v>Ei löydy</v>
      </c>
      <c r="S28" s="31" t="str" cm="1">
        <f t="array" ref="S28">_xlfn.XLOOKUP(TRUE,EXACT(Vuorokoodit!$A:$A,S29),Vuorokoodit!$E:$E,"Ei löydy")</f>
        <v>Ei löydy</v>
      </c>
      <c r="T28" s="31" t="str" cm="1">
        <f t="array" ref="T28">_xlfn.XLOOKUP(TRUE,EXACT(Vuorokoodit!$A:$A,T29),Vuorokoodit!$E:$E,"Ei löydy")</f>
        <v>Ei löydy</v>
      </c>
      <c r="U28" s="31" t="str" cm="1">
        <f t="array" ref="U28">_xlfn.XLOOKUP(TRUE,EXACT(Vuorokoodit!$A:$A,U29),Vuorokoodit!$E:$E,"Ei löydy")</f>
        <v>Ei löydy</v>
      </c>
      <c r="V28" s="31" t="str" cm="1">
        <f t="array" ref="V28">_xlfn.XLOOKUP(TRUE,EXACT(Vuorokoodit!$A:$A,V29),Vuorokoodit!$E:$E,"Ei löydy")</f>
        <v>Ei löydy</v>
      </c>
      <c r="W28" s="31" t="str" cm="1">
        <f t="array" ref="W28">_xlfn.XLOOKUP(TRUE,EXACT(Vuorokoodit!$A:$A,W29),Vuorokoodit!$E:$E,"Ei löydy")</f>
        <v>Ei löydy</v>
      </c>
    </row>
    <row r="29" spans="1:23" ht="22.5" customHeight="1" x14ac:dyDescent="0.25">
      <c r="A29"/>
      <c r="B29" s="59"/>
      <c r="C29" s="34">
        <f>_xlfn.XLOOKUP($B28,Kiertotunnus!$A:$A,Kiertotunnus!B:B)</f>
        <v>0</v>
      </c>
      <c r="D29" s="34">
        <f>_xlfn.XLOOKUP($B28,Kiertotunnus!$A:$A,Kiertotunnus!C:C)</f>
        <v>0</v>
      </c>
      <c r="E29" s="34">
        <f>_xlfn.XLOOKUP($B28,Kiertotunnus!$A:$A,Kiertotunnus!D:D)</f>
        <v>0</v>
      </c>
      <c r="F29" s="34">
        <f>_xlfn.XLOOKUP($B28,Kiertotunnus!$A:$A,Kiertotunnus!E:E)</f>
        <v>0</v>
      </c>
      <c r="G29" s="34">
        <f>_xlfn.XLOOKUP($B28,Kiertotunnus!$A:$A,Kiertotunnus!F:F)</f>
        <v>0</v>
      </c>
      <c r="H29" s="34">
        <f>_xlfn.XLOOKUP($B28,Kiertotunnus!$A:$A,Kiertotunnus!G:G)</f>
        <v>0</v>
      </c>
      <c r="I29" s="34">
        <f>_xlfn.XLOOKUP($B28,Kiertotunnus!$A:$A,Kiertotunnus!H:H)</f>
        <v>0</v>
      </c>
      <c r="J29" s="34">
        <f>_xlfn.XLOOKUP($B28,Kiertotunnus!$A:$A,Kiertotunnus!I:I)</f>
        <v>0</v>
      </c>
      <c r="K29" s="34">
        <f>_xlfn.XLOOKUP($B28,Kiertotunnus!$A:$A,Kiertotunnus!J:J)</f>
        <v>0</v>
      </c>
      <c r="L29" s="34">
        <f>_xlfn.XLOOKUP($B28,Kiertotunnus!$A:$A,Kiertotunnus!K:K)</f>
        <v>0</v>
      </c>
      <c r="M29" s="34">
        <f>_xlfn.XLOOKUP($B28,Kiertotunnus!$A:$A,Kiertotunnus!L:L)</f>
        <v>0</v>
      </c>
      <c r="N29" s="34">
        <f>_xlfn.XLOOKUP($B28,Kiertotunnus!$A:$A,Kiertotunnus!M:M)</f>
        <v>0</v>
      </c>
      <c r="O29" s="34">
        <f>_xlfn.XLOOKUP($B28,Kiertotunnus!$A:$A,Kiertotunnus!N:N)</f>
        <v>0</v>
      </c>
      <c r="P29" s="34">
        <f>_xlfn.XLOOKUP($B28,Kiertotunnus!$A:$A,Kiertotunnus!O:O)</f>
        <v>0</v>
      </c>
      <c r="Q29" s="34">
        <f>_xlfn.XLOOKUP($B28,Kiertotunnus!$A:$A,Kiertotunnus!P:P)</f>
        <v>0</v>
      </c>
      <c r="R29" s="34">
        <f>_xlfn.XLOOKUP($B28,Kiertotunnus!$A:$A,Kiertotunnus!Q:Q)</f>
        <v>0</v>
      </c>
      <c r="S29" s="34">
        <f>_xlfn.XLOOKUP($B28,Kiertotunnus!$A:$A,Kiertotunnus!R:R)</f>
        <v>0</v>
      </c>
      <c r="T29" s="34">
        <f>_xlfn.XLOOKUP($B28,Kiertotunnus!$A:$A,Kiertotunnus!S:S)</f>
        <v>0</v>
      </c>
      <c r="U29" s="34">
        <f>_xlfn.XLOOKUP($B28,Kiertotunnus!$A:$A,Kiertotunnus!T:T)</f>
        <v>0</v>
      </c>
      <c r="V29" s="34">
        <f>_xlfn.XLOOKUP($B28,Kiertotunnus!$A:$A,Kiertotunnus!U:U)</f>
        <v>0</v>
      </c>
      <c r="W29" s="34">
        <f>_xlfn.XLOOKUP($B28,Kiertotunnus!$A:$A,Kiertotunnus!V:V)</f>
        <v>0</v>
      </c>
    </row>
    <row r="30" spans="1:23" ht="39.75" customHeight="1" x14ac:dyDescent="0.25">
      <c r="A30" s="20"/>
      <c r="B30" s="59" t="s">
        <v>96</v>
      </c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1" spans="1:23" ht="54" customHeight="1" x14ac:dyDescent="0.25">
      <c r="A31" s="29"/>
      <c r="B31" s="77"/>
      <c r="C31" s="31" t="str" cm="1">
        <f t="array" ref="C31">_xlfn.XLOOKUP(TRUE,EXACT(Vuorokoodit!$A:$A,C32),Vuorokoodit!$E:$E,"Ei löydy")</f>
        <v>Ei löydy</v>
      </c>
      <c r="D31" s="31" t="str" cm="1">
        <f t="array" ref="D31">_xlfn.XLOOKUP(TRUE,EXACT(Vuorokoodit!$A:$A,D32),Vuorokoodit!$E:$E,"Ei löydy")</f>
        <v>Ei löydy</v>
      </c>
      <c r="E31" s="31" t="str" cm="1">
        <f t="array" ref="E31">_xlfn.XLOOKUP(TRUE,EXACT(Vuorokoodit!$A:$A,E32),Vuorokoodit!$E:$E,"Ei löydy")</f>
        <v>Ei löydy</v>
      </c>
      <c r="F31" s="31" t="str" cm="1">
        <f t="array" ref="F31">_xlfn.XLOOKUP(TRUE,EXACT(Vuorokoodit!$A:$A,F32),Vuorokoodit!$E:$E,"Ei löydy")</f>
        <v>Ei löydy</v>
      </c>
      <c r="G31" s="31" t="str" cm="1">
        <f t="array" ref="G31">_xlfn.XLOOKUP(TRUE,EXACT(Vuorokoodit!$A:$A,G32),Vuorokoodit!$E:$E,"Ei löydy")</f>
        <v>Ei löydy</v>
      </c>
      <c r="H31" s="31" t="str" cm="1">
        <f t="array" ref="H31">_xlfn.XLOOKUP(TRUE,EXACT(Vuorokoodit!$A:$A,H32),Vuorokoodit!$E:$E,"Ei löydy")</f>
        <v>Ei löydy</v>
      </c>
      <c r="I31" s="31" t="str" cm="1">
        <f t="array" ref="I31">_xlfn.XLOOKUP(TRUE,EXACT(Vuorokoodit!$A:$A,I32),Vuorokoodit!$E:$E,"Ei löydy")</f>
        <v>Ei löydy</v>
      </c>
      <c r="J31" s="31" t="str" cm="1">
        <f t="array" ref="J31">_xlfn.XLOOKUP(TRUE,EXACT(Vuorokoodit!$A:$A,J32),Vuorokoodit!$E:$E,"Ei löydy")</f>
        <v>Ei löydy</v>
      </c>
      <c r="K31" s="31" t="str" cm="1">
        <f t="array" ref="K31">_xlfn.XLOOKUP(TRUE,EXACT(Vuorokoodit!$A:$A,K32),Vuorokoodit!$E:$E,"Ei löydy")</f>
        <v>Ei löydy</v>
      </c>
      <c r="L31" s="31" t="str" cm="1">
        <f t="array" ref="L31">_xlfn.XLOOKUP(TRUE,EXACT(Vuorokoodit!$A:$A,L32),Vuorokoodit!$E:$E,"Ei löydy")</f>
        <v>Ei löydy</v>
      </c>
      <c r="M31" s="31" t="str" cm="1">
        <f t="array" ref="M31">_xlfn.XLOOKUP(TRUE,EXACT(Vuorokoodit!$A:$A,M32),Vuorokoodit!$E:$E,"Ei löydy")</f>
        <v>Ei löydy</v>
      </c>
      <c r="N31" s="31" t="str" cm="1">
        <f t="array" ref="N31">_xlfn.XLOOKUP(TRUE,EXACT(Vuorokoodit!$A:$A,N32),Vuorokoodit!$E:$E,"Ei löydy")</f>
        <v>Ei löydy</v>
      </c>
      <c r="O31" s="31" t="str" cm="1">
        <f t="array" ref="O31">_xlfn.XLOOKUP(TRUE,EXACT(Vuorokoodit!$A:$A,O32),Vuorokoodit!$E:$E,"Ei löydy")</f>
        <v>Ei löydy</v>
      </c>
      <c r="P31" s="31" t="str" cm="1">
        <f t="array" ref="P31">_xlfn.XLOOKUP(TRUE,EXACT(Vuorokoodit!$A:$A,P32),Vuorokoodit!$E:$E,"Ei löydy")</f>
        <v>Ei löydy</v>
      </c>
      <c r="Q31" s="31" t="str" cm="1">
        <f t="array" ref="Q31">_xlfn.XLOOKUP(TRUE,EXACT(Vuorokoodit!$A:$A,Q32),Vuorokoodit!$E:$E,"Ei löydy")</f>
        <v>Ei löydy</v>
      </c>
      <c r="R31" s="31" t="str" cm="1">
        <f t="array" ref="R31">_xlfn.XLOOKUP(TRUE,EXACT(Vuorokoodit!$A:$A,R32),Vuorokoodit!$E:$E,"Ei löydy")</f>
        <v>Ei löydy</v>
      </c>
      <c r="S31" s="31" t="str" cm="1">
        <f t="array" ref="S31">_xlfn.XLOOKUP(TRUE,EXACT(Vuorokoodit!$A:$A,S32),Vuorokoodit!$E:$E,"Ei löydy")</f>
        <v>Ei löydy</v>
      </c>
      <c r="T31" s="31" t="str" cm="1">
        <f t="array" ref="T31">_xlfn.XLOOKUP(TRUE,EXACT(Vuorokoodit!$A:$A,T32),Vuorokoodit!$E:$E,"Ei löydy")</f>
        <v>Ei löydy</v>
      </c>
      <c r="U31" s="31" t="str" cm="1">
        <f t="array" ref="U31">_xlfn.XLOOKUP(TRUE,EXACT(Vuorokoodit!$A:$A,U32),Vuorokoodit!$E:$E,"Ei löydy")</f>
        <v>Ei löydy</v>
      </c>
      <c r="V31" s="31" t="str" cm="1">
        <f t="array" ref="V31">_xlfn.XLOOKUP(TRUE,EXACT(Vuorokoodit!$A:$A,V32),Vuorokoodit!$E:$E,"Ei löydy")</f>
        <v>Ei löydy</v>
      </c>
      <c r="W31" s="31" t="str" cm="1">
        <f t="array" ref="W31">_xlfn.XLOOKUP(TRUE,EXACT(Vuorokoodit!$A:$A,W32),Vuorokoodit!$E:$E,"Ei löydy")</f>
        <v>Ei löydy</v>
      </c>
    </row>
    <row r="32" spans="1:23" ht="22.5" customHeight="1" x14ac:dyDescent="0.25">
      <c r="A32"/>
      <c r="B32" s="59"/>
      <c r="C32" s="34">
        <f>_xlfn.XLOOKUP($B31,Kiertotunnus!$A:$A,Kiertotunnus!B:B)</f>
        <v>0</v>
      </c>
      <c r="D32" s="34">
        <f>_xlfn.XLOOKUP($B31,Kiertotunnus!$A:$A,Kiertotunnus!C:C)</f>
        <v>0</v>
      </c>
      <c r="E32" s="34">
        <f>_xlfn.XLOOKUP($B31,Kiertotunnus!$A:$A,Kiertotunnus!D:D)</f>
        <v>0</v>
      </c>
      <c r="F32" s="34">
        <f>_xlfn.XLOOKUP($B31,Kiertotunnus!$A:$A,Kiertotunnus!E:E)</f>
        <v>0</v>
      </c>
      <c r="G32" s="34">
        <f>_xlfn.XLOOKUP($B31,Kiertotunnus!$A:$A,Kiertotunnus!F:F)</f>
        <v>0</v>
      </c>
      <c r="H32" s="34">
        <f>_xlfn.XLOOKUP($B31,Kiertotunnus!$A:$A,Kiertotunnus!G:G)</f>
        <v>0</v>
      </c>
      <c r="I32" s="34">
        <f>_xlfn.XLOOKUP($B31,Kiertotunnus!$A:$A,Kiertotunnus!H:H)</f>
        <v>0</v>
      </c>
      <c r="J32" s="34">
        <f>_xlfn.XLOOKUP($B31,Kiertotunnus!$A:$A,Kiertotunnus!I:I)</f>
        <v>0</v>
      </c>
      <c r="K32" s="34">
        <f>_xlfn.XLOOKUP($B31,Kiertotunnus!$A:$A,Kiertotunnus!J:J)</f>
        <v>0</v>
      </c>
      <c r="L32" s="34">
        <f>_xlfn.XLOOKUP($B31,Kiertotunnus!$A:$A,Kiertotunnus!K:K)</f>
        <v>0</v>
      </c>
      <c r="M32" s="34">
        <f>_xlfn.XLOOKUP($B31,Kiertotunnus!$A:$A,Kiertotunnus!L:L)</f>
        <v>0</v>
      </c>
      <c r="N32" s="34">
        <f>_xlfn.XLOOKUP($B31,Kiertotunnus!$A:$A,Kiertotunnus!M:M)</f>
        <v>0</v>
      </c>
      <c r="O32" s="34">
        <f>_xlfn.XLOOKUP($B31,Kiertotunnus!$A:$A,Kiertotunnus!N:N)</f>
        <v>0</v>
      </c>
      <c r="P32" s="34">
        <f>_xlfn.XLOOKUP($B31,Kiertotunnus!$A:$A,Kiertotunnus!O:O)</f>
        <v>0</v>
      </c>
      <c r="Q32" s="34">
        <f>_xlfn.XLOOKUP($B31,Kiertotunnus!$A:$A,Kiertotunnus!P:P)</f>
        <v>0</v>
      </c>
      <c r="R32" s="34">
        <f>_xlfn.XLOOKUP($B31,Kiertotunnus!$A:$A,Kiertotunnus!Q:Q)</f>
        <v>0</v>
      </c>
      <c r="S32" s="34">
        <f>_xlfn.XLOOKUP($B31,Kiertotunnus!$A:$A,Kiertotunnus!R:R)</f>
        <v>0</v>
      </c>
      <c r="T32" s="34">
        <f>_xlfn.XLOOKUP($B31,Kiertotunnus!$A:$A,Kiertotunnus!S:S)</f>
        <v>0</v>
      </c>
      <c r="U32" s="34">
        <f>_xlfn.XLOOKUP($B31,Kiertotunnus!$A:$A,Kiertotunnus!T:T)</f>
        <v>0</v>
      </c>
      <c r="V32" s="34">
        <f>_xlfn.XLOOKUP($B31,Kiertotunnus!$A:$A,Kiertotunnus!U:U)</f>
        <v>0</v>
      </c>
      <c r="W32" s="34">
        <f>_xlfn.XLOOKUP($B31,Kiertotunnus!$A:$A,Kiertotunnus!V:V)</f>
        <v>0</v>
      </c>
    </row>
    <row r="33" spans="1:23" ht="39.75" customHeight="1" x14ac:dyDescent="0.25">
      <c r="A33" s="20"/>
      <c r="B33" s="59" t="s">
        <v>96</v>
      </c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</row>
    <row r="34" spans="1:23" ht="54" customHeight="1" x14ac:dyDescent="0.25">
      <c r="A34" s="29"/>
      <c r="B34" s="77"/>
      <c r="C34" s="31" t="str" cm="1">
        <f t="array" ref="C34">_xlfn.XLOOKUP(TRUE,EXACT(Vuorokoodit!$A:$A,C35),Vuorokoodit!$E:$E,"Ei löydy")</f>
        <v>Ei löydy</v>
      </c>
      <c r="D34" s="31" t="str" cm="1">
        <f t="array" ref="D34">_xlfn.XLOOKUP(TRUE,EXACT(Vuorokoodit!$A:$A,D35),Vuorokoodit!$E:$E,"Ei löydy")</f>
        <v>Ei löydy</v>
      </c>
      <c r="E34" s="31" t="str" cm="1">
        <f t="array" ref="E34">_xlfn.XLOOKUP(TRUE,EXACT(Vuorokoodit!$A:$A,E35),Vuorokoodit!$E:$E,"Ei löydy")</f>
        <v>Ei löydy</v>
      </c>
      <c r="F34" s="31" t="str" cm="1">
        <f t="array" ref="F34">_xlfn.XLOOKUP(TRUE,EXACT(Vuorokoodit!$A:$A,F35),Vuorokoodit!$E:$E,"Ei löydy")</f>
        <v>Ei löydy</v>
      </c>
      <c r="G34" s="31" t="str" cm="1">
        <f t="array" ref="G34">_xlfn.XLOOKUP(TRUE,EXACT(Vuorokoodit!$A:$A,G35),Vuorokoodit!$E:$E,"Ei löydy")</f>
        <v>Ei löydy</v>
      </c>
      <c r="H34" s="31" t="str" cm="1">
        <f t="array" ref="H34">_xlfn.XLOOKUP(TRUE,EXACT(Vuorokoodit!$A:$A,H35),Vuorokoodit!$E:$E,"Ei löydy")</f>
        <v>Ei löydy</v>
      </c>
      <c r="I34" s="31" t="str" cm="1">
        <f t="array" ref="I34">_xlfn.XLOOKUP(TRUE,EXACT(Vuorokoodit!$A:$A,I35),Vuorokoodit!$E:$E,"Ei löydy")</f>
        <v>Ei löydy</v>
      </c>
      <c r="J34" s="31" t="str" cm="1">
        <f t="array" ref="J34">_xlfn.XLOOKUP(TRUE,EXACT(Vuorokoodit!$A:$A,J35),Vuorokoodit!$E:$E,"Ei löydy")</f>
        <v>Ei löydy</v>
      </c>
      <c r="K34" s="31" t="str" cm="1">
        <f t="array" ref="K34">_xlfn.XLOOKUP(TRUE,EXACT(Vuorokoodit!$A:$A,K35),Vuorokoodit!$E:$E,"Ei löydy")</f>
        <v>Ei löydy</v>
      </c>
      <c r="L34" s="31" t="str" cm="1">
        <f t="array" ref="L34">_xlfn.XLOOKUP(TRUE,EXACT(Vuorokoodit!$A:$A,L35),Vuorokoodit!$E:$E,"Ei löydy")</f>
        <v>Ei löydy</v>
      </c>
      <c r="M34" s="31" t="str" cm="1">
        <f t="array" ref="M34">_xlfn.XLOOKUP(TRUE,EXACT(Vuorokoodit!$A:$A,M35),Vuorokoodit!$E:$E,"Ei löydy")</f>
        <v>Ei löydy</v>
      </c>
      <c r="N34" s="31" t="str" cm="1">
        <f t="array" ref="N34">_xlfn.XLOOKUP(TRUE,EXACT(Vuorokoodit!$A:$A,N35),Vuorokoodit!$E:$E,"Ei löydy")</f>
        <v>Ei löydy</v>
      </c>
      <c r="O34" s="31" t="str" cm="1">
        <f t="array" ref="O34">_xlfn.XLOOKUP(TRUE,EXACT(Vuorokoodit!$A:$A,O35),Vuorokoodit!$E:$E,"Ei löydy")</f>
        <v>Ei löydy</v>
      </c>
      <c r="P34" s="31" t="str" cm="1">
        <f t="array" ref="P34">_xlfn.XLOOKUP(TRUE,EXACT(Vuorokoodit!$A:$A,P35),Vuorokoodit!$E:$E,"Ei löydy")</f>
        <v>Ei löydy</v>
      </c>
      <c r="Q34" s="31" t="str" cm="1">
        <f t="array" ref="Q34">_xlfn.XLOOKUP(TRUE,EXACT(Vuorokoodit!$A:$A,Q35),Vuorokoodit!$E:$E,"Ei löydy")</f>
        <v>Ei löydy</v>
      </c>
      <c r="R34" s="31" t="str" cm="1">
        <f t="array" ref="R34">_xlfn.XLOOKUP(TRUE,EXACT(Vuorokoodit!$A:$A,R35),Vuorokoodit!$E:$E,"Ei löydy")</f>
        <v>Ei löydy</v>
      </c>
      <c r="S34" s="31" t="str" cm="1">
        <f t="array" ref="S34">_xlfn.XLOOKUP(TRUE,EXACT(Vuorokoodit!$A:$A,S35),Vuorokoodit!$E:$E,"Ei löydy")</f>
        <v>Ei löydy</v>
      </c>
      <c r="T34" s="31" t="str" cm="1">
        <f t="array" ref="T34">_xlfn.XLOOKUP(TRUE,EXACT(Vuorokoodit!$A:$A,T35),Vuorokoodit!$E:$E,"Ei löydy")</f>
        <v>Ei löydy</v>
      </c>
      <c r="U34" s="31" t="str" cm="1">
        <f t="array" ref="U34">_xlfn.XLOOKUP(TRUE,EXACT(Vuorokoodit!$A:$A,U35),Vuorokoodit!$E:$E,"Ei löydy")</f>
        <v>Ei löydy</v>
      </c>
      <c r="V34" s="31" t="str" cm="1">
        <f t="array" ref="V34">_xlfn.XLOOKUP(TRUE,EXACT(Vuorokoodit!$A:$A,V35),Vuorokoodit!$E:$E,"Ei löydy")</f>
        <v>Ei löydy</v>
      </c>
      <c r="W34" s="31" t="str" cm="1">
        <f t="array" ref="W34">_xlfn.XLOOKUP(TRUE,EXACT(Vuorokoodit!$A:$A,W35),Vuorokoodit!$E:$E,"Ei löydy")</f>
        <v>Ei löydy</v>
      </c>
    </row>
    <row r="35" spans="1:23" ht="22.5" customHeight="1" x14ac:dyDescent="0.25">
      <c r="A35"/>
      <c r="B35" s="59"/>
      <c r="C35" s="34">
        <f>_xlfn.XLOOKUP($B34,Kiertotunnus!$A:$A,Kiertotunnus!B:B)</f>
        <v>0</v>
      </c>
      <c r="D35" s="34">
        <f>_xlfn.XLOOKUP($B34,Kiertotunnus!$A:$A,Kiertotunnus!C:C)</f>
        <v>0</v>
      </c>
      <c r="E35" s="34">
        <f>_xlfn.XLOOKUP($B34,Kiertotunnus!$A:$A,Kiertotunnus!D:D)</f>
        <v>0</v>
      </c>
      <c r="F35" s="34">
        <f>_xlfn.XLOOKUP($B34,Kiertotunnus!$A:$A,Kiertotunnus!E:E)</f>
        <v>0</v>
      </c>
      <c r="G35" s="34">
        <f>_xlfn.XLOOKUP($B34,Kiertotunnus!$A:$A,Kiertotunnus!F:F)</f>
        <v>0</v>
      </c>
      <c r="H35" s="34">
        <f>_xlfn.XLOOKUP($B34,Kiertotunnus!$A:$A,Kiertotunnus!G:G)</f>
        <v>0</v>
      </c>
      <c r="I35" s="34">
        <f>_xlfn.XLOOKUP($B34,Kiertotunnus!$A:$A,Kiertotunnus!H:H)</f>
        <v>0</v>
      </c>
      <c r="J35" s="34">
        <f>_xlfn.XLOOKUP($B34,Kiertotunnus!$A:$A,Kiertotunnus!I:I)</f>
        <v>0</v>
      </c>
      <c r="K35" s="34">
        <f>_xlfn.XLOOKUP($B34,Kiertotunnus!$A:$A,Kiertotunnus!J:J)</f>
        <v>0</v>
      </c>
      <c r="L35" s="34">
        <f>_xlfn.XLOOKUP($B34,Kiertotunnus!$A:$A,Kiertotunnus!K:K)</f>
        <v>0</v>
      </c>
      <c r="M35" s="34">
        <f>_xlfn.XLOOKUP($B34,Kiertotunnus!$A:$A,Kiertotunnus!L:L)</f>
        <v>0</v>
      </c>
      <c r="N35" s="34">
        <f>_xlfn.XLOOKUP($B34,Kiertotunnus!$A:$A,Kiertotunnus!M:M)</f>
        <v>0</v>
      </c>
      <c r="O35" s="34">
        <f>_xlfn.XLOOKUP($B34,Kiertotunnus!$A:$A,Kiertotunnus!N:N)</f>
        <v>0</v>
      </c>
      <c r="P35" s="34">
        <f>_xlfn.XLOOKUP($B34,Kiertotunnus!$A:$A,Kiertotunnus!O:O)</f>
        <v>0</v>
      </c>
      <c r="Q35" s="34">
        <f>_xlfn.XLOOKUP($B34,Kiertotunnus!$A:$A,Kiertotunnus!P:P)</f>
        <v>0</v>
      </c>
      <c r="R35" s="34">
        <f>_xlfn.XLOOKUP($B34,Kiertotunnus!$A:$A,Kiertotunnus!Q:Q)</f>
        <v>0</v>
      </c>
      <c r="S35" s="34">
        <f>_xlfn.XLOOKUP($B34,Kiertotunnus!$A:$A,Kiertotunnus!R:R)</f>
        <v>0</v>
      </c>
      <c r="T35" s="34">
        <f>_xlfn.XLOOKUP($B34,Kiertotunnus!$A:$A,Kiertotunnus!S:S)</f>
        <v>0</v>
      </c>
      <c r="U35" s="34">
        <f>_xlfn.XLOOKUP($B34,Kiertotunnus!$A:$A,Kiertotunnus!T:T)</f>
        <v>0</v>
      </c>
      <c r="V35" s="34">
        <f>_xlfn.XLOOKUP($B34,Kiertotunnus!$A:$A,Kiertotunnus!U:U)</f>
        <v>0</v>
      </c>
      <c r="W35" s="34">
        <f>_xlfn.XLOOKUP($B34,Kiertotunnus!$A:$A,Kiertotunnus!V:V)</f>
        <v>0</v>
      </c>
    </row>
    <row r="36" spans="1:23" ht="39.75" customHeight="1" x14ac:dyDescent="0.25">
      <c r="A36" s="20"/>
      <c r="B36" s="59" t="s">
        <v>96</v>
      </c>
      <c r="C36" s="65"/>
      <c r="D36" s="65"/>
      <c r="E36" s="65"/>
      <c r="F36" s="65"/>
      <c r="G36" s="65"/>
      <c r="H36" s="78"/>
      <c r="I36" s="78"/>
      <c r="J36" s="65"/>
      <c r="K36" s="65"/>
      <c r="L36" s="65"/>
      <c r="M36" s="65"/>
      <c r="N36" s="65"/>
      <c r="O36" s="78"/>
      <c r="P36" s="78"/>
      <c r="Q36" s="65"/>
      <c r="R36" s="65"/>
      <c r="S36" s="65"/>
      <c r="T36" s="65"/>
      <c r="U36" s="65"/>
      <c r="V36" s="78"/>
      <c r="W36" s="78"/>
    </row>
    <row r="37" spans="1:23" ht="54" hidden="1" customHeight="1" x14ac:dyDescent="0.25">
      <c r="A37" s="29"/>
      <c r="B37" s="77"/>
      <c r="C37" s="31" t="e" cm="1">
        <f t="array" ref="C37">_xlfn.XLOOKUP(TRUE,EXACT(Vuorokoodit!$A$3:Vuorokoodit!#REF!,C38),Vuorokoodit!$E$3:Vuorokoodit!#REF!,"Ei löydy")</f>
        <v>#REF!</v>
      </c>
      <c r="D37" s="31" t="e" cm="1">
        <f t="array" ref="D37">_xlfn.XLOOKUP(TRUE,EXACT(Vuorokoodit!$A$3:Vuorokoodit!#REF!,D38),Vuorokoodit!$E$3:Vuorokoodit!#REF!,"Ei löydy")</f>
        <v>#REF!</v>
      </c>
      <c r="E37" s="31" t="e" cm="1">
        <f t="array" ref="E37">_xlfn.XLOOKUP(TRUE,EXACT(Vuorokoodit!$A$3:Vuorokoodit!#REF!,E38),Vuorokoodit!$E$3:Vuorokoodit!#REF!,"Ei löydy")</f>
        <v>#REF!</v>
      </c>
      <c r="F37" s="31" t="e" cm="1">
        <f t="array" ref="F37">_xlfn.XLOOKUP(TRUE,EXACT(Vuorokoodit!$A$3:Vuorokoodit!#REF!,F38),Vuorokoodit!$E$3:Vuorokoodit!#REF!,"Ei löydy")</f>
        <v>#REF!</v>
      </c>
      <c r="G37" s="31" t="e" cm="1">
        <f t="array" ref="G37">_xlfn.XLOOKUP(TRUE,EXACT(Vuorokoodit!$A$3:Vuorokoodit!#REF!,G38),Vuorokoodit!$E$3:Vuorokoodit!#REF!,"Ei löydy")</f>
        <v>#REF!</v>
      </c>
      <c r="H37" s="31" t="e" cm="1">
        <f t="array" ref="H37">_xlfn.XLOOKUP(TRUE,EXACT(Vuorokoodit!$A$3:Vuorokoodit!#REF!,H38),Vuorokoodit!$E$3:Vuorokoodit!#REF!,"Ei löydy")</f>
        <v>#REF!</v>
      </c>
      <c r="I37" s="31" t="e" cm="1">
        <f t="array" ref="I37">_xlfn.XLOOKUP(TRUE,EXACT(Vuorokoodit!$A$3:Vuorokoodit!#REF!,I38),Vuorokoodit!$E$3:Vuorokoodit!#REF!,"Ei löydy")</f>
        <v>#REF!</v>
      </c>
      <c r="J37" s="31" t="e" cm="1">
        <f t="array" ref="J37">_xlfn.XLOOKUP(TRUE,EXACT(Vuorokoodit!$A$3:Vuorokoodit!#REF!,J38),Vuorokoodit!$E$3:Vuorokoodit!#REF!,"Ei löydy")</f>
        <v>#REF!</v>
      </c>
      <c r="K37" s="31" t="e" cm="1">
        <f t="array" ref="K37">_xlfn.XLOOKUP(TRUE,EXACT(Vuorokoodit!$A$3:Vuorokoodit!#REF!,K38),Vuorokoodit!$E$3:Vuorokoodit!#REF!,"Ei löydy")</f>
        <v>#REF!</v>
      </c>
      <c r="L37" s="31" t="e" cm="1">
        <f t="array" ref="L37">_xlfn.XLOOKUP(TRUE,EXACT(Vuorokoodit!$A$3:Vuorokoodit!#REF!,L38),Vuorokoodit!$E$3:Vuorokoodit!#REF!,"Ei löydy")</f>
        <v>#REF!</v>
      </c>
      <c r="M37" s="31" t="e" cm="1">
        <f t="array" ref="M37">_xlfn.XLOOKUP(TRUE,EXACT(Vuorokoodit!$A$3:Vuorokoodit!#REF!,M38),Vuorokoodit!$E$3:Vuorokoodit!#REF!,"Ei löydy")</f>
        <v>#REF!</v>
      </c>
      <c r="N37" s="31" t="e" cm="1">
        <f t="array" ref="N37">_xlfn.XLOOKUP(TRUE,EXACT(Vuorokoodit!$A$3:Vuorokoodit!#REF!,N38),Vuorokoodit!$E$3:Vuorokoodit!#REF!,"Ei löydy")</f>
        <v>#REF!</v>
      </c>
      <c r="O37" s="31" t="e" cm="1">
        <f t="array" ref="O37">_xlfn.XLOOKUP(TRUE,EXACT(Vuorokoodit!$A$3:Vuorokoodit!#REF!,O38),Vuorokoodit!$E$3:Vuorokoodit!#REF!,"Ei löydy")</f>
        <v>#REF!</v>
      </c>
      <c r="P37" s="31" t="e" cm="1">
        <f t="array" ref="P37">_xlfn.XLOOKUP(TRUE,EXACT(Vuorokoodit!$A$3:Vuorokoodit!#REF!,P38),Vuorokoodit!$E$3:Vuorokoodit!#REF!,"Ei löydy")</f>
        <v>#REF!</v>
      </c>
      <c r="Q37" s="31" t="e" cm="1">
        <f t="array" ref="Q37">_xlfn.XLOOKUP(TRUE,EXACT(Vuorokoodit!$A$3:Vuorokoodit!#REF!,Q38),Vuorokoodit!$E$3:Vuorokoodit!#REF!,"Ei löydy")</f>
        <v>#REF!</v>
      </c>
      <c r="R37" s="31" t="e" cm="1">
        <f t="array" ref="R37">_xlfn.XLOOKUP(TRUE,EXACT(Vuorokoodit!$A$3:Vuorokoodit!#REF!,R38),Vuorokoodit!$E$3:Vuorokoodit!#REF!,"Ei löydy")</f>
        <v>#REF!</v>
      </c>
      <c r="S37" s="31" t="e" cm="1">
        <f t="array" ref="S37">_xlfn.XLOOKUP(TRUE,EXACT(Vuorokoodit!$A$3:Vuorokoodit!#REF!,S38),Vuorokoodit!$E$3:Vuorokoodit!#REF!,"Ei löydy")</f>
        <v>#REF!</v>
      </c>
      <c r="T37" s="31" t="e" cm="1">
        <f t="array" ref="T37">_xlfn.XLOOKUP(TRUE,EXACT(Vuorokoodit!$A$3:Vuorokoodit!#REF!,T38),Vuorokoodit!$E$3:Vuorokoodit!#REF!,"Ei löydy")</f>
        <v>#REF!</v>
      </c>
      <c r="U37" s="31" t="e" cm="1">
        <f t="array" ref="U37">_xlfn.XLOOKUP(TRUE,EXACT(Vuorokoodit!$A$3:Vuorokoodit!#REF!,U38),Vuorokoodit!$E$3:Vuorokoodit!#REF!,"Ei löydy")</f>
        <v>#REF!</v>
      </c>
      <c r="V37" s="31" t="e" cm="1">
        <f t="array" ref="V37">_xlfn.XLOOKUP(TRUE,EXACT(Vuorokoodit!$A$3:Vuorokoodit!#REF!,V38),Vuorokoodit!$E$3:Vuorokoodit!#REF!,"Ei löydy")</f>
        <v>#REF!</v>
      </c>
      <c r="W37" s="31" t="e" cm="1">
        <f t="array" ref="W37">_xlfn.XLOOKUP(TRUE,EXACT(Vuorokoodit!$A$3:Vuorokoodit!#REF!,W38),Vuorokoodit!$E$3:Vuorokoodit!#REF!,"Ei löydy")</f>
        <v>#REF!</v>
      </c>
    </row>
    <row r="38" spans="1:23" ht="22.5" hidden="1" customHeight="1" x14ac:dyDescent="0.25">
      <c r="A38"/>
      <c r="B38" s="59"/>
      <c r="C38" s="34" cm="1">
        <f t="array" ref="C38">_xlfn.XLOOKUP($B37,Kiertotunnus!$A$2:'Kiertotunnus'!$A$417,Kiertotunnus!B$2:'Kiertotunnus'!B$417)</f>
        <v>0</v>
      </c>
      <c r="D38" s="34" cm="1">
        <f t="array" ref="D38">_xlfn.XLOOKUP($B37,Kiertotunnus!$A$2:'Kiertotunnus'!$A$417,Kiertotunnus!C$2:'Kiertotunnus'!C$417)</f>
        <v>0</v>
      </c>
      <c r="E38" s="34" cm="1">
        <f t="array" ref="E38">_xlfn.XLOOKUP($B37,Kiertotunnus!$A$2:'Kiertotunnus'!$A$417,Kiertotunnus!D$2:'Kiertotunnus'!D$417)</f>
        <v>0</v>
      </c>
      <c r="F38" s="34" cm="1">
        <f t="array" ref="F38">_xlfn.XLOOKUP($B37,Kiertotunnus!$A$2:'Kiertotunnus'!$A$417,Kiertotunnus!E$2:'Kiertotunnus'!E$417)</f>
        <v>0</v>
      </c>
      <c r="G38" s="34" cm="1">
        <f t="array" ref="G38">_xlfn.XLOOKUP($B37,Kiertotunnus!$A$2:'Kiertotunnus'!$A$417,Kiertotunnus!F$2:'Kiertotunnus'!F$417)</f>
        <v>0</v>
      </c>
      <c r="H38" s="34" cm="1">
        <f t="array" ref="H38">_xlfn.XLOOKUP($B37,Kiertotunnus!$A$2:'Kiertotunnus'!$A$417,Kiertotunnus!G$2:'Kiertotunnus'!G$417)</f>
        <v>0</v>
      </c>
      <c r="I38" s="34" cm="1">
        <f t="array" ref="I38">_xlfn.XLOOKUP($B37,Kiertotunnus!$A$2:'Kiertotunnus'!$A$417,Kiertotunnus!H$2:'Kiertotunnus'!H$417)</f>
        <v>0</v>
      </c>
      <c r="J38" s="34" cm="1">
        <f t="array" ref="J38">_xlfn.XLOOKUP($B37,Kiertotunnus!$A$2:'Kiertotunnus'!$A$417,Kiertotunnus!I$2:'Kiertotunnus'!I$417)</f>
        <v>0</v>
      </c>
      <c r="K38" s="34" cm="1">
        <f t="array" ref="K38">_xlfn.XLOOKUP($B37,Kiertotunnus!$A$2:'Kiertotunnus'!$A$417,Kiertotunnus!J$2:'Kiertotunnus'!J$417)</f>
        <v>0</v>
      </c>
      <c r="L38" s="34" cm="1">
        <f t="array" ref="L38">_xlfn.XLOOKUP($B37,Kiertotunnus!$A$2:'Kiertotunnus'!$A$417,Kiertotunnus!K$2:'Kiertotunnus'!K$417)</f>
        <v>0</v>
      </c>
      <c r="M38" s="34" cm="1">
        <f t="array" ref="M38">_xlfn.XLOOKUP($B37,Kiertotunnus!$A$2:'Kiertotunnus'!$A$417,Kiertotunnus!L$2:'Kiertotunnus'!L$417)</f>
        <v>0</v>
      </c>
      <c r="N38" s="34" cm="1">
        <f t="array" ref="N38">_xlfn.XLOOKUP($B37,Kiertotunnus!$A$2:'Kiertotunnus'!$A$417,Kiertotunnus!M$2:'Kiertotunnus'!M$417)</f>
        <v>0</v>
      </c>
      <c r="O38" s="34" cm="1">
        <f t="array" ref="O38">_xlfn.XLOOKUP($B37,Kiertotunnus!$A$2:'Kiertotunnus'!$A$417,Kiertotunnus!N$2:'Kiertotunnus'!N$417)</f>
        <v>0</v>
      </c>
      <c r="P38" s="34" cm="1">
        <f t="array" ref="P38">_xlfn.XLOOKUP($B37,Kiertotunnus!$A$2:'Kiertotunnus'!$A$417,Kiertotunnus!O$2:'Kiertotunnus'!O$417)</f>
        <v>0</v>
      </c>
      <c r="Q38" s="34" cm="1">
        <f t="array" ref="Q38">_xlfn.XLOOKUP($B37,Kiertotunnus!$A$2:'Kiertotunnus'!$A$417,Kiertotunnus!P$2:'Kiertotunnus'!P$417)</f>
        <v>0</v>
      </c>
      <c r="R38" s="34" cm="1">
        <f t="array" ref="R38">_xlfn.XLOOKUP($B37,Kiertotunnus!$A$2:'Kiertotunnus'!$A$417,Kiertotunnus!Q$2:'Kiertotunnus'!Q$417)</f>
        <v>0</v>
      </c>
      <c r="S38" s="34" cm="1">
        <f t="array" ref="S38">_xlfn.XLOOKUP($B37,Kiertotunnus!$A$2:'Kiertotunnus'!$A$417,Kiertotunnus!R$2:'Kiertotunnus'!R$417)</f>
        <v>0</v>
      </c>
      <c r="T38" s="34" cm="1">
        <f t="array" ref="T38">_xlfn.XLOOKUP($B37,Kiertotunnus!$A$2:'Kiertotunnus'!$A$417,Kiertotunnus!S$2:'Kiertotunnus'!S$417)</f>
        <v>0</v>
      </c>
      <c r="U38" s="34" cm="1">
        <f t="array" ref="U38">_xlfn.XLOOKUP($B37,Kiertotunnus!$A$2:'Kiertotunnus'!$A$417,Kiertotunnus!T$2:'Kiertotunnus'!T$417)</f>
        <v>0</v>
      </c>
      <c r="V38" s="34" cm="1">
        <f t="array" ref="V38">_xlfn.XLOOKUP($B37,Kiertotunnus!$A$2:'Kiertotunnus'!$A$417,Kiertotunnus!U$2:'Kiertotunnus'!U$417)</f>
        <v>0</v>
      </c>
      <c r="W38" s="34" cm="1">
        <f t="array" ref="W38">_xlfn.XLOOKUP($B37,Kiertotunnus!$A$2:'Kiertotunnus'!$A$417,Kiertotunnus!V$2:'Kiertotunnus'!V$417)</f>
        <v>0</v>
      </c>
    </row>
    <row r="39" spans="1:23" ht="39.75" hidden="1" customHeight="1" x14ac:dyDescent="0.25">
      <c r="A39" s="20"/>
      <c r="B39" s="59" t="s">
        <v>96</v>
      </c>
      <c r="C39" s="65"/>
      <c r="D39" s="65"/>
      <c r="E39" s="65"/>
      <c r="F39" s="65"/>
      <c r="G39" s="65"/>
      <c r="H39" s="78"/>
      <c r="I39" s="78"/>
      <c r="J39" s="65"/>
      <c r="K39" s="65"/>
      <c r="L39" s="65"/>
      <c r="M39" s="65"/>
      <c r="N39" s="65"/>
      <c r="O39" s="78"/>
      <c r="P39" s="78"/>
      <c r="Q39" s="65"/>
      <c r="R39" s="65"/>
      <c r="S39" s="65"/>
      <c r="T39" s="65"/>
      <c r="U39" s="65"/>
      <c r="V39" s="78"/>
      <c r="W39" s="78"/>
    </row>
    <row r="40" spans="1:23" ht="18.75" hidden="1" x14ac:dyDescent="0.3">
      <c r="B40" s="61"/>
      <c r="C40" s="65" t="s">
        <v>117</v>
      </c>
      <c r="D40" s="65" t="s">
        <v>117</v>
      </c>
      <c r="E40" s="65" t="s">
        <v>117</v>
      </c>
      <c r="F40" s="65" t="s">
        <v>117</v>
      </c>
      <c r="G40" s="65" t="s">
        <v>117</v>
      </c>
      <c r="H40" s="78" t="s">
        <v>117</v>
      </c>
      <c r="I40" s="78" t="s">
        <v>117</v>
      </c>
      <c r="J40" s="65" t="s">
        <v>117</v>
      </c>
      <c r="K40" s="65" t="s">
        <v>117</v>
      </c>
      <c r="L40" s="65" t="s">
        <v>117</v>
      </c>
      <c r="M40" s="65" t="s">
        <v>117</v>
      </c>
      <c r="N40" s="65" t="s">
        <v>117</v>
      </c>
      <c r="O40" s="78" t="s">
        <v>117</v>
      </c>
      <c r="P40" s="78" t="s">
        <v>117</v>
      </c>
      <c r="Q40" s="65" t="s">
        <v>117</v>
      </c>
      <c r="R40" s="65" t="s">
        <v>117</v>
      </c>
      <c r="S40" s="65" t="s">
        <v>117</v>
      </c>
      <c r="T40" s="65" t="s">
        <v>117</v>
      </c>
      <c r="U40" s="65" t="s">
        <v>117</v>
      </c>
      <c r="V40" s="78" t="s">
        <v>117</v>
      </c>
      <c r="W40" s="78" t="s">
        <v>117</v>
      </c>
    </row>
    <row r="41" spans="1:23" ht="18.75" x14ac:dyDescent="0.3">
      <c r="B41" s="61"/>
      <c r="H41" s="4"/>
      <c r="I41" s="4"/>
      <c r="O41" s="4"/>
      <c r="P41" s="4"/>
      <c r="V41" s="4"/>
      <c r="W41" s="4"/>
    </row>
    <row r="42" spans="1:23" x14ac:dyDescent="0.25">
      <c r="H42" s="4"/>
      <c r="I42" s="4"/>
      <c r="O42" s="4"/>
      <c r="P42" s="4"/>
      <c r="V42" s="4"/>
      <c r="W42" s="4"/>
    </row>
    <row r="43" spans="1:23" x14ac:dyDescent="0.25">
      <c r="H43" s="4"/>
      <c r="I43" s="4"/>
      <c r="O43" s="4"/>
      <c r="P43" s="4"/>
      <c r="V43" s="4"/>
      <c r="W43" s="4"/>
    </row>
    <row r="44" spans="1:23" x14ac:dyDescent="0.25">
      <c r="H44" s="4"/>
      <c r="I44" s="4"/>
      <c r="O44" s="4"/>
      <c r="P44" s="4"/>
      <c r="V44" s="4"/>
      <c r="W44" s="4"/>
    </row>
    <row r="45" spans="1:23" x14ac:dyDescent="0.25">
      <c r="H45" s="4"/>
      <c r="I45" s="4"/>
      <c r="O45" s="4"/>
      <c r="P45" s="4"/>
      <c r="V45" s="4"/>
      <c r="W45" s="4"/>
    </row>
    <row r="46" spans="1:23" x14ac:dyDescent="0.25">
      <c r="H46" s="4"/>
      <c r="I46" s="4"/>
      <c r="O46" s="4"/>
      <c r="P46" s="4"/>
      <c r="V46" s="4"/>
      <c r="W46" s="4"/>
    </row>
    <row r="47" spans="1:23" x14ac:dyDescent="0.25">
      <c r="H47" s="4"/>
      <c r="I47" s="4"/>
      <c r="O47" s="4"/>
      <c r="P47" s="4"/>
      <c r="V47" s="4"/>
      <c r="W47" s="4"/>
    </row>
    <row r="48" spans="1:23" x14ac:dyDescent="0.25">
      <c r="H48" s="4"/>
      <c r="I48" s="4"/>
      <c r="O48" s="4"/>
      <c r="P48" s="4"/>
      <c r="V48" s="4"/>
      <c r="W48" s="4"/>
    </row>
    <row r="49" spans="8:23" x14ac:dyDescent="0.25">
      <c r="H49" s="4"/>
      <c r="I49" s="4"/>
      <c r="O49" s="4"/>
      <c r="P49" s="4"/>
      <c r="V49" s="4"/>
      <c r="W49" s="4"/>
    </row>
    <row r="50" spans="8:23" x14ac:dyDescent="0.25">
      <c r="H50" s="4"/>
      <c r="I50" s="4"/>
      <c r="O50" s="4"/>
      <c r="P50" s="4"/>
      <c r="V50" s="4"/>
      <c r="W50" s="4"/>
    </row>
  </sheetData>
  <conditionalFormatting sqref="C4:W4">
    <cfRule type="containsText" dxfId="164" priority="246" operator="containsText" text="19:45 -">
      <formula>NOT(ISERROR(SEARCH("19:45 -",C4)))</formula>
    </cfRule>
    <cfRule type="containsText" dxfId="163" priority="247" operator="containsText" text="00:00">
      <formula>NOT(ISERROR(SEARCH("00:00",C4)))</formula>
    </cfRule>
    <cfRule type="containsText" dxfId="162" priority="248" operator="containsText" text=":2">
      <formula>NOT(ISERROR(SEARCH(":2",C4)))</formula>
    </cfRule>
    <cfRule type="containsText" dxfId="161" priority="249" operator="containsText" text=":18">
      <formula>NOT(ISERROR(SEARCH(":18",C4)))</formula>
    </cfRule>
    <cfRule type="containsText" dxfId="160" priority="250" operator="containsText" text="07:0">
      <formula>NOT(ISERROR(SEARCH("07:0",C4)))</formula>
    </cfRule>
    <cfRule type="containsText" dxfId="159" priority="251" operator="containsText" text="07:15">
      <formula>NOT(ISERROR(SEARCH("07:15",C4)))</formula>
    </cfRule>
    <cfRule type="containsText" dxfId="158" priority="252" operator="containsText" text="06:">
      <formula>NOT(ISERROR(SEARCH("06:",C4)))</formula>
    </cfRule>
    <cfRule type="containsText" dxfId="157" priority="253" operator="containsText" text="05">
      <formula>NOT(ISERROR(SEARCH("05",C4)))</formula>
    </cfRule>
  </conditionalFormatting>
  <conditionalFormatting sqref="C4:W4">
    <cfRule type="containsText" dxfId="156" priority="245" operator="containsText" text="2*:">
      <formula>NOT(ISERROR(SEARCH("2*:",C4)))</formula>
    </cfRule>
  </conditionalFormatting>
  <conditionalFormatting sqref="C4:W4">
    <cfRule type="containsText" dxfId="155" priority="216" operator="containsText" text="T">
      <formula>NOT(ISERROR(SEARCH("T",C4)))</formula>
    </cfRule>
    <cfRule type="containsText" dxfId="154" priority="217" operator="containsText" text="V">
      <formula>NOT(ISERROR(SEARCH("V",C4)))</formula>
    </cfRule>
  </conditionalFormatting>
  <conditionalFormatting sqref="C4:W4">
    <cfRule type="containsText" dxfId="153" priority="214" operator="containsText" text="#">
      <formula>NOT(ISERROR(SEARCH("#",C4)))</formula>
    </cfRule>
    <cfRule type="containsText" dxfId="152" priority="215" operator="containsText" text="T">
      <formula>NOT(ISERROR(SEARCH("T",C4)))</formula>
    </cfRule>
  </conditionalFormatting>
  <conditionalFormatting sqref="C37:W37">
    <cfRule type="containsText" dxfId="151" priority="172" operator="containsText" text="T">
      <formula>NOT(ISERROR(SEARCH("T",C37)))</formula>
    </cfRule>
    <cfRule type="containsText" dxfId="150" priority="173" operator="containsText" text="V">
      <formula>NOT(ISERROR(SEARCH("V",C37)))</formula>
    </cfRule>
  </conditionalFormatting>
  <conditionalFormatting sqref="C37:W37">
    <cfRule type="containsText" dxfId="149" priority="170" operator="containsText" text="#">
      <formula>NOT(ISERROR(SEARCH("#",C37)))</formula>
    </cfRule>
    <cfRule type="containsText" dxfId="148" priority="171" operator="containsText" text="T">
      <formula>NOT(ISERROR(SEARCH("T",C37)))</formula>
    </cfRule>
  </conditionalFormatting>
  <conditionalFormatting sqref="C7:W7">
    <cfRule type="containsText" dxfId="147" priority="123" operator="containsText" text="19:45 -">
      <formula>NOT(ISERROR(SEARCH("19:45 -",C7)))</formula>
    </cfRule>
    <cfRule type="containsText" dxfId="146" priority="124" operator="containsText" text="00:00">
      <formula>NOT(ISERROR(SEARCH("00:00",C7)))</formula>
    </cfRule>
    <cfRule type="containsText" dxfId="145" priority="125" operator="containsText" text=":2">
      <formula>NOT(ISERROR(SEARCH(":2",C7)))</formula>
    </cfRule>
    <cfRule type="containsText" dxfId="144" priority="126" operator="containsText" text=":18">
      <formula>NOT(ISERROR(SEARCH(":18",C7)))</formula>
    </cfRule>
    <cfRule type="containsText" dxfId="143" priority="127" operator="containsText" text="07:0">
      <formula>NOT(ISERROR(SEARCH("07:0",C7)))</formula>
    </cfRule>
    <cfRule type="containsText" dxfId="142" priority="128" operator="containsText" text="07:15">
      <formula>NOT(ISERROR(SEARCH("07:15",C7)))</formula>
    </cfRule>
    <cfRule type="containsText" dxfId="141" priority="129" operator="containsText" text="06:">
      <formula>NOT(ISERROR(SEARCH("06:",C7)))</formula>
    </cfRule>
    <cfRule type="containsText" dxfId="140" priority="130" operator="containsText" text="05">
      <formula>NOT(ISERROR(SEARCH("05",C7)))</formula>
    </cfRule>
  </conditionalFormatting>
  <conditionalFormatting sqref="C7:W7">
    <cfRule type="containsText" dxfId="139" priority="122" operator="containsText" text="2*:">
      <formula>NOT(ISERROR(SEARCH("2*:",C7)))</formula>
    </cfRule>
  </conditionalFormatting>
  <conditionalFormatting sqref="C7:W7">
    <cfRule type="containsText" dxfId="138" priority="120" operator="containsText" text="T">
      <formula>NOT(ISERROR(SEARCH("T",C7)))</formula>
    </cfRule>
    <cfRule type="containsText" dxfId="137" priority="121" operator="containsText" text="V">
      <formula>NOT(ISERROR(SEARCH("V",C7)))</formula>
    </cfRule>
  </conditionalFormatting>
  <conditionalFormatting sqref="C7:W7">
    <cfRule type="containsText" dxfId="136" priority="118" operator="containsText" text="#">
      <formula>NOT(ISERROR(SEARCH("#",C7)))</formula>
    </cfRule>
    <cfRule type="containsText" dxfId="135" priority="119" operator="containsText" text="T">
      <formula>NOT(ISERROR(SEARCH("T",C7)))</formula>
    </cfRule>
  </conditionalFormatting>
  <conditionalFormatting sqref="C10:W10">
    <cfRule type="containsText" dxfId="134" priority="110" operator="containsText" text="19:45 -">
      <formula>NOT(ISERROR(SEARCH("19:45 -",C10)))</formula>
    </cfRule>
    <cfRule type="containsText" dxfId="133" priority="111" operator="containsText" text="00:00">
      <formula>NOT(ISERROR(SEARCH("00:00",C10)))</formula>
    </cfRule>
    <cfRule type="containsText" dxfId="132" priority="112" operator="containsText" text=":2">
      <formula>NOT(ISERROR(SEARCH(":2",C10)))</formula>
    </cfRule>
    <cfRule type="containsText" dxfId="131" priority="113" operator="containsText" text=":18">
      <formula>NOT(ISERROR(SEARCH(":18",C10)))</formula>
    </cfRule>
    <cfRule type="containsText" dxfId="130" priority="114" operator="containsText" text="07:0">
      <formula>NOT(ISERROR(SEARCH("07:0",C10)))</formula>
    </cfRule>
    <cfRule type="containsText" dxfId="129" priority="115" operator="containsText" text="07:15">
      <formula>NOT(ISERROR(SEARCH("07:15",C10)))</formula>
    </cfRule>
    <cfRule type="containsText" dxfId="128" priority="116" operator="containsText" text="06:">
      <formula>NOT(ISERROR(SEARCH("06:",C10)))</formula>
    </cfRule>
    <cfRule type="containsText" dxfId="127" priority="117" operator="containsText" text="05">
      <formula>NOT(ISERROR(SEARCH("05",C10)))</formula>
    </cfRule>
  </conditionalFormatting>
  <conditionalFormatting sqref="C10:W10">
    <cfRule type="containsText" dxfId="126" priority="109" operator="containsText" text="2*:">
      <formula>NOT(ISERROR(SEARCH("2*:",C10)))</formula>
    </cfRule>
  </conditionalFormatting>
  <conditionalFormatting sqref="C10:W10">
    <cfRule type="containsText" dxfId="125" priority="107" operator="containsText" text="T">
      <formula>NOT(ISERROR(SEARCH("T",C10)))</formula>
    </cfRule>
    <cfRule type="containsText" dxfId="124" priority="108" operator="containsText" text="V">
      <formula>NOT(ISERROR(SEARCH("V",C10)))</formula>
    </cfRule>
  </conditionalFormatting>
  <conditionalFormatting sqref="C10:W10">
    <cfRule type="containsText" dxfId="123" priority="105" operator="containsText" text="#">
      <formula>NOT(ISERROR(SEARCH("#",C10)))</formula>
    </cfRule>
    <cfRule type="containsText" dxfId="122" priority="106" operator="containsText" text="T">
      <formula>NOT(ISERROR(SEARCH("T",C10)))</formula>
    </cfRule>
  </conditionalFormatting>
  <conditionalFormatting sqref="C13:W13">
    <cfRule type="containsText" dxfId="121" priority="97" operator="containsText" text="19:45 -">
      <formula>NOT(ISERROR(SEARCH("19:45 -",C13)))</formula>
    </cfRule>
    <cfRule type="containsText" dxfId="120" priority="98" operator="containsText" text="00:00">
      <formula>NOT(ISERROR(SEARCH("00:00",C13)))</formula>
    </cfRule>
    <cfRule type="containsText" dxfId="119" priority="99" operator="containsText" text=":2">
      <formula>NOT(ISERROR(SEARCH(":2",C13)))</formula>
    </cfRule>
    <cfRule type="containsText" dxfId="118" priority="100" operator="containsText" text=":18">
      <formula>NOT(ISERROR(SEARCH(":18",C13)))</formula>
    </cfRule>
    <cfRule type="containsText" dxfId="117" priority="101" operator="containsText" text="07:0">
      <formula>NOT(ISERROR(SEARCH("07:0",C13)))</formula>
    </cfRule>
    <cfRule type="containsText" dxfId="116" priority="102" operator="containsText" text="07:15">
      <formula>NOT(ISERROR(SEARCH("07:15",C13)))</formula>
    </cfRule>
    <cfRule type="containsText" dxfId="115" priority="103" operator="containsText" text="06:">
      <formula>NOT(ISERROR(SEARCH("06:",C13)))</formula>
    </cfRule>
    <cfRule type="containsText" dxfId="114" priority="104" operator="containsText" text="05">
      <formula>NOT(ISERROR(SEARCH("05",C13)))</formula>
    </cfRule>
  </conditionalFormatting>
  <conditionalFormatting sqref="C13:W13">
    <cfRule type="containsText" dxfId="113" priority="96" operator="containsText" text="2*:">
      <formula>NOT(ISERROR(SEARCH("2*:",C13)))</formula>
    </cfRule>
  </conditionalFormatting>
  <conditionalFormatting sqref="C13:W13">
    <cfRule type="containsText" dxfId="112" priority="94" operator="containsText" text="T">
      <formula>NOT(ISERROR(SEARCH("T",C13)))</formula>
    </cfRule>
    <cfRule type="containsText" dxfId="111" priority="95" operator="containsText" text="V">
      <formula>NOT(ISERROR(SEARCH("V",C13)))</formula>
    </cfRule>
  </conditionalFormatting>
  <conditionalFormatting sqref="C13:W13">
    <cfRule type="containsText" dxfId="110" priority="92" operator="containsText" text="#">
      <formula>NOT(ISERROR(SEARCH("#",C13)))</formula>
    </cfRule>
    <cfRule type="containsText" dxfId="109" priority="93" operator="containsText" text="T">
      <formula>NOT(ISERROR(SEARCH("T",C13)))</formula>
    </cfRule>
  </conditionalFormatting>
  <conditionalFormatting sqref="C16:W16">
    <cfRule type="containsText" dxfId="108" priority="84" operator="containsText" text="19:45 -">
      <formula>NOT(ISERROR(SEARCH("19:45 -",C16)))</formula>
    </cfRule>
    <cfRule type="containsText" dxfId="107" priority="85" operator="containsText" text="00:00">
      <formula>NOT(ISERROR(SEARCH("00:00",C16)))</formula>
    </cfRule>
    <cfRule type="containsText" dxfId="106" priority="86" operator="containsText" text=":2">
      <formula>NOT(ISERROR(SEARCH(":2",C16)))</formula>
    </cfRule>
    <cfRule type="containsText" dxfId="105" priority="87" operator="containsText" text=":18">
      <formula>NOT(ISERROR(SEARCH(":18",C16)))</formula>
    </cfRule>
    <cfRule type="containsText" dxfId="104" priority="88" operator="containsText" text="07:0">
      <formula>NOT(ISERROR(SEARCH("07:0",C16)))</formula>
    </cfRule>
    <cfRule type="containsText" dxfId="103" priority="89" operator="containsText" text="07:15">
      <formula>NOT(ISERROR(SEARCH("07:15",C16)))</formula>
    </cfRule>
    <cfRule type="containsText" dxfId="102" priority="90" operator="containsText" text="06:">
      <formula>NOT(ISERROR(SEARCH("06:",C16)))</formula>
    </cfRule>
    <cfRule type="containsText" dxfId="101" priority="91" operator="containsText" text="05">
      <formula>NOT(ISERROR(SEARCH("05",C16)))</formula>
    </cfRule>
  </conditionalFormatting>
  <conditionalFormatting sqref="C16:W16">
    <cfRule type="containsText" dxfId="100" priority="83" operator="containsText" text="2*:">
      <formula>NOT(ISERROR(SEARCH("2*:",C16)))</formula>
    </cfRule>
  </conditionalFormatting>
  <conditionalFormatting sqref="C16:W16">
    <cfRule type="containsText" dxfId="99" priority="81" operator="containsText" text="T">
      <formula>NOT(ISERROR(SEARCH("T",C16)))</formula>
    </cfRule>
    <cfRule type="containsText" dxfId="98" priority="82" operator="containsText" text="V">
      <formula>NOT(ISERROR(SEARCH("V",C16)))</formula>
    </cfRule>
  </conditionalFormatting>
  <conditionalFormatting sqref="C16:W16">
    <cfRule type="containsText" dxfId="97" priority="79" operator="containsText" text="#">
      <formula>NOT(ISERROR(SEARCH("#",C16)))</formula>
    </cfRule>
    <cfRule type="containsText" dxfId="96" priority="80" operator="containsText" text="T">
      <formula>NOT(ISERROR(SEARCH("T",C16)))</formula>
    </cfRule>
  </conditionalFormatting>
  <conditionalFormatting sqref="C19:W19">
    <cfRule type="containsText" dxfId="95" priority="71" operator="containsText" text="19:45 -">
      <formula>NOT(ISERROR(SEARCH("19:45 -",C19)))</formula>
    </cfRule>
    <cfRule type="containsText" dxfId="94" priority="72" operator="containsText" text="00:00">
      <formula>NOT(ISERROR(SEARCH("00:00",C19)))</formula>
    </cfRule>
    <cfRule type="containsText" dxfId="93" priority="73" operator="containsText" text=":2">
      <formula>NOT(ISERROR(SEARCH(":2",C19)))</formula>
    </cfRule>
    <cfRule type="containsText" dxfId="92" priority="74" operator="containsText" text=":18">
      <formula>NOT(ISERROR(SEARCH(":18",C19)))</formula>
    </cfRule>
    <cfRule type="containsText" dxfId="91" priority="75" operator="containsText" text="07:0">
      <formula>NOT(ISERROR(SEARCH("07:0",C19)))</formula>
    </cfRule>
    <cfRule type="containsText" dxfId="90" priority="76" operator="containsText" text="07:15">
      <formula>NOT(ISERROR(SEARCH("07:15",C19)))</formula>
    </cfRule>
    <cfRule type="containsText" dxfId="89" priority="77" operator="containsText" text="06:">
      <formula>NOT(ISERROR(SEARCH("06:",C19)))</formula>
    </cfRule>
    <cfRule type="containsText" dxfId="88" priority="78" operator="containsText" text="05">
      <formula>NOT(ISERROR(SEARCH("05",C19)))</formula>
    </cfRule>
  </conditionalFormatting>
  <conditionalFormatting sqref="C19:W19">
    <cfRule type="containsText" dxfId="87" priority="70" operator="containsText" text="2*:">
      <formula>NOT(ISERROR(SEARCH("2*:",C19)))</formula>
    </cfRule>
  </conditionalFormatting>
  <conditionalFormatting sqref="C19:W19">
    <cfRule type="containsText" dxfId="86" priority="68" operator="containsText" text="T">
      <formula>NOT(ISERROR(SEARCH("T",C19)))</formula>
    </cfRule>
    <cfRule type="containsText" dxfId="85" priority="69" operator="containsText" text="V">
      <formula>NOT(ISERROR(SEARCH("V",C19)))</formula>
    </cfRule>
  </conditionalFormatting>
  <conditionalFormatting sqref="C19:W19">
    <cfRule type="containsText" dxfId="84" priority="66" operator="containsText" text="#">
      <formula>NOT(ISERROR(SEARCH("#",C19)))</formula>
    </cfRule>
    <cfRule type="containsText" dxfId="83" priority="67" operator="containsText" text="T">
      <formula>NOT(ISERROR(SEARCH("T",C19)))</formula>
    </cfRule>
  </conditionalFormatting>
  <conditionalFormatting sqref="C22:W22">
    <cfRule type="containsText" dxfId="82" priority="58" operator="containsText" text="19:45 -">
      <formula>NOT(ISERROR(SEARCH("19:45 -",C22)))</formula>
    </cfRule>
    <cfRule type="containsText" dxfId="81" priority="59" operator="containsText" text="00:00">
      <formula>NOT(ISERROR(SEARCH("00:00",C22)))</formula>
    </cfRule>
    <cfRule type="containsText" dxfId="80" priority="60" operator="containsText" text=":2">
      <formula>NOT(ISERROR(SEARCH(":2",C22)))</formula>
    </cfRule>
    <cfRule type="containsText" dxfId="79" priority="61" operator="containsText" text=":18">
      <formula>NOT(ISERROR(SEARCH(":18",C22)))</formula>
    </cfRule>
    <cfRule type="containsText" dxfId="78" priority="62" operator="containsText" text="07:0">
      <formula>NOT(ISERROR(SEARCH("07:0",C22)))</formula>
    </cfRule>
    <cfRule type="containsText" dxfId="77" priority="63" operator="containsText" text="07:15">
      <formula>NOT(ISERROR(SEARCH("07:15",C22)))</formula>
    </cfRule>
    <cfRule type="containsText" dxfId="76" priority="64" operator="containsText" text="06:">
      <formula>NOT(ISERROR(SEARCH("06:",C22)))</formula>
    </cfRule>
    <cfRule type="containsText" dxfId="75" priority="65" operator="containsText" text="05">
      <formula>NOT(ISERROR(SEARCH("05",C22)))</formula>
    </cfRule>
  </conditionalFormatting>
  <conditionalFormatting sqref="C22:W22">
    <cfRule type="containsText" dxfId="74" priority="57" operator="containsText" text="2*:">
      <formula>NOT(ISERROR(SEARCH("2*:",C22)))</formula>
    </cfRule>
  </conditionalFormatting>
  <conditionalFormatting sqref="C22:W22">
    <cfRule type="containsText" dxfId="73" priority="55" operator="containsText" text="T">
      <formula>NOT(ISERROR(SEARCH("T",C22)))</formula>
    </cfRule>
    <cfRule type="containsText" dxfId="72" priority="56" operator="containsText" text="V">
      <formula>NOT(ISERROR(SEARCH("V",C22)))</formula>
    </cfRule>
  </conditionalFormatting>
  <conditionalFormatting sqref="C22:W22">
    <cfRule type="containsText" dxfId="71" priority="53" operator="containsText" text="#">
      <formula>NOT(ISERROR(SEARCH("#",C22)))</formula>
    </cfRule>
    <cfRule type="containsText" dxfId="70" priority="54" operator="containsText" text="T">
      <formula>NOT(ISERROR(SEARCH("T",C22)))</formula>
    </cfRule>
  </conditionalFormatting>
  <conditionalFormatting sqref="C25:W25">
    <cfRule type="containsText" dxfId="69" priority="45" operator="containsText" text="19:45 -">
      <formula>NOT(ISERROR(SEARCH("19:45 -",C25)))</formula>
    </cfRule>
    <cfRule type="containsText" dxfId="68" priority="46" operator="containsText" text="00:00">
      <formula>NOT(ISERROR(SEARCH("00:00",C25)))</formula>
    </cfRule>
    <cfRule type="containsText" dxfId="67" priority="47" operator="containsText" text=":2">
      <formula>NOT(ISERROR(SEARCH(":2",C25)))</formula>
    </cfRule>
    <cfRule type="containsText" dxfId="66" priority="48" operator="containsText" text=":18">
      <formula>NOT(ISERROR(SEARCH(":18",C25)))</formula>
    </cfRule>
    <cfRule type="containsText" dxfId="65" priority="49" operator="containsText" text="07:0">
      <formula>NOT(ISERROR(SEARCH("07:0",C25)))</formula>
    </cfRule>
    <cfRule type="containsText" dxfId="64" priority="50" operator="containsText" text="07:15">
      <formula>NOT(ISERROR(SEARCH("07:15",C25)))</formula>
    </cfRule>
    <cfRule type="containsText" dxfId="63" priority="51" operator="containsText" text="06:">
      <formula>NOT(ISERROR(SEARCH("06:",C25)))</formula>
    </cfRule>
    <cfRule type="containsText" dxfId="62" priority="52" operator="containsText" text="05">
      <formula>NOT(ISERROR(SEARCH("05",C25)))</formula>
    </cfRule>
  </conditionalFormatting>
  <conditionalFormatting sqref="C25:W25">
    <cfRule type="containsText" dxfId="61" priority="44" operator="containsText" text="2*:">
      <formula>NOT(ISERROR(SEARCH("2*:",C25)))</formula>
    </cfRule>
  </conditionalFormatting>
  <conditionalFormatting sqref="C25:W25">
    <cfRule type="containsText" dxfId="60" priority="42" operator="containsText" text="T">
      <formula>NOT(ISERROR(SEARCH("T",C25)))</formula>
    </cfRule>
    <cfRule type="containsText" dxfId="59" priority="43" operator="containsText" text="V">
      <formula>NOT(ISERROR(SEARCH("V",C25)))</formula>
    </cfRule>
  </conditionalFormatting>
  <conditionalFormatting sqref="C25:W25">
    <cfRule type="containsText" dxfId="58" priority="40" operator="containsText" text="#">
      <formula>NOT(ISERROR(SEARCH("#",C25)))</formula>
    </cfRule>
    <cfRule type="containsText" dxfId="57" priority="41" operator="containsText" text="T">
      <formula>NOT(ISERROR(SEARCH("T",C25)))</formula>
    </cfRule>
  </conditionalFormatting>
  <conditionalFormatting sqref="C28:W28">
    <cfRule type="containsText" dxfId="56" priority="32" operator="containsText" text="19:45 -">
      <formula>NOT(ISERROR(SEARCH("19:45 -",C28)))</formula>
    </cfRule>
    <cfRule type="containsText" dxfId="55" priority="33" operator="containsText" text="00:00">
      <formula>NOT(ISERROR(SEARCH("00:00",C28)))</formula>
    </cfRule>
    <cfRule type="containsText" dxfId="54" priority="34" operator="containsText" text=":2">
      <formula>NOT(ISERROR(SEARCH(":2",C28)))</formula>
    </cfRule>
    <cfRule type="containsText" dxfId="53" priority="35" operator="containsText" text=":18">
      <formula>NOT(ISERROR(SEARCH(":18",C28)))</formula>
    </cfRule>
    <cfRule type="containsText" dxfId="52" priority="36" operator="containsText" text="07:0">
      <formula>NOT(ISERROR(SEARCH("07:0",C28)))</formula>
    </cfRule>
    <cfRule type="containsText" dxfId="51" priority="37" operator="containsText" text="07:15">
      <formula>NOT(ISERROR(SEARCH("07:15",C28)))</formula>
    </cfRule>
    <cfRule type="containsText" dxfId="50" priority="38" operator="containsText" text="06:">
      <formula>NOT(ISERROR(SEARCH("06:",C28)))</formula>
    </cfRule>
    <cfRule type="containsText" dxfId="49" priority="39" operator="containsText" text="05">
      <formula>NOT(ISERROR(SEARCH("05",C28)))</formula>
    </cfRule>
  </conditionalFormatting>
  <conditionalFormatting sqref="C28:W28">
    <cfRule type="containsText" dxfId="48" priority="31" operator="containsText" text="2*:">
      <formula>NOT(ISERROR(SEARCH("2*:",C28)))</formula>
    </cfRule>
  </conditionalFormatting>
  <conditionalFormatting sqref="C28:W28">
    <cfRule type="containsText" dxfId="47" priority="29" operator="containsText" text="T">
      <formula>NOT(ISERROR(SEARCH("T",C28)))</formula>
    </cfRule>
    <cfRule type="containsText" dxfId="46" priority="30" operator="containsText" text="V">
      <formula>NOT(ISERROR(SEARCH("V",C28)))</formula>
    </cfRule>
  </conditionalFormatting>
  <conditionalFormatting sqref="C28:W28">
    <cfRule type="containsText" dxfId="45" priority="27" operator="containsText" text="#">
      <formula>NOT(ISERROR(SEARCH("#",C28)))</formula>
    </cfRule>
    <cfRule type="containsText" dxfId="44" priority="28" operator="containsText" text="T">
      <formula>NOT(ISERROR(SEARCH("T",C28)))</formula>
    </cfRule>
  </conditionalFormatting>
  <conditionalFormatting sqref="C31:W31">
    <cfRule type="containsText" dxfId="43" priority="19" operator="containsText" text="19:45 -">
      <formula>NOT(ISERROR(SEARCH("19:45 -",C31)))</formula>
    </cfRule>
    <cfRule type="containsText" dxfId="42" priority="20" operator="containsText" text="00:00">
      <formula>NOT(ISERROR(SEARCH("00:00",C31)))</formula>
    </cfRule>
    <cfRule type="containsText" dxfId="41" priority="21" operator="containsText" text=":2">
      <formula>NOT(ISERROR(SEARCH(":2",C31)))</formula>
    </cfRule>
    <cfRule type="containsText" dxfId="40" priority="22" operator="containsText" text=":18">
      <formula>NOT(ISERROR(SEARCH(":18",C31)))</formula>
    </cfRule>
    <cfRule type="containsText" dxfId="39" priority="23" operator="containsText" text="07:0">
      <formula>NOT(ISERROR(SEARCH("07:0",C31)))</formula>
    </cfRule>
    <cfRule type="containsText" dxfId="38" priority="24" operator="containsText" text="07:15">
      <formula>NOT(ISERROR(SEARCH("07:15",C31)))</formula>
    </cfRule>
    <cfRule type="containsText" dxfId="37" priority="25" operator="containsText" text="06:">
      <formula>NOT(ISERROR(SEARCH("06:",C31)))</formula>
    </cfRule>
    <cfRule type="containsText" dxfId="36" priority="26" operator="containsText" text="05">
      <formula>NOT(ISERROR(SEARCH("05",C31)))</formula>
    </cfRule>
  </conditionalFormatting>
  <conditionalFormatting sqref="C31:W31">
    <cfRule type="containsText" dxfId="35" priority="18" operator="containsText" text="2*:">
      <formula>NOT(ISERROR(SEARCH("2*:",C31)))</formula>
    </cfRule>
  </conditionalFormatting>
  <conditionalFormatting sqref="C31:W31">
    <cfRule type="containsText" dxfId="34" priority="16" operator="containsText" text="T">
      <formula>NOT(ISERROR(SEARCH("T",C31)))</formula>
    </cfRule>
    <cfRule type="containsText" dxfId="33" priority="17" operator="containsText" text="V">
      <formula>NOT(ISERROR(SEARCH("V",C31)))</formula>
    </cfRule>
  </conditionalFormatting>
  <conditionalFormatting sqref="C31:W31">
    <cfRule type="containsText" dxfId="32" priority="14" operator="containsText" text="#">
      <formula>NOT(ISERROR(SEARCH("#",C31)))</formula>
    </cfRule>
    <cfRule type="containsText" dxfId="31" priority="15" operator="containsText" text="T">
      <formula>NOT(ISERROR(SEARCH("T",C31)))</formula>
    </cfRule>
  </conditionalFormatting>
  <conditionalFormatting sqref="C34:W34">
    <cfRule type="containsText" dxfId="30" priority="6" operator="containsText" text="19:45 -">
      <formula>NOT(ISERROR(SEARCH("19:45 -",C34)))</formula>
    </cfRule>
    <cfRule type="containsText" dxfId="29" priority="7" operator="containsText" text="00:00">
      <formula>NOT(ISERROR(SEARCH("00:00",C34)))</formula>
    </cfRule>
    <cfRule type="containsText" dxfId="28" priority="8" operator="containsText" text=":2">
      <formula>NOT(ISERROR(SEARCH(":2",C34)))</formula>
    </cfRule>
    <cfRule type="containsText" dxfId="27" priority="9" operator="containsText" text=":18">
      <formula>NOT(ISERROR(SEARCH(":18",C34)))</formula>
    </cfRule>
    <cfRule type="containsText" dxfId="26" priority="10" operator="containsText" text="07:0">
      <formula>NOT(ISERROR(SEARCH("07:0",C34)))</formula>
    </cfRule>
    <cfRule type="containsText" dxfId="25" priority="11" operator="containsText" text="07:15">
      <formula>NOT(ISERROR(SEARCH("07:15",C34)))</formula>
    </cfRule>
    <cfRule type="containsText" dxfId="24" priority="12" operator="containsText" text="06:">
      <formula>NOT(ISERROR(SEARCH("06:",C34)))</formula>
    </cfRule>
    <cfRule type="containsText" dxfId="23" priority="13" operator="containsText" text="05">
      <formula>NOT(ISERROR(SEARCH("05",C34)))</formula>
    </cfRule>
  </conditionalFormatting>
  <conditionalFormatting sqref="C34:W34">
    <cfRule type="containsText" dxfId="22" priority="5" operator="containsText" text="2*:">
      <formula>NOT(ISERROR(SEARCH("2*:",C34)))</formula>
    </cfRule>
  </conditionalFormatting>
  <conditionalFormatting sqref="C34:W34">
    <cfRule type="containsText" dxfId="21" priority="3" operator="containsText" text="T">
      <formula>NOT(ISERROR(SEARCH("T",C34)))</formula>
    </cfRule>
    <cfRule type="containsText" dxfId="20" priority="4" operator="containsText" text="V">
      <formula>NOT(ISERROR(SEARCH("V",C34)))</formula>
    </cfRule>
  </conditionalFormatting>
  <conditionalFormatting sqref="C34:W34">
    <cfRule type="containsText" dxfId="19" priority="1" operator="containsText" text="#">
      <formula>NOT(ISERROR(SEARCH("#",C34)))</formula>
    </cfRule>
    <cfRule type="containsText" dxfId="18" priority="2" operator="containsText" text="T">
      <formula>NOT(ISERROR(SEARCH("T",C34)))</formula>
    </cfRule>
  </conditionalFormatting>
  <printOptions gridLines="1"/>
  <pageMargins left="0.25" right="0.25" top="0.75" bottom="0.75" header="0.3" footer="0.3"/>
  <pageSetup paperSize="8" scale="71" fitToHeight="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utton 1">
              <controlPr defaultSize="0" print="0" autoFill="0" autoPict="0" macro="[0]!avaa_nimilista1">
                <anchor moveWithCells="1" sizeWithCells="1">
                  <from>
                    <xdr:col>18</xdr:col>
                    <xdr:colOff>476250</xdr:colOff>
                    <xdr:row>0</xdr:row>
                    <xdr:rowOff>247650</xdr:rowOff>
                  </from>
                  <to>
                    <xdr:col>21</xdr:col>
                    <xdr:colOff>438150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7" r:id="rId5" name="Button 3">
              <controlPr defaultSize="0" print="0" autoFill="0" autoPict="0" macro="[0]!hiekkalaatikko_tyhjennys">
                <anchor moveWithCells="1" sizeWithCells="1">
                  <from>
                    <xdr:col>18</xdr:col>
                    <xdr:colOff>485775</xdr:colOff>
                    <xdr:row>0</xdr:row>
                    <xdr:rowOff>895350</xdr:rowOff>
                  </from>
                  <to>
                    <xdr:col>21</xdr:col>
                    <xdr:colOff>447675</xdr:colOff>
                    <xdr:row>0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13705-8FD6-4655-B039-E7E694FAD0F0}">
  <sheetPr codeName="Taul10">
    <tabColor theme="8" tint="0.79998168889431442"/>
    <pageSetUpPr fitToPage="1"/>
  </sheetPr>
  <dimension ref="A1:X1153"/>
  <sheetViews>
    <sheetView zoomScaleNormal="100" workbookViewId="0">
      <selection activeCell="Q17" sqref="Q17"/>
    </sheetView>
  </sheetViews>
  <sheetFormatPr defaultRowHeight="15" x14ac:dyDescent="0.25"/>
  <cols>
    <col min="1" max="1" width="27" style="90" customWidth="1"/>
    <col min="2" max="22" width="9.28515625" style="4" customWidth="1"/>
    <col min="23" max="23" width="8.85546875" style="2" customWidth="1"/>
    <col min="24" max="24" width="11.140625" style="2" customWidth="1"/>
  </cols>
  <sheetData>
    <row r="1" spans="1:24" ht="15" customHeight="1" x14ac:dyDescent="0.25">
      <c r="A1" s="115"/>
      <c r="B1" s="147"/>
      <c r="C1" s="147"/>
      <c r="D1" s="147"/>
      <c r="E1" s="147"/>
      <c r="F1" s="147"/>
      <c r="G1" s="147"/>
      <c r="H1" s="102"/>
      <c r="I1" s="103" t="s">
        <v>83</v>
      </c>
      <c r="J1" s="103"/>
      <c r="K1" s="103"/>
      <c r="L1" s="103"/>
      <c r="M1" s="104" t="s">
        <v>84</v>
      </c>
      <c r="N1" s="102"/>
      <c r="O1" s="102"/>
      <c r="P1" s="105"/>
      <c r="Q1" s="105"/>
      <c r="R1" s="105"/>
      <c r="S1" s="102"/>
      <c r="T1" s="102"/>
      <c r="U1" s="102"/>
      <c r="V1" s="102"/>
      <c r="W1" s="106" t="s">
        <v>85</v>
      </c>
      <c r="X1" s="107">
        <v>14</v>
      </c>
    </row>
    <row r="2" spans="1:24" ht="15" customHeight="1" x14ac:dyDescent="0.25">
      <c r="A2" s="116"/>
      <c r="B2" s="148"/>
      <c r="C2" s="148"/>
      <c r="D2" s="148"/>
      <c r="E2" s="148"/>
      <c r="F2" s="148"/>
      <c r="G2" s="148"/>
      <c r="H2" s="3"/>
      <c r="I2" s="3"/>
      <c r="J2" s="3"/>
      <c r="K2" s="3"/>
      <c r="L2" s="3"/>
      <c r="M2" s="54" t="s">
        <v>150</v>
      </c>
      <c r="N2" s="3"/>
      <c r="O2" s="53"/>
      <c r="P2" s="3"/>
      <c r="Q2" s="3"/>
      <c r="R2" s="3"/>
      <c r="S2" s="3"/>
      <c r="T2" s="3"/>
      <c r="U2" s="3"/>
      <c r="V2" s="3"/>
      <c r="W2" s="1"/>
      <c r="X2" s="108"/>
    </row>
    <row r="3" spans="1:24" ht="15" customHeight="1" x14ac:dyDescent="0.25">
      <c r="A3" s="116"/>
      <c r="B3" s="3"/>
      <c r="C3" s="3"/>
      <c r="D3" s="3"/>
      <c r="E3" s="3"/>
      <c r="F3" s="3"/>
      <c r="G3" s="3"/>
      <c r="H3" s="3"/>
      <c r="I3" s="149" t="e" cm="1">
        <f t="array" ref="I3">_xlfn.XLOOKUP($X$1,Omakierto!$B$1:Omakierto!#REF!,Omakierto!$B$2:Omakierto!#REF!)</f>
        <v>#REF!</v>
      </c>
      <c r="J3" s="149"/>
      <c r="K3" s="149"/>
      <c r="L3" s="149"/>
      <c r="M3" s="3"/>
      <c r="N3" s="3"/>
      <c r="O3" s="3"/>
      <c r="P3" s="3"/>
      <c r="Q3" s="3"/>
      <c r="R3" s="3"/>
      <c r="S3" s="3"/>
      <c r="T3" s="3"/>
      <c r="U3" s="3"/>
      <c r="V3" s="3"/>
      <c r="W3" s="1"/>
      <c r="X3" s="108"/>
    </row>
    <row r="4" spans="1:24" s="112" customFormat="1" ht="15" customHeight="1" x14ac:dyDescent="0.25">
      <c r="A4" s="117" t="s">
        <v>86</v>
      </c>
      <c r="B4" s="3" t="s">
        <v>87</v>
      </c>
      <c r="C4" s="3" t="s">
        <v>88</v>
      </c>
      <c r="D4" s="3" t="s">
        <v>89</v>
      </c>
      <c r="E4" s="3" t="s">
        <v>90</v>
      </c>
      <c r="F4" s="3" t="s">
        <v>91</v>
      </c>
      <c r="G4" s="6" t="s">
        <v>92</v>
      </c>
      <c r="H4" s="6" t="s">
        <v>93</v>
      </c>
      <c r="I4" s="3" t="s">
        <v>87</v>
      </c>
      <c r="J4" s="3" t="s">
        <v>88</v>
      </c>
      <c r="K4" s="3" t="s">
        <v>89</v>
      </c>
      <c r="L4" s="3" t="s">
        <v>90</v>
      </c>
      <c r="M4" s="3" t="s">
        <v>91</v>
      </c>
      <c r="N4" s="6" t="s">
        <v>92</v>
      </c>
      <c r="O4" s="6" t="s">
        <v>93</v>
      </c>
      <c r="P4" s="3" t="s">
        <v>87</v>
      </c>
      <c r="Q4" s="3" t="s">
        <v>88</v>
      </c>
      <c r="R4" s="3" t="s">
        <v>89</v>
      </c>
      <c r="S4" s="3" t="s">
        <v>90</v>
      </c>
      <c r="T4" s="3" t="s">
        <v>91</v>
      </c>
      <c r="U4" s="6" t="s">
        <v>92</v>
      </c>
      <c r="V4" s="6" t="s">
        <v>93</v>
      </c>
      <c r="W4" s="5"/>
      <c r="X4" s="109" t="s">
        <v>94</v>
      </c>
    </row>
    <row r="5" spans="1:24" s="112" customFormat="1" ht="12.6" customHeight="1" thickBot="1" x14ac:dyDescent="0.3">
      <c r="A5" s="134"/>
      <c r="B5" s="73" t="e">
        <f>DATE(RIGHT(I3,4),MID(I3,4,2),LEFT(I3,2))</f>
        <v>#REF!</v>
      </c>
      <c r="C5" s="73" t="e">
        <f>B5+1</f>
        <v>#REF!</v>
      </c>
      <c r="D5" s="73" t="e">
        <f>C5+1</f>
        <v>#REF!</v>
      </c>
      <c r="E5" s="73" t="e">
        <f t="shared" ref="E5:V5" si="0">D5+1</f>
        <v>#REF!</v>
      </c>
      <c r="F5" s="73" t="e">
        <f t="shared" si="0"/>
        <v>#REF!</v>
      </c>
      <c r="G5" s="141" t="e">
        <f t="shared" si="0"/>
        <v>#REF!</v>
      </c>
      <c r="H5" s="141" t="e">
        <f t="shared" si="0"/>
        <v>#REF!</v>
      </c>
      <c r="I5" s="73" t="e">
        <f t="shared" si="0"/>
        <v>#REF!</v>
      </c>
      <c r="J5" s="73" t="e">
        <f t="shared" si="0"/>
        <v>#REF!</v>
      </c>
      <c r="K5" s="73" t="e">
        <f t="shared" si="0"/>
        <v>#REF!</v>
      </c>
      <c r="L5" s="73" t="e">
        <f t="shared" si="0"/>
        <v>#REF!</v>
      </c>
      <c r="M5" s="73" t="e">
        <f t="shared" si="0"/>
        <v>#REF!</v>
      </c>
      <c r="N5" s="141" t="e">
        <f t="shared" si="0"/>
        <v>#REF!</v>
      </c>
      <c r="O5" s="141" t="e">
        <f t="shared" si="0"/>
        <v>#REF!</v>
      </c>
      <c r="P5" s="73" t="e">
        <f t="shared" si="0"/>
        <v>#REF!</v>
      </c>
      <c r="Q5" s="73" t="e">
        <f t="shared" si="0"/>
        <v>#REF!</v>
      </c>
      <c r="R5" s="73" t="e">
        <f t="shared" si="0"/>
        <v>#REF!</v>
      </c>
      <c r="S5" s="73" t="e">
        <f t="shared" si="0"/>
        <v>#REF!</v>
      </c>
      <c r="T5" s="73" t="e">
        <f t="shared" si="0"/>
        <v>#REF!</v>
      </c>
      <c r="U5" s="141" t="e">
        <f t="shared" si="0"/>
        <v>#REF!</v>
      </c>
      <c r="V5" s="141" t="e">
        <f t="shared" si="0"/>
        <v>#REF!</v>
      </c>
      <c r="W5" s="110"/>
      <c r="X5" s="111"/>
    </row>
    <row r="6" spans="1:24" s="112" customFormat="1" ht="30" customHeight="1" x14ac:dyDescent="0.25">
      <c r="A6" s="120"/>
      <c r="B6" s="22" t="str" cm="1">
        <f t="array" ref="B6">_xlfn.XLOOKUP(TRUE,EXACT(Vuorokoodit!$A:$A,B7),Vuorokoodit!$E:$E,"?")</f>
        <v>?</v>
      </c>
      <c r="C6" s="22" t="str" cm="1">
        <f t="array" ref="C6">_xlfn.XLOOKUP(TRUE,EXACT(Vuorokoodit!$A:$A,C7),Vuorokoodit!$E:$E,"?")</f>
        <v>?</v>
      </c>
      <c r="D6" s="22" t="str" cm="1">
        <f t="array" ref="D6">_xlfn.XLOOKUP(TRUE,EXACT(Vuorokoodit!$A:$A,D7),Vuorokoodit!$E:$E,"?")</f>
        <v>?</v>
      </c>
      <c r="E6" s="22" t="str" cm="1">
        <f t="array" ref="E6">_xlfn.XLOOKUP(TRUE,EXACT(Vuorokoodit!$A:$A,E7),Vuorokoodit!$E:$E,"?")</f>
        <v>?</v>
      </c>
      <c r="F6" s="22" t="str" cm="1">
        <f t="array" ref="F6">_xlfn.XLOOKUP(TRUE,EXACT(Vuorokoodit!$A:$A,F7),Vuorokoodit!$E:$E,"?")</f>
        <v>?</v>
      </c>
      <c r="G6" s="142" t="str" cm="1">
        <f t="array" ref="G6">_xlfn.XLOOKUP(TRUE,EXACT(Vuorokoodit!$A:$A,G7),Vuorokoodit!$E:$E,"?")</f>
        <v>?</v>
      </c>
      <c r="H6" s="142" t="str" cm="1">
        <f t="array" ref="H6">_xlfn.XLOOKUP(TRUE,EXACT(Vuorokoodit!$A:$A,H7),Vuorokoodit!$E:$E,"?")</f>
        <v>?</v>
      </c>
      <c r="I6" s="22" t="str" cm="1">
        <f t="array" ref="I6">_xlfn.XLOOKUP(TRUE,EXACT(Vuorokoodit!$A:$A,I7),Vuorokoodit!$E:$E,"?")</f>
        <v>?</v>
      </c>
      <c r="J6" s="22" t="str" cm="1">
        <f t="array" ref="J6">_xlfn.XLOOKUP(TRUE,EXACT(Vuorokoodit!$A:$A,J7),Vuorokoodit!$E:$E,"?")</f>
        <v>?</v>
      </c>
      <c r="K6" s="22" t="str" cm="1">
        <f t="array" ref="K6">_xlfn.XLOOKUP(TRUE,EXACT(Vuorokoodit!$A:$A,K7),Vuorokoodit!$E:$E,"?")</f>
        <v>?</v>
      </c>
      <c r="L6" s="22" t="str" cm="1">
        <f t="array" ref="L6">_xlfn.XLOOKUP(TRUE,EXACT(Vuorokoodit!$A:$A,L7),Vuorokoodit!$E:$E,"?")</f>
        <v>?</v>
      </c>
      <c r="M6" s="22" t="str" cm="1">
        <f t="array" ref="M6">_xlfn.XLOOKUP(TRUE,EXACT(Vuorokoodit!$A:$A,M7),Vuorokoodit!$E:$E,"?")</f>
        <v>?</v>
      </c>
      <c r="N6" s="142" t="str" cm="1">
        <f t="array" ref="N6">_xlfn.XLOOKUP(TRUE,EXACT(Vuorokoodit!$A:$A,N7),Vuorokoodit!$E:$E,"?")</f>
        <v>?</v>
      </c>
      <c r="O6" s="142" t="str" cm="1">
        <f t="array" ref="O6">_xlfn.XLOOKUP(TRUE,EXACT(Vuorokoodit!$A:$A,O7),Vuorokoodit!$E:$E,"?")</f>
        <v>?</v>
      </c>
      <c r="P6" s="22" t="str" cm="1">
        <f t="array" ref="P6">_xlfn.XLOOKUP(TRUE,EXACT(Vuorokoodit!$A:$A,P7),Vuorokoodit!$E:$E,"?")</f>
        <v>?</v>
      </c>
      <c r="Q6" s="22" t="str" cm="1">
        <f t="array" ref="Q6">_xlfn.XLOOKUP(TRUE,EXACT(Vuorokoodit!$A:$A,Q7),Vuorokoodit!$E:$E,"?")</f>
        <v>?</v>
      </c>
      <c r="R6" s="22" t="str" cm="1">
        <f t="array" ref="R6">_xlfn.XLOOKUP(TRUE,EXACT(Vuorokoodit!$A:$A,R7),Vuorokoodit!$E:$E,"?")</f>
        <v>?</v>
      </c>
      <c r="S6" s="22" t="str" cm="1">
        <f t="array" ref="S6">_xlfn.XLOOKUP(TRUE,EXACT(Vuorokoodit!$A:$A,S7),Vuorokoodit!$E:$E,"?")</f>
        <v>?</v>
      </c>
      <c r="T6" s="22" t="str" cm="1">
        <f t="array" ref="T6">_xlfn.XLOOKUP(TRUE,EXACT(Vuorokoodit!$A:$A,T7),Vuorokoodit!$E:$E,"?")</f>
        <v>?</v>
      </c>
      <c r="U6" s="142" t="str" cm="1">
        <f t="array" ref="U6">_xlfn.XLOOKUP(TRUE,EXACT(Vuorokoodit!$A:$A,U7),Vuorokoodit!$E:$E,"?")</f>
        <v>?</v>
      </c>
      <c r="V6" s="142" t="str" cm="1">
        <f t="array" ref="V6">_xlfn.XLOOKUP(TRUE,EXACT(Vuorokoodit!$A:$A,V7),Vuorokoodit!$E:$E,"?")</f>
        <v>?</v>
      </c>
      <c r="W6" s="16" t="s">
        <v>149</v>
      </c>
      <c r="X6" s="136">
        <f>COUNTIF($B7:$V7,"V")+COUNTIF($B7:$V7,"T")</f>
        <v>0</v>
      </c>
    </row>
    <row r="7" spans="1:24" s="112" customFormat="1" ht="16.899999999999999" customHeight="1" x14ac:dyDescent="0.25">
      <c r="A7" s="114" t="str" cm="1">
        <f t="array" ref="A7">"Kiertolista: "&amp;_xlfn.XLOOKUP($A6,Koontilista!$A$1:'Koontilista'!$A$149,Koontilista!$W$1:'Koontilista'!$W$149)</f>
        <v xml:space="preserve">Kiertolista: </v>
      </c>
      <c r="B7" s="4">
        <f>_xlfn.XLOOKUP(_xlfn.XLOOKUP($A6,Koontilista!$A:$A,Koontilista!$W:$W),Kiertotunnus!$A:$A,Kiertotunnus!B:B)</f>
        <v>0</v>
      </c>
      <c r="C7" s="4">
        <f>_xlfn.XLOOKUP(_xlfn.XLOOKUP($A6,Koontilista!$A:$A,Koontilista!$W:$W),Kiertotunnus!$A:$A,Kiertotunnus!C:C)</f>
        <v>0</v>
      </c>
      <c r="D7" s="4">
        <f>_xlfn.XLOOKUP(_xlfn.XLOOKUP($A6,Koontilista!$A:$A,Koontilista!$W:$W),Kiertotunnus!$A:$A,Kiertotunnus!D:D)</f>
        <v>0</v>
      </c>
      <c r="E7" s="4">
        <f>_xlfn.XLOOKUP(_xlfn.XLOOKUP($A6,Koontilista!$A:$A,Koontilista!$W:$W),Kiertotunnus!$A:$A,Kiertotunnus!E:E)</f>
        <v>0</v>
      </c>
      <c r="F7" s="4">
        <f>_xlfn.XLOOKUP(_xlfn.XLOOKUP($A6,Koontilista!$A:$A,Koontilista!$W:$W),Kiertotunnus!$A:$A,Kiertotunnus!F:F)</f>
        <v>0</v>
      </c>
      <c r="G7" s="4">
        <f>_xlfn.XLOOKUP(_xlfn.XLOOKUP($A6,Koontilista!$A:$A,Koontilista!$W:$W),Kiertotunnus!$A:$A,Kiertotunnus!G:G)</f>
        <v>0</v>
      </c>
      <c r="H7" s="4">
        <f>_xlfn.XLOOKUP(_xlfn.XLOOKUP($A6,Koontilista!$A:$A,Koontilista!$W:$W),Kiertotunnus!$A:$A,Kiertotunnus!H:H)</f>
        <v>0</v>
      </c>
      <c r="I7" s="4">
        <f>_xlfn.XLOOKUP(_xlfn.XLOOKUP($A6,Koontilista!$A:$A,Koontilista!$W:$W),Kiertotunnus!$A:$A,Kiertotunnus!I:I)</f>
        <v>0</v>
      </c>
      <c r="J7" s="4">
        <f>_xlfn.XLOOKUP(_xlfn.XLOOKUP($A6,Koontilista!$A:$A,Koontilista!$W:$W),Kiertotunnus!$A:$A,Kiertotunnus!J:J)</f>
        <v>0</v>
      </c>
      <c r="K7" s="4">
        <f>_xlfn.XLOOKUP(_xlfn.XLOOKUP($A6,Koontilista!$A:$A,Koontilista!$W:$W),Kiertotunnus!$A:$A,Kiertotunnus!K:K)</f>
        <v>0</v>
      </c>
      <c r="L7" s="4">
        <f>_xlfn.XLOOKUP(_xlfn.XLOOKUP($A6,Koontilista!$A:$A,Koontilista!$W:$W),Kiertotunnus!$A:$A,Kiertotunnus!L:L)</f>
        <v>0</v>
      </c>
      <c r="M7" s="4">
        <f>_xlfn.XLOOKUP(_xlfn.XLOOKUP($A6,Koontilista!$A:$A,Koontilista!$W:$W),Kiertotunnus!$A:$A,Kiertotunnus!M:M)</f>
        <v>0</v>
      </c>
      <c r="N7" s="4">
        <f>_xlfn.XLOOKUP(_xlfn.XLOOKUP($A6,Koontilista!$A:$A,Koontilista!$W:$W),Kiertotunnus!$A:$A,Kiertotunnus!N:N)</f>
        <v>0</v>
      </c>
      <c r="O7" s="4">
        <f>_xlfn.XLOOKUP(_xlfn.XLOOKUP($A6,Koontilista!$A:$A,Koontilista!$W:$W),Kiertotunnus!$A:$A,Kiertotunnus!O:O)</f>
        <v>0</v>
      </c>
      <c r="P7" s="4">
        <f>_xlfn.XLOOKUP(_xlfn.XLOOKUP($A6,Koontilista!$A:$A,Koontilista!$W:$W),Kiertotunnus!$A:$A,Kiertotunnus!P:P)</f>
        <v>0</v>
      </c>
      <c r="Q7" s="4">
        <f>_xlfn.XLOOKUP(_xlfn.XLOOKUP($A6,Koontilista!$A:$A,Koontilista!$W:$W),Kiertotunnus!$A:$A,Kiertotunnus!Q:Q)</f>
        <v>0</v>
      </c>
      <c r="R7" s="4">
        <f>_xlfn.XLOOKUP(_xlfn.XLOOKUP($A6,Koontilista!$A:$A,Koontilista!$W:$W),Kiertotunnus!$A:$A,Kiertotunnus!R:R)</f>
        <v>0</v>
      </c>
      <c r="S7" s="4">
        <f>_xlfn.XLOOKUP(_xlfn.XLOOKUP($A6,Koontilista!$A:$A,Koontilista!$W:$W),Kiertotunnus!$A:$A,Kiertotunnus!S:S)</f>
        <v>0</v>
      </c>
      <c r="T7" s="4">
        <f>_xlfn.XLOOKUP(_xlfn.XLOOKUP($A6,Koontilista!$A:$A,Koontilista!$W:$W),Kiertotunnus!$A:$A,Kiertotunnus!T:T)</f>
        <v>0</v>
      </c>
      <c r="U7" s="4">
        <f>_xlfn.XLOOKUP(_xlfn.XLOOKUP($A6,Koontilista!$A:$A,Koontilista!$W:$W),Kiertotunnus!$A:$A,Kiertotunnus!U:U)</f>
        <v>0</v>
      </c>
      <c r="V7" s="4">
        <f>_xlfn.XLOOKUP(_xlfn.XLOOKUP($A6,Koontilista!$A:$A,Koontilista!$W:$W),Kiertotunnus!$A:$A,Kiertotunnus!V:V)</f>
        <v>0</v>
      </c>
      <c r="W7" s="16" t="s">
        <v>148</v>
      </c>
      <c r="X7" s="133">
        <f>_xlfn.XLOOKUP($A6,Työntekijät!A:A,Työntekijät!G:G)/100</f>
        <v>0</v>
      </c>
    </row>
    <row r="8" spans="1:24" s="112" customFormat="1" ht="16.899999999999999" customHeight="1" x14ac:dyDescent="0.25">
      <c r="A8" s="114" t="s">
        <v>95</v>
      </c>
      <c r="B8" s="132" t="str" cm="1">
        <f t="array" ref="B8">_xlfn.XLOOKUP(TRUE,EXACT(Vuorokoodit!$A:$A,B7),Vuorokoodit!$D:$D,"00:00")</f>
        <v>00:00</v>
      </c>
      <c r="C8" s="132" t="str" cm="1">
        <f t="array" ref="C8">_xlfn.XLOOKUP(TRUE,EXACT(Vuorokoodit!$A:$A,C7),Vuorokoodit!$D:$D,"00:00")</f>
        <v>00:00</v>
      </c>
      <c r="D8" s="132" t="str" cm="1">
        <f t="array" ref="D8">_xlfn.XLOOKUP(TRUE,EXACT(Vuorokoodit!$A:$A,D7),Vuorokoodit!$D:$D,"00:00")</f>
        <v>00:00</v>
      </c>
      <c r="E8" s="132" t="str" cm="1">
        <f t="array" ref="E8">_xlfn.XLOOKUP(TRUE,EXACT(Vuorokoodit!$A:$A,E7),Vuorokoodit!$D:$D,"00:00")</f>
        <v>00:00</v>
      </c>
      <c r="F8" s="132" t="str" cm="1">
        <f t="array" ref="F8">_xlfn.XLOOKUP(TRUE,EXACT(Vuorokoodit!$A:$A,F7),Vuorokoodit!$D:$D,"00:00")</f>
        <v>00:00</v>
      </c>
      <c r="G8" s="132" t="str" cm="1">
        <f t="array" ref="G8">_xlfn.XLOOKUP(TRUE,EXACT(Vuorokoodit!$A:$A,G7),Vuorokoodit!$D:$D,"00:00")</f>
        <v>00:00</v>
      </c>
      <c r="H8" s="132" t="str" cm="1">
        <f t="array" ref="H8">_xlfn.XLOOKUP(TRUE,EXACT(Vuorokoodit!$A:$A,H7),Vuorokoodit!$D:$D,"00:00")</f>
        <v>00:00</v>
      </c>
      <c r="I8" s="132" t="str" cm="1">
        <f t="array" ref="I8">_xlfn.XLOOKUP(TRUE,EXACT(Vuorokoodit!$A:$A,I7),Vuorokoodit!$D:$D,"00:00")</f>
        <v>00:00</v>
      </c>
      <c r="J8" s="132" t="str" cm="1">
        <f t="array" ref="J8">_xlfn.XLOOKUP(TRUE,EXACT(Vuorokoodit!$A:$A,J7),Vuorokoodit!$D:$D,"00:00")</f>
        <v>00:00</v>
      </c>
      <c r="K8" s="132" t="str" cm="1">
        <f t="array" ref="K8">_xlfn.XLOOKUP(TRUE,EXACT(Vuorokoodit!$A:$A,K7),Vuorokoodit!$D:$D,"00:00")</f>
        <v>00:00</v>
      </c>
      <c r="L8" s="132" t="str" cm="1">
        <f t="array" ref="L8">_xlfn.XLOOKUP(TRUE,EXACT(Vuorokoodit!$A:$A,L7),Vuorokoodit!$D:$D,"00:00")</f>
        <v>00:00</v>
      </c>
      <c r="M8" s="132" t="str" cm="1">
        <f t="array" ref="M8">_xlfn.XLOOKUP(TRUE,EXACT(Vuorokoodit!$A:$A,M7),Vuorokoodit!$D:$D,"00:00")</f>
        <v>00:00</v>
      </c>
      <c r="N8" s="132" t="str" cm="1">
        <f t="array" ref="N8">_xlfn.XLOOKUP(TRUE,EXACT(Vuorokoodit!$A:$A,N7),Vuorokoodit!$D:$D,"00:00")</f>
        <v>00:00</v>
      </c>
      <c r="O8" s="132" t="str" cm="1">
        <f t="array" ref="O8">_xlfn.XLOOKUP(TRUE,EXACT(Vuorokoodit!$A:$A,O7),Vuorokoodit!$D:$D,"00:00")</f>
        <v>00:00</v>
      </c>
      <c r="P8" s="132" t="str" cm="1">
        <f t="array" ref="P8">_xlfn.XLOOKUP(TRUE,EXACT(Vuorokoodit!$A:$A,P7),Vuorokoodit!$D:$D,"00:00")</f>
        <v>00:00</v>
      </c>
      <c r="Q8" s="132" t="str" cm="1">
        <f t="array" ref="Q8">_xlfn.XLOOKUP(TRUE,EXACT(Vuorokoodit!$A:$A,Q7),Vuorokoodit!$D:$D,"00:00")</f>
        <v>00:00</v>
      </c>
      <c r="R8" s="132" t="str" cm="1">
        <f t="array" ref="R8">_xlfn.XLOOKUP(TRUE,EXACT(Vuorokoodit!$A:$A,R7),Vuorokoodit!$D:$D,"00:00")</f>
        <v>00:00</v>
      </c>
      <c r="S8" s="132" t="str" cm="1">
        <f t="array" ref="S8">_xlfn.XLOOKUP(TRUE,EXACT(Vuorokoodit!$A:$A,S7),Vuorokoodit!$D:$D,"00:00")</f>
        <v>00:00</v>
      </c>
      <c r="T8" s="132" t="str" cm="1">
        <f t="array" ref="T8">_xlfn.XLOOKUP(TRUE,EXACT(Vuorokoodit!$A:$A,T7),Vuorokoodit!$D:$D,"00:00")</f>
        <v>00:00</v>
      </c>
      <c r="U8" s="132" t="str" cm="1">
        <f t="array" ref="U8">_xlfn.XLOOKUP(TRUE,EXACT(Vuorokoodit!$A:$A,U7),Vuorokoodit!$D:$D,"00:00")</f>
        <v>00:00</v>
      </c>
      <c r="V8" s="132" t="str" cm="1">
        <f t="array" ref="V8">_xlfn.XLOOKUP(TRUE,EXACT(Vuorokoodit!$A:$A,V7),Vuorokoodit!$D:$D,"00:00")</f>
        <v>00:00</v>
      </c>
      <c r="W8" s="2" t="s">
        <v>147</v>
      </c>
      <c r="X8" s="137" cm="1">
        <f t="array" ref="X8">SUM(TIMEVALUE(B8:V8))</f>
        <v>0</v>
      </c>
    </row>
    <row r="9" spans="1:24" s="112" customFormat="1" ht="27" customHeight="1" x14ac:dyDescent="0.25">
      <c r="A9" s="114" t="s">
        <v>146</v>
      </c>
      <c r="B9" s="14">
        <f>_xlfn.XLOOKUP(_xlfn.XLOOKUP($A6,Koontilista!$A:$A,Koontilista!$W:$W),Tehtavat!$A:$A,Tehtavat!B:B,"?")</f>
        <v>0</v>
      </c>
      <c r="C9" s="14">
        <f>_xlfn.XLOOKUP(_xlfn.XLOOKUP($A6,Koontilista!$A:$A,Koontilista!$W:$W),Tehtavat!$A:$A,Tehtavat!C:C,"?")</f>
        <v>0</v>
      </c>
      <c r="D9" s="14">
        <f>_xlfn.XLOOKUP(_xlfn.XLOOKUP($A6,Koontilista!$A:$A,Koontilista!$W:$W),Tehtavat!$A:$A,Tehtavat!D:D,"?")</f>
        <v>0</v>
      </c>
      <c r="E9" s="14">
        <f>_xlfn.XLOOKUP(_xlfn.XLOOKUP($A6,Koontilista!$A:$A,Koontilista!$W:$W),Tehtavat!$A:$A,Tehtavat!E:E,"?")</f>
        <v>0</v>
      </c>
      <c r="F9" s="14">
        <f>_xlfn.XLOOKUP(_xlfn.XLOOKUP($A6,Koontilista!$A:$A,Koontilista!$W:$W),Tehtavat!$A:$A,Tehtavat!F:F,"?")</f>
        <v>0</v>
      </c>
      <c r="G9" s="14">
        <f>_xlfn.XLOOKUP(_xlfn.XLOOKUP($A6,Koontilista!$A:$A,Koontilista!$W:$W),Tehtavat!$A:$A,Tehtavat!G:G,"?")</f>
        <v>0</v>
      </c>
      <c r="H9" s="14">
        <f>_xlfn.XLOOKUP(_xlfn.XLOOKUP($A6,Koontilista!$A:$A,Koontilista!$W:$W),Tehtavat!$A:$A,Tehtavat!H:H,"?")</f>
        <v>0</v>
      </c>
      <c r="I9" s="14">
        <f>_xlfn.XLOOKUP(_xlfn.XLOOKUP($A6,Koontilista!$A:$A,Koontilista!$W:$W),Tehtavat!$A:$A,Tehtavat!I:I,"?")</f>
        <v>0</v>
      </c>
      <c r="J9" s="14">
        <f>_xlfn.XLOOKUP(_xlfn.XLOOKUP($A6,Koontilista!$A:$A,Koontilista!$W:$W),Tehtavat!$A:$A,Tehtavat!J:J,"?")</f>
        <v>0</v>
      </c>
      <c r="K9" s="14">
        <f>_xlfn.XLOOKUP(_xlfn.XLOOKUP($A6,Koontilista!$A:$A,Koontilista!$W:$W),Tehtavat!$A:$A,Tehtavat!K:K,"?")</f>
        <v>0</v>
      </c>
      <c r="L9" s="14">
        <f>_xlfn.XLOOKUP(_xlfn.XLOOKUP($A6,Koontilista!$A:$A,Koontilista!$W:$W),Tehtavat!$A:$A,Tehtavat!L:L,"?")</f>
        <v>0</v>
      </c>
      <c r="M9" s="14">
        <f>_xlfn.XLOOKUP(_xlfn.XLOOKUP($A6,Koontilista!$A:$A,Koontilista!$W:$W),Tehtavat!$A:$A,Tehtavat!M:M,"?")</f>
        <v>0</v>
      </c>
      <c r="N9" s="14">
        <f>_xlfn.XLOOKUP(_xlfn.XLOOKUP($A6,Koontilista!$A:$A,Koontilista!$W:$W),Tehtavat!$A:$A,Tehtavat!N:N,"?")</f>
        <v>0</v>
      </c>
      <c r="O9" s="14">
        <f>_xlfn.XLOOKUP(_xlfn.XLOOKUP($A6,Koontilista!$A:$A,Koontilista!$W:$W),Tehtavat!$A:$A,Tehtavat!O:O,"?")</f>
        <v>0</v>
      </c>
      <c r="P9" s="14">
        <f>_xlfn.XLOOKUP(_xlfn.XLOOKUP($A6,Koontilista!$A:$A,Koontilista!$W:$W),Tehtavat!$A:$A,Tehtavat!P:P,"?")</f>
        <v>0</v>
      </c>
      <c r="Q9" s="14">
        <f>_xlfn.XLOOKUP(_xlfn.XLOOKUP($A6,Koontilista!$A:$A,Koontilista!$W:$W),Tehtavat!$A:$A,Tehtavat!Q:Q,"?")</f>
        <v>0</v>
      </c>
      <c r="R9" s="14">
        <f>_xlfn.XLOOKUP(_xlfn.XLOOKUP($A6,Koontilista!$A:$A,Koontilista!$W:$W),Tehtavat!$A:$A,Tehtavat!R:R,"?")</f>
        <v>0</v>
      </c>
      <c r="S9" s="14">
        <f>_xlfn.XLOOKUP(_xlfn.XLOOKUP($A6,Koontilista!$A:$A,Koontilista!$W:$W),Tehtavat!$A:$A,Tehtavat!S:S,"?")</f>
        <v>0</v>
      </c>
      <c r="T9" s="14">
        <f>_xlfn.XLOOKUP(_xlfn.XLOOKUP($A6,Koontilista!$A:$A,Koontilista!$W:$W),Tehtavat!$A:$A,Tehtavat!T:T,"?")</f>
        <v>0</v>
      </c>
      <c r="U9" s="14">
        <f>_xlfn.XLOOKUP(_xlfn.XLOOKUP($A6,Koontilista!$A:$A,Koontilista!$W:$W),Tehtavat!$A:$A,Tehtavat!U:U,"?")</f>
        <v>0</v>
      </c>
      <c r="V9" s="14">
        <f>_xlfn.XLOOKUP(_xlfn.XLOOKUP($A6,Koontilista!$A:$A,Koontilista!$W:$W),Tehtavat!$A:$A,Tehtavat!V:V,"?")</f>
        <v>0</v>
      </c>
      <c r="W9" s="2"/>
      <c r="X9" s="74"/>
    </row>
    <row r="10" spans="1:24" s="112" customFormat="1" x14ac:dyDescent="0.25">
      <c r="A10" s="11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2"/>
      <c r="X10" s="2"/>
    </row>
    <row r="11" spans="1:24" s="112" customFormat="1" x14ac:dyDescent="0.25">
      <c r="A11" s="113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2"/>
      <c r="X11" s="2"/>
    </row>
    <row r="12" spans="1:24" s="112" customFormat="1" x14ac:dyDescent="0.25">
      <c r="A12" s="113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2"/>
      <c r="X12" s="2"/>
    </row>
    <row r="13" spans="1:24" s="112" customFormat="1" x14ac:dyDescent="0.25">
      <c r="A13" s="11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2"/>
      <c r="X13" s="2"/>
    </row>
    <row r="14" spans="1:24" s="112" customFormat="1" x14ac:dyDescent="0.25">
      <c r="A14" s="113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2"/>
      <c r="X14" s="2"/>
    </row>
    <row r="15" spans="1:24" s="112" customFormat="1" x14ac:dyDescent="0.25">
      <c r="A15" s="113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2"/>
      <c r="X15" s="2"/>
    </row>
    <row r="16" spans="1:24" s="112" customFormat="1" x14ac:dyDescent="0.25">
      <c r="A16" s="11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2"/>
      <c r="X16" s="2"/>
    </row>
    <row r="17" spans="1:24" s="112" customFormat="1" x14ac:dyDescent="0.25">
      <c r="A17" s="11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2"/>
      <c r="X17" s="2"/>
    </row>
    <row r="18" spans="1:24" s="112" customFormat="1" x14ac:dyDescent="0.25">
      <c r="A18" s="11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2"/>
      <c r="X18" s="2"/>
    </row>
    <row r="19" spans="1:24" s="112" customFormat="1" x14ac:dyDescent="0.25">
      <c r="A19" s="11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2"/>
      <c r="X19" s="2"/>
    </row>
    <row r="20" spans="1:24" s="112" customFormat="1" x14ac:dyDescent="0.25">
      <c r="A20" s="11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2"/>
      <c r="X20" s="2"/>
    </row>
    <row r="21" spans="1:24" s="112" customFormat="1" x14ac:dyDescent="0.25">
      <c r="A21" s="11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2"/>
      <c r="X21" s="2"/>
    </row>
    <row r="22" spans="1:24" s="112" customFormat="1" x14ac:dyDescent="0.25">
      <c r="A22" s="11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2"/>
      <c r="X22" s="2"/>
    </row>
    <row r="23" spans="1:24" s="112" customFormat="1" x14ac:dyDescent="0.25">
      <c r="A23" s="11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2"/>
      <c r="X23" s="2"/>
    </row>
    <row r="24" spans="1:24" s="112" customFormat="1" x14ac:dyDescent="0.25">
      <c r="A24" s="11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2"/>
      <c r="X24" s="2"/>
    </row>
    <row r="25" spans="1:24" s="112" customFormat="1" x14ac:dyDescent="0.25">
      <c r="A25" s="11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2"/>
      <c r="X25" s="2"/>
    </row>
    <row r="26" spans="1:24" s="112" customFormat="1" x14ac:dyDescent="0.25">
      <c r="A26" s="11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2"/>
      <c r="X26" s="2"/>
    </row>
    <row r="27" spans="1:24" s="112" customFormat="1" x14ac:dyDescent="0.25">
      <c r="A27" s="11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2"/>
      <c r="X27" s="2"/>
    </row>
    <row r="28" spans="1:24" s="112" customFormat="1" x14ac:dyDescent="0.25">
      <c r="A28" s="11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2"/>
      <c r="X28" s="2"/>
    </row>
    <row r="29" spans="1:24" s="112" customFormat="1" x14ac:dyDescent="0.25">
      <c r="A29" s="11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2"/>
      <c r="X29" s="2"/>
    </row>
    <row r="30" spans="1:24" s="112" customFormat="1" x14ac:dyDescent="0.25">
      <c r="A30" s="11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2"/>
      <c r="X30" s="2"/>
    </row>
    <row r="31" spans="1:24" s="112" customFormat="1" x14ac:dyDescent="0.25">
      <c r="A31" s="11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2"/>
      <c r="X31" s="2"/>
    </row>
    <row r="32" spans="1:24" s="112" customFormat="1" x14ac:dyDescent="0.25">
      <c r="A32" s="11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2"/>
      <c r="X32" s="2"/>
    </row>
    <row r="33" spans="1:24" s="112" customFormat="1" x14ac:dyDescent="0.25">
      <c r="A33" s="11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2"/>
      <c r="X33" s="2"/>
    </row>
    <row r="34" spans="1:24" s="112" customFormat="1" x14ac:dyDescent="0.25">
      <c r="A34" s="11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2"/>
      <c r="X34" s="2"/>
    </row>
    <row r="35" spans="1:24" s="112" customFormat="1" x14ac:dyDescent="0.25">
      <c r="A35" s="11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2"/>
      <c r="X35" s="2"/>
    </row>
    <row r="36" spans="1:24" s="112" customFormat="1" x14ac:dyDescent="0.25">
      <c r="A36" s="113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2"/>
      <c r="X36" s="2"/>
    </row>
    <row r="37" spans="1:24" s="112" customFormat="1" x14ac:dyDescent="0.25">
      <c r="A37" s="113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2"/>
      <c r="X37" s="2"/>
    </row>
    <row r="38" spans="1:24" s="112" customFormat="1" x14ac:dyDescent="0.25">
      <c r="A38" s="113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2"/>
      <c r="X38" s="2"/>
    </row>
    <row r="39" spans="1:24" s="112" customFormat="1" x14ac:dyDescent="0.25">
      <c r="A39" s="113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2"/>
      <c r="X39" s="2"/>
    </row>
    <row r="40" spans="1:24" s="112" customFormat="1" x14ac:dyDescent="0.25">
      <c r="A40" s="113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2"/>
      <c r="X40" s="2"/>
    </row>
    <row r="41" spans="1:24" s="112" customFormat="1" x14ac:dyDescent="0.25">
      <c r="A41" s="113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2"/>
      <c r="X41" s="2"/>
    </row>
    <row r="42" spans="1:24" s="112" customFormat="1" x14ac:dyDescent="0.25">
      <c r="A42" s="113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2"/>
      <c r="X42" s="2"/>
    </row>
    <row r="43" spans="1:24" s="112" customFormat="1" x14ac:dyDescent="0.25">
      <c r="A43" s="113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2"/>
      <c r="X43" s="2"/>
    </row>
    <row r="44" spans="1:24" s="112" customFormat="1" x14ac:dyDescent="0.25">
      <c r="A44" s="113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2"/>
      <c r="X44" s="2"/>
    </row>
    <row r="45" spans="1:24" s="112" customFormat="1" x14ac:dyDescent="0.25">
      <c r="A45" s="113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2"/>
      <c r="X45" s="2"/>
    </row>
    <row r="46" spans="1:24" s="112" customFormat="1" x14ac:dyDescent="0.25">
      <c r="A46" s="113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2"/>
      <c r="X46" s="2"/>
    </row>
    <row r="47" spans="1:24" s="112" customFormat="1" x14ac:dyDescent="0.25">
      <c r="A47" s="113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2"/>
      <c r="X47" s="2"/>
    </row>
    <row r="48" spans="1:24" s="112" customFormat="1" x14ac:dyDescent="0.25">
      <c r="A48" s="113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2"/>
      <c r="X48" s="2"/>
    </row>
    <row r="49" spans="1:24" s="112" customFormat="1" x14ac:dyDescent="0.25">
      <c r="A49" s="113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2"/>
      <c r="X49" s="2"/>
    </row>
    <row r="50" spans="1:24" s="112" customFormat="1" x14ac:dyDescent="0.25">
      <c r="A50" s="113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2"/>
      <c r="X50" s="2"/>
    </row>
    <row r="51" spans="1:24" s="112" customFormat="1" x14ac:dyDescent="0.25">
      <c r="A51" s="113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2"/>
      <c r="X51" s="2"/>
    </row>
    <row r="52" spans="1:24" s="112" customFormat="1" x14ac:dyDescent="0.25">
      <c r="A52" s="113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2"/>
      <c r="X52" s="2"/>
    </row>
    <row r="53" spans="1:24" s="112" customFormat="1" x14ac:dyDescent="0.25">
      <c r="A53" s="113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2"/>
      <c r="X53" s="2"/>
    </row>
    <row r="54" spans="1:24" s="112" customFormat="1" x14ac:dyDescent="0.25">
      <c r="A54" s="113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2"/>
      <c r="X54" s="2"/>
    </row>
    <row r="55" spans="1:24" s="112" customFormat="1" x14ac:dyDescent="0.25">
      <c r="A55" s="113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2"/>
      <c r="X55" s="2"/>
    </row>
    <row r="56" spans="1:24" s="112" customFormat="1" x14ac:dyDescent="0.25">
      <c r="A56" s="113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2"/>
      <c r="X56" s="2"/>
    </row>
    <row r="57" spans="1:24" s="112" customFormat="1" x14ac:dyDescent="0.25">
      <c r="A57" s="113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2"/>
      <c r="X57" s="2"/>
    </row>
    <row r="58" spans="1:24" s="112" customFormat="1" x14ac:dyDescent="0.25">
      <c r="A58" s="113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2"/>
      <c r="X58" s="2"/>
    </row>
    <row r="59" spans="1:24" s="112" customFormat="1" x14ac:dyDescent="0.25">
      <c r="A59" s="113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2"/>
      <c r="X59" s="2"/>
    </row>
    <row r="60" spans="1:24" s="112" customFormat="1" x14ac:dyDescent="0.25">
      <c r="A60" s="113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2"/>
      <c r="X60" s="2"/>
    </row>
    <row r="61" spans="1:24" s="112" customFormat="1" x14ac:dyDescent="0.25">
      <c r="A61" s="113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2"/>
      <c r="X61" s="2"/>
    </row>
    <row r="62" spans="1:24" s="112" customFormat="1" x14ac:dyDescent="0.25">
      <c r="A62" s="113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2"/>
      <c r="X62" s="2"/>
    </row>
    <row r="63" spans="1:24" s="112" customFormat="1" x14ac:dyDescent="0.25">
      <c r="A63" s="113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2"/>
      <c r="X63" s="2"/>
    </row>
    <row r="64" spans="1:24" s="112" customFormat="1" x14ac:dyDescent="0.25">
      <c r="A64" s="113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2"/>
      <c r="X64" s="2"/>
    </row>
    <row r="65" spans="1:24" s="112" customFormat="1" x14ac:dyDescent="0.25">
      <c r="A65" s="113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2"/>
      <c r="X65" s="2"/>
    </row>
    <row r="66" spans="1:24" s="112" customFormat="1" x14ac:dyDescent="0.25">
      <c r="A66" s="113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2"/>
      <c r="X66" s="2"/>
    </row>
    <row r="67" spans="1:24" s="112" customFormat="1" x14ac:dyDescent="0.25">
      <c r="A67" s="113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2"/>
      <c r="X67" s="2"/>
    </row>
    <row r="68" spans="1:24" s="112" customFormat="1" x14ac:dyDescent="0.25">
      <c r="A68" s="113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2"/>
      <c r="X68" s="2"/>
    </row>
    <row r="69" spans="1:24" s="112" customFormat="1" x14ac:dyDescent="0.25">
      <c r="A69" s="113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2"/>
      <c r="X69" s="2"/>
    </row>
    <row r="70" spans="1:24" s="112" customFormat="1" x14ac:dyDescent="0.25">
      <c r="A70" s="113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2"/>
      <c r="X70" s="2"/>
    </row>
    <row r="71" spans="1:24" s="112" customFormat="1" x14ac:dyDescent="0.25">
      <c r="A71" s="113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2"/>
      <c r="X71" s="2"/>
    </row>
    <row r="72" spans="1:24" s="112" customFormat="1" x14ac:dyDescent="0.25">
      <c r="A72" s="113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2"/>
      <c r="X72" s="2"/>
    </row>
    <row r="73" spans="1:24" s="112" customFormat="1" x14ac:dyDescent="0.25">
      <c r="A73" s="113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2"/>
      <c r="X73" s="2"/>
    </row>
    <row r="74" spans="1:24" s="112" customFormat="1" x14ac:dyDescent="0.25">
      <c r="A74" s="113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2"/>
      <c r="X74" s="2"/>
    </row>
    <row r="75" spans="1:24" s="112" customFormat="1" x14ac:dyDescent="0.25">
      <c r="A75" s="113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2"/>
      <c r="X75" s="2"/>
    </row>
    <row r="76" spans="1:24" s="112" customFormat="1" x14ac:dyDescent="0.25">
      <c r="A76" s="113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2"/>
      <c r="X76" s="2"/>
    </row>
    <row r="77" spans="1:24" s="112" customFormat="1" x14ac:dyDescent="0.25">
      <c r="A77" s="113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2"/>
      <c r="X77" s="2"/>
    </row>
    <row r="78" spans="1:24" s="112" customFormat="1" x14ac:dyDescent="0.25">
      <c r="A78" s="113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2"/>
      <c r="X78" s="2"/>
    </row>
    <row r="79" spans="1:24" s="112" customFormat="1" x14ac:dyDescent="0.25">
      <c r="A79" s="113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2"/>
      <c r="X79" s="2"/>
    </row>
    <row r="80" spans="1:24" s="112" customFormat="1" x14ac:dyDescent="0.25">
      <c r="A80" s="113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2"/>
      <c r="X80" s="2"/>
    </row>
    <row r="81" spans="1:24" s="112" customFormat="1" x14ac:dyDescent="0.25">
      <c r="A81" s="113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2"/>
      <c r="X81" s="2"/>
    </row>
    <row r="82" spans="1:24" s="112" customFormat="1" x14ac:dyDescent="0.25">
      <c r="A82" s="113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2"/>
      <c r="X82" s="2"/>
    </row>
    <row r="83" spans="1:24" s="112" customFormat="1" x14ac:dyDescent="0.25">
      <c r="A83" s="113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2"/>
      <c r="X83" s="2"/>
    </row>
    <row r="84" spans="1:24" s="112" customFormat="1" x14ac:dyDescent="0.25">
      <c r="A84" s="113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2"/>
      <c r="X84" s="2"/>
    </row>
    <row r="85" spans="1:24" s="112" customFormat="1" x14ac:dyDescent="0.25">
      <c r="A85" s="113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2"/>
      <c r="X85" s="2"/>
    </row>
    <row r="86" spans="1:24" s="112" customFormat="1" x14ac:dyDescent="0.25">
      <c r="A86" s="113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2"/>
      <c r="X86" s="2"/>
    </row>
    <row r="87" spans="1:24" s="112" customFormat="1" x14ac:dyDescent="0.25">
      <c r="A87" s="113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2"/>
      <c r="X87" s="2"/>
    </row>
    <row r="88" spans="1:24" s="112" customFormat="1" x14ac:dyDescent="0.25">
      <c r="A88" s="113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2"/>
      <c r="X88" s="2"/>
    </row>
    <row r="89" spans="1:24" s="112" customFormat="1" x14ac:dyDescent="0.25">
      <c r="A89" s="113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2"/>
      <c r="X89" s="2"/>
    </row>
    <row r="90" spans="1:24" s="112" customFormat="1" x14ac:dyDescent="0.25">
      <c r="A90" s="113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2"/>
      <c r="X90" s="2"/>
    </row>
    <row r="91" spans="1:24" s="112" customFormat="1" x14ac:dyDescent="0.25">
      <c r="A91" s="113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2"/>
      <c r="X91" s="2"/>
    </row>
    <row r="92" spans="1:24" s="112" customFormat="1" x14ac:dyDescent="0.25">
      <c r="A92" s="113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2"/>
      <c r="X92" s="2"/>
    </row>
    <row r="93" spans="1:24" s="112" customFormat="1" x14ac:dyDescent="0.25">
      <c r="A93" s="113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2"/>
      <c r="X93" s="2"/>
    </row>
    <row r="94" spans="1:24" s="112" customFormat="1" x14ac:dyDescent="0.25">
      <c r="A94" s="113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2"/>
      <c r="X94" s="2"/>
    </row>
    <row r="95" spans="1:24" s="112" customFormat="1" x14ac:dyDescent="0.25">
      <c r="A95" s="113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2"/>
      <c r="X95" s="2"/>
    </row>
    <row r="96" spans="1:24" s="112" customFormat="1" x14ac:dyDescent="0.25">
      <c r="A96" s="113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2"/>
      <c r="X96" s="2"/>
    </row>
    <row r="97" spans="1:24" s="112" customFormat="1" x14ac:dyDescent="0.25">
      <c r="A97" s="11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2"/>
      <c r="X97" s="2"/>
    </row>
    <row r="98" spans="1:24" s="112" customFormat="1" x14ac:dyDescent="0.25">
      <c r="A98" s="113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2"/>
      <c r="X98" s="2"/>
    </row>
    <row r="99" spans="1:24" s="112" customFormat="1" x14ac:dyDescent="0.25">
      <c r="A99" s="113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2"/>
      <c r="X99" s="2"/>
    </row>
    <row r="100" spans="1:24" s="112" customFormat="1" x14ac:dyDescent="0.25">
      <c r="A100" s="113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2"/>
      <c r="X100" s="2"/>
    </row>
    <row r="101" spans="1:24" s="112" customFormat="1" x14ac:dyDescent="0.25">
      <c r="A101" s="113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2"/>
      <c r="X101" s="2"/>
    </row>
    <row r="102" spans="1:24" s="112" customFormat="1" x14ac:dyDescent="0.25">
      <c r="A102" s="113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2"/>
      <c r="X102" s="2"/>
    </row>
    <row r="103" spans="1:24" s="112" customFormat="1" x14ac:dyDescent="0.25">
      <c r="A103" s="113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2"/>
      <c r="X103" s="2"/>
    </row>
    <row r="104" spans="1:24" s="112" customFormat="1" x14ac:dyDescent="0.25">
      <c r="A104" s="113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2"/>
      <c r="X104" s="2"/>
    </row>
    <row r="105" spans="1:24" s="112" customFormat="1" x14ac:dyDescent="0.25">
      <c r="A105" s="113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2"/>
      <c r="X105" s="2"/>
    </row>
    <row r="106" spans="1:24" s="112" customFormat="1" x14ac:dyDescent="0.25">
      <c r="A106" s="113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2"/>
      <c r="X106" s="2"/>
    </row>
    <row r="107" spans="1:24" s="112" customFormat="1" x14ac:dyDescent="0.25">
      <c r="A107" s="113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2"/>
      <c r="X107" s="2"/>
    </row>
    <row r="108" spans="1:24" s="112" customFormat="1" x14ac:dyDescent="0.25">
      <c r="A108" s="113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2"/>
      <c r="X108" s="2"/>
    </row>
    <row r="109" spans="1:24" s="112" customFormat="1" x14ac:dyDescent="0.25">
      <c r="A109" s="113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2"/>
      <c r="X109" s="2"/>
    </row>
    <row r="110" spans="1:24" s="112" customFormat="1" x14ac:dyDescent="0.25">
      <c r="A110" s="113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2"/>
      <c r="X110" s="2"/>
    </row>
    <row r="111" spans="1:24" s="112" customFormat="1" x14ac:dyDescent="0.25">
      <c r="A111" s="113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2"/>
      <c r="X111" s="2"/>
    </row>
    <row r="112" spans="1:24" s="112" customFormat="1" x14ac:dyDescent="0.25">
      <c r="A112" s="113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2"/>
      <c r="X112" s="2"/>
    </row>
    <row r="113" spans="1:24" s="112" customFormat="1" x14ac:dyDescent="0.25">
      <c r="A113" s="113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2"/>
      <c r="X113" s="2"/>
    </row>
    <row r="114" spans="1:24" s="112" customFormat="1" x14ac:dyDescent="0.25">
      <c r="A114" s="113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2"/>
      <c r="X114" s="2"/>
    </row>
    <row r="115" spans="1:24" s="112" customFormat="1" x14ac:dyDescent="0.25">
      <c r="A115" s="113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2"/>
      <c r="X115" s="2"/>
    </row>
    <row r="116" spans="1:24" s="112" customFormat="1" x14ac:dyDescent="0.25">
      <c r="A116" s="113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2"/>
      <c r="X116" s="2"/>
    </row>
    <row r="117" spans="1:24" s="112" customFormat="1" x14ac:dyDescent="0.25">
      <c r="A117" s="113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2"/>
      <c r="X117" s="2"/>
    </row>
    <row r="118" spans="1:24" s="112" customFormat="1" x14ac:dyDescent="0.25">
      <c r="A118" s="113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2"/>
      <c r="X118" s="2"/>
    </row>
    <row r="119" spans="1:24" s="112" customFormat="1" x14ac:dyDescent="0.25">
      <c r="A119" s="113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2"/>
      <c r="X119" s="2"/>
    </row>
    <row r="120" spans="1:24" s="112" customFormat="1" x14ac:dyDescent="0.25">
      <c r="A120" s="113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2"/>
      <c r="X120" s="2"/>
    </row>
    <row r="121" spans="1:24" s="112" customFormat="1" x14ac:dyDescent="0.25">
      <c r="A121" s="113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2"/>
      <c r="X121" s="2"/>
    </row>
    <row r="122" spans="1:24" s="112" customFormat="1" x14ac:dyDescent="0.25">
      <c r="A122" s="113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2"/>
      <c r="X122" s="2"/>
    </row>
    <row r="123" spans="1:24" s="112" customFormat="1" x14ac:dyDescent="0.25">
      <c r="A123" s="113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2"/>
      <c r="X123" s="2"/>
    </row>
    <row r="124" spans="1:24" s="112" customFormat="1" x14ac:dyDescent="0.25">
      <c r="A124" s="113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2"/>
      <c r="X124" s="2"/>
    </row>
    <row r="125" spans="1:24" s="112" customFormat="1" x14ac:dyDescent="0.25">
      <c r="A125" s="113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2"/>
      <c r="X125" s="2"/>
    </row>
    <row r="126" spans="1:24" s="112" customFormat="1" x14ac:dyDescent="0.25">
      <c r="A126" s="113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2"/>
      <c r="X126" s="2"/>
    </row>
    <row r="127" spans="1:24" s="112" customFormat="1" x14ac:dyDescent="0.25">
      <c r="A127" s="113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2"/>
      <c r="X127" s="2"/>
    </row>
    <row r="128" spans="1:24" s="112" customFormat="1" x14ac:dyDescent="0.25">
      <c r="A128" s="113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2"/>
      <c r="X128" s="2"/>
    </row>
    <row r="129" spans="1:24" s="112" customFormat="1" x14ac:dyDescent="0.25">
      <c r="A129" s="113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2"/>
      <c r="X129" s="2"/>
    </row>
    <row r="130" spans="1:24" s="112" customFormat="1" x14ac:dyDescent="0.25">
      <c r="A130" s="113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2"/>
      <c r="X130" s="2"/>
    </row>
    <row r="131" spans="1:24" s="112" customFormat="1" x14ac:dyDescent="0.25">
      <c r="A131" s="113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2"/>
      <c r="X131" s="2"/>
    </row>
    <row r="132" spans="1:24" s="112" customFormat="1" x14ac:dyDescent="0.25">
      <c r="A132" s="113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2"/>
      <c r="X132" s="2"/>
    </row>
    <row r="133" spans="1:24" s="112" customFormat="1" x14ac:dyDescent="0.25">
      <c r="A133" s="113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2"/>
      <c r="X133" s="2"/>
    </row>
    <row r="134" spans="1:24" s="112" customFormat="1" x14ac:dyDescent="0.25">
      <c r="A134" s="113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2"/>
      <c r="X134" s="2"/>
    </row>
    <row r="135" spans="1:24" s="112" customFormat="1" x14ac:dyDescent="0.25">
      <c r="A135" s="113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2"/>
      <c r="X135" s="2"/>
    </row>
    <row r="136" spans="1:24" s="112" customFormat="1" x14ac:dyDescent="0.25">
      <c r="A136" s="113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2"/>
      <c r="X136" s="2"/>
    </row>
    <row r="137" spans="1:24" s="112" customFormat="1" x14ac:dyDescent="0.25">
      <c r="A137" s="113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2"/>
      <c r="X137" s="2"/>
    </row>
    <row r="138" spans="1:24" s="112" customFormat="1" x14ac:dyDescent="0.25">
      <c r="A138" s="113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2"/>
      <c r="X138" s="2"/>
    </row>
    <row r="139" spans="1:24" s="112" customFormat="1" x14ac:dyDescent="0.25">
      <c r="A139" s="113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2"/>
      <c r="X139" s="2"/>
    </row>
    <row r="140" spans="1:24" s="112" customFormat="1" x14ac:dyDescent="0.25">
      <c r="A140" s="113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2"/>
      <c r="X140" s="2"/>
    </row>
    <row r="141" spans="1:24" s="112" customFormat="1" x14ac:dyDescent="0.25">
      <c r="A141" s="113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2"/>
      <c r="X141" s="2"/>
    </row>
    <row r="142" spans="1:24" s="112" customFormat="1" x14ac:dyDescent="0.25">
      <c r="A142" s="113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2"/>
      <c r="X142" s="2"/>
    </row>
    <row r="143" spans="1:24" s="112" customFormat="1" x14ac:dyDescent="0.25">
      <c r="A143" s="113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2"/>
      <c r="X143" s="2"/>
    </row>
    <row r="144" spans="1:24" s="112" customFormat="1" x14ac:dyDescent="0.25">
      <c r="A144" s="113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2"/>
      <c r="X144" s="2"/>
    </row>
    <row r="145" spans="1:24" s="112" customFormat="1" x14ac:dyDescent="0.25">
      <c r="A145" s="113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2"/>
      <c r="X145" s="2"/>
    </row>
    <row r="146" spans="1:24" s="112" customFormat="1" x14ac:dyDescent="0.25">
      <c r="A146" s="113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2"/>
      <c r="X146" s="2"/>
    </row>
    <row r="147" spans="1:24" s="112" customFormat="1" x14ac:dyDescent="0.25">
      <c r="A147" s="113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2"/>
      <c r="X147" s="2"/>
    </row>
    <row r="148" spans="1:24" s="112" customFormat="1" x14ac:dyDescent="0.25">
      <c r="A148" s="113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2"/>
      <c r="X148" s="2"/>
    </row>
    <row r="149" spans="1:24" s="112" customFormat="1" x14ac:dyDescent="0.25">
      <c r="A149" s="113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2"/>
      <c r="X149" s="2"/>
    </row>
    <row r="150" spans="1:24" s="112" customFormat="1" x14ac:dyDescent="0.25">
      <c r="A150" s="113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2"/>
      <c r="X150" s="2"/>
    </row>
    <row r="151" spans="1:24" s="112" customFormat="1" x14ac:dyDescent="0.25">
      <c r="A151" s="113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2"/>
      <c r="X151" s="2"/>
    </row>
    <row r="152" spans="1:24" s="112" customFormat="1" x14ac:dyDescent="0.25">
      <c r="A152" s="113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2"/>
      <c r="X152" s="2"/>
    </row>
    <row r="153" spans="1:24" s="112" customFormat="1" x14ac:dyDescent="0.25">
      <c r="A153" s="113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2"/>
      <c r="X153" s="2"/>
    </row>
    <row r="154" spans="1:24" s="112" customFormat="1" x14ac:dyDescent="0.25">
      <c r="A154" s="113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2"/>
      <c r="X154" s="2"/>
    </row>
    <row r="155" spans="1:24" s="112" customFormat="1" x14ac:dyDescent="0.25">
      <c r="A155" s="113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2"/>
      <c r="X155" s="2"/>
    </row>
    <row r="156" spans="1:24" s="112" customFormat="1" x14ac:dyDescent="0.25">
      <c r="A156" s="113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2"/>
      <c r="X156" s="2"/>
    </row>
    <row r="157" spans="1:24" s="112" customFormat="1" x14ac:dyDescent="0.25">
      <c r="A157" s="113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2"/>
      <c r="X157" s="2"/>
    </row>
    <row r="158" spans="1:24" s="112" customFormat="1" x14ac:dyDescent="0.25">
      <c r="A158" s="113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2"/>
      <c r="X158" s="2"/>
    </row>
    <row r="159" spans="1:24" s="112" customFormat="1" x14ac:dyDescent="0.25">
      <c r="A159" s="113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2"/>
      <c r="X159" s="2"/>
    </row>
    <row r="160" spans="1:24" s="112" customFormat="1" x14ac:dyDescent="0.25">
      <c r="A160" s="113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2"/>
      <c r="X160" s="2"/>
    </row>
    <row r="161" spans="1:24" s="112" customFormat="1" x14ac:dyDescent="0.25">
      <c r="A161" s="113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2"/>
      <c r="X161" s="2"/>
    </row>
    <row r="162" spans="1:24" s="112" customFormat="1" x14ac:dyDescent="0.25">
      <c r="A162" s="113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2"/>
      <c r="X162" s="2"/>
    </row>
    <row r="163" spans="1:24" s="112" customFormat="1" x14ac:dyDescent="0.25">
      <c r="A163" s="113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2"/>
      <c r="X163" s="2"/>
    </row>
    <row r="164" spans="1:24" s="112" customFormat="1" x14ac:dyDescent="0.25">
      <c r="A164" s="113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2"/>
      <c r="X164" s="2"/>
    </row>
    <row r="165" spans="1:24" s="112" customFormat="1" x14ac:dyDescent="0.25">
      <c r="A165" s="113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2"/>
      <c r="X165" s="2"/>
    </row>
    <row r="166" spans="1:24" s="112" customFormat="1" x14ac:dyDescent="0.25">
      <c r="A166" s="113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2"/>
      <c r="X166" s="2"/>
    </row>
    <row r="167" spans="1:24" s="112" customFormat="1" x14ac:dyDescent="0.25">
      <c r="A167" s="113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2"/>
      <c r="X167" s="2"/>
    </row>
    <row r="168" spans="1:24" s="112" customFormat="1" x14ac:dyDescent="0.25">
      <c r="A168" s="113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2"/>
      <c r="X168" s="2"/>
    </row>
    <row r="169" spans="1:24" s="112" customFormat="1" x14ac:dyDescent="0.25">
      <c r="A169" s="113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2"/>
      <c r="X169" s="2"/>
    </row>
    <row r="170" spans="1:24" s="112" customFormat="1" x14ac:dyDescent="0.25">
      <c r="A170" s="113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2"/>
      <c r="X170" s="2"/>
    </row>
    <row r="171" spans="1:24" s="112" customFormat="1" x14ac:dyDescent="0.25">
      <c r="A171" s="113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2"/>
      <c r="X171" s="2"/>
    </row>
    <row r="172" spans="1:24" s="112" customFormat="1" x14ac:dyDescent="0.25">
      <c r="A172" s="113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2"/>
      <c r="X172" s="2"/>
    </row>
    <row r="173" spans="1:24" s="112" customFormat="1" x14ac:dyDescent="0.25">
      <c r="A173" s="113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2"/>
      <c r="X173" s="2"/>
    </row>
    <row r="174" spans="1:24" s="112" customFormat="1" x14ac:dyDescent="0.25">
      <c r="A174" s="113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2"/>
      <c r="X174" s="2"/>
    </row>
    <row r="175" spans="1:24" s="112" customFormat="1" x14ac:dyDescent="0.25">
      <c r="A175" s="113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2"/>
      <c r="X175" s="2"/>
    </row>
    <row r="176" spans="1:24" s="112" customFormat="1" x14ac:dyDescent="0.25">
      <c r="A176" s="113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2"/>
      <c r="X176" s="2"/>
    </row>
    <row r="177" spans="1:24" s="112" customFormat="1" x14ac:dyDescent="0.25">
      <c r="A177" s="113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2"/>
      <c r="X177" s="2"/>
    </row>
    <row r="178" spans="1:24" s="112" customFormat="1" x14ac:dyDescent="0.25">
      <c r="A178" s="113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2"/>
      <c r="X178" s="2"/>
    </row>
    <row r="179" spans="1:24" s="112" customFormat="1" x14ac:dyDescent="0.25">
      <c r="A179" s="113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2"/>
      <c r="X179" s="2"/>
    </row>
    <row r="180" spans="1:24" s="112" customFormat="1" x14ac:dyDescent="0.25">
      <c r="A180" s="113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2"/>
      <c r="X180" s="2"/>
    </row>
    <row r="181" spans="1:24" s="112" customFormat="1" x14ac:dyDescent="0.25">
      <c r="A181" s="113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2"/>
      <c r="X181" s="2"/>
    </row>
    <row r="182" spans="1:24" s="112" customFormat="1" x14ac:dyDescent="0.25">
      <c r="A182" s="113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2"/>
      <c r="X182" s="2"/>
    </row>
    <row r="183" spans="1:24" s="112" customFormat="1" x14ac:dyDescent="0.25">
      <c r="A183" s="113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2"/>
      <c r="X183" s="2"/>
    </row>
    <row r="184" spans="1:24" s="112" customFormat="1" x14ac:dyDescent="0.25">
      <c r="A184" s="113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2"/>
      <c r="X184" s="2"/>
    </row>
    <row r="185" spans="1:24" s="112" customFormat="1" x14ac:dyDescent="0.25">
      <c r="A185" s="113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2"/>
      <c r="X185" s="2"/>
    </row>
    <row r="186" spans="1:24" s="112" customFormat="1" x14ac:dyDescent="0.25">
      <c r="A186" s="113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2"/>
      <c r="X186" s="2"/>
    </row>
    <row r="187" spans="1:24" s="112" customFormat="1" x14ac:dyDescent="0.25">
      <c r="A187" s="113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2"/>
      <c r="X187" s="2"/>
    </row>
    <row r="188" spans="1:24" s="112" customFormat="1" x14ac:dyDescent="0.25">
      <c r="A188" s="113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2"/>
      <c r="X188" s="2"/>
    </row>
    <row r="189" spans="1:24" s="112" customFormat="1" x14ac:dyDescent="0.25">
      <c r="A189" s="113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2"/>
      <c r="X189" s="2"/>
    </row>
    <row r="190" spans="1:24" s="112" customFormat="1" x14ac:dyDescent="0.25">
      <c r="A190" s="113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2"/>
      <c r="X190" s="2"/>
    </row>
    <row r="191" spans="1:24" s="112" customFormat="1" x14ac:dyDescent="0.25">
      <c r="A191" s="113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2"/>
      <c r="X191" s="2"/>
    </row>
    <row r="192" spans="1:24" s="112" customFormat="1" x14ac:dyDescent="0.25">
      <c r="A192" s="113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2"/>
      <c r="X192" s="2"/>
    </row>
    <row r="193" spans="1:24" s="112" customFormat="1" x14ac:dyDescent="0.25">
      <c r="A193" s="113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2"/>
      <c r="X193" s="2"/>
    </row>
    <row r="194" spans="1:24" s="112" customFormat="1" x14ac:dyDescent="0.25">
      <c r="A194" s="113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2"/>
      <c r="X194" s="2"/>
    </row>
    <row r="195" spans="1:24" s="112" customFormat="1" x14ac:dyDescent="0.25">
      <c r="A195" s="113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2"/>
      <c r="X195" s="2"/>
    </row>
    <row r="196" spans="1:24" s="112" customFormat="1" x14ac:dyDescent="0.25">
      <c r="A196" s="113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2"/>
      <c r="X196" s="2"/>
    </row>
    <row r="197" spans="1:24" s="112" customFormat="1" x14ac:dyDescent="0.25">
      <c r="A197" s="113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2"/>
      <c r="X197" s="2"/>
    </row>
    <row r="198" spans="1:24" s="112" customFormat="1" x14ac:dyDescent="0.25">
      <c r="A198" s="113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2"/>
      <c r="X198" s="2"/>
    </row>
    <row r="199" spans="1:24" s="112" customFormat="1" x14ac:dyDescent="0.25">
      <c r="A199" s="113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2"/>
      <c r="X199" s="2"/>
    </row>
    <row r="200" spans="1:24" s="112" customFormat="1" x14ac:dyDescent="0.25">
      <c r="A200" s="113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2"/>
      <c r="X200" s="2"/>
    </row>
    <row r="201" spans="1:24" s="112" customFormat="1" x14ac:dyDescent="0.25">
      <c r="A201" s="113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2"/>
      <c r="X201" s="2"/>
    </row>
    <row r="202" spans="1:24" s="112" customFormat="1" x14ac:dyDescent="0.25">
      <c r="A202" s="113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2"/>
      <c r="X202" s="2"/>
    </row>
    <row r="203" spans="1:24" s="112" customFormat="1" x14ac:dyDescent="0.25">
      <c r="A203" s="113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2"/>
      <c r="X203" s="2"/>
    </row>
    <row r="204" spans="1:24" s="112" customFormat="1" x14ac:dyDescent="0.25">
      <c r="A204" s="113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2"/>
      <c r="X204" s="2"/>
    </row>
    <row r="205" spans="1:24" s="112" customFormat="1" x14ac:dyDescent="0.25">
      <c r="A205" s="113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2"/>
      <c r="X205" s="2"/>
    </row>
    <row r="206" spans="1:24" s="112" customFormat="1" x14ac:dyDescent="0.25">
      <c r="A206" s="113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2"/>
      <c r="X206" s="2"/>
    </row>
    <row r="207" spans="1:24" s="112" customFormat="1" x14ac:dyDescent="0.25">
      <c r="A207" s="113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2"/>
      <c r="X207" s="2"/>
    </row>
    <row r="208" spans="1:24" s="112" customFormat="1" x14ac:dyDescent="0.25">
      <c r="A208" s="113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2"/>
      <c r="X208" s="2"/>
    </row>
    <row r="209" spans="1:24" s="112" customFormat="1" x14ac:dyDescent="0.25">
      <c r="A209" s="113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2"/>
      <c r="X209" s="2"/>
    </row>
    <row r="210" spans="1:24" s="112" customFormat="1" x14ac:dyDescent="0.25">
      <c r="A210" s="113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2"/>
      <c r="X210" s="2"/>
    </row>
    <row r="211" spans="1:24" s="112" customFormat="1" x14ac:dyDescent="0.25">
      <c r="A211" s="113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2"/>
      <c r="X211" s="2"/>
    </row>
    <row r="212" spans="1:24" s="112" customFormat="1" x14ac:dyDescent="0.25">
      <c r="A212" s="113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2"/>
      <c r="X212" s="2"/>
    </row>
    <row r="213" spans="1:24" s="112" customFormat="1" x14ac:dyDescent="0.25">
      <c r="A213" s="113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2"/>
      <c r="X213" s="2"/>
    </row>
    <row r="214" spans="1:24" s="112" customFormat="1" x14ac:dyDescent="0.25">
      <c r="A214" s="113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2"/>
      <c r="X214" s="2"/>
    </row>
    <row r="215" spans="1:24" s="112" customFormat="1" x14ac:dyDescent="0.25">
      <c r="A215" s="113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2"/>
      <c r="X215" s="2"/>
    </row>
    <row r="216" spans="1:24" s="112" customFormat="1" x14ac:dyDescent="0.25">
      <c r="A216" s="113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2"/>
      <c r="X216" s="2"/>
    </row>
    <row r="217" spans="1:24" s="112" customFormat="1" x14ac:dyDescent="0.25">
      <c r="A217" s="113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2"/>
      <c r="X217" s="2"/>
    </row>
    <row r="218" spans="1:24" s="112" customFormat="1" x14ac:dyDescent="0.25">
      <c r="A218" s="113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2"/>
      <c r="X218" s="2"/>
    </row>
    <row r="219" spans="1:24" s="112" customFormat="1" x14ac:dyDescent="0.25">
      <c r="A219" s="113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2"/>
      <c r="X219" s="2"/>
    </row>
    <row r="220" spans="1:24" s="112" customFormat="1" x14ac:dyDescent="0.25">
      <c r="A220" s="113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2"/>
      <c r="X220" s="2"/>
    </row>
    <row r="221" spans="1:24" s="112" customFormat="1" x14ac:dyDescent="0.25">
      <c r="A221" s="113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2"/>
      <c r="X221" s="2"/>
    </row>
    <row r="222" spans="1:24" s="112" customFormat="1" x14ac:dyDescent="0.25">
      <c r="A222" s="113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2"/>
      <c r="X222" s="2"/>
    </row>
    <row r="223" spans="1:24" s="112" customFormat="1" x14ac:dyDescent="0.25">
      <c r="A223" s="113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2"/>
      <c r="X223" s="2"/>
    </row>
    <row r="224" spans="1:24" s="112" customFormat="1" x14ac:dyDescent="0.25">
      <c r="A224" s="113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2"/>
      <c r="X224" s="2"/>
    </row>
    <row r="225" spans="1:24" s="112" customFormat="1" x14ac:dyDescent="0.25">
      <c r="A225" s="113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2"/>
      <c r="X225" s="2"/>
    </row>
    <row r="226" spans="1:24" s="112" customFormat="1" x14ac:dyDescent="0.25">
      <c r="A226" s="113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2"/>
      <c r="X226" s="2"/>
    </row>
    <row r="227" spans="1:24" s="112" customFormat="1" x14ac:dyDescent="0.25">
      <c r="A227" s="113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2"/>
      <c r="X227" s="2"/>
    </row>
    <row r="228" spans="1:24" s="112" customFormat="1" x14ac:dyDescent="0.25">
      <c r="A228" s="113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2"/>
      <c r="X228" s="2"/>
    </row>
    <row r="229" spans="1:24" s="112" customFormat="1" x14ac:dyDescent="0.25">
      <c r="A229" s="113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2"/>
      <c r="X229" s="2"/>
    </row>
    <row r="230" spans="1:24" s="112" customFormat="1" x14ac:dyDescent="0.25">
      <c r="A230" s="113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2"/>
      <c r="X230" s="2"/>
    </row>
    <row r="231" spans="1:24" s="112" customFormat="1" x14ac:dyDescent="0.25">
      <c r="A231" s="113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2"/>
      <c r="X231" s="2"/>
    </row>
    <row r="232" spans="1:24" s="112" customFormat="1" x14ac:dyDescent="0.25">
      <c r="A232" s="113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2"/>
      <c r="X232" s="2"/>
    </row>
    <row r="233" spans="1:24" s="112" customFormat="1" x14ac:dyDescent="0.25">
      <c r="A233" s="113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2"/>
      <c r="X233" s="2"/>
    </row>
    <row r="234" spans="1:24" s="112" customFormat="1" x14ac:dyDescent="0.25">
      <c r="A234" s="113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2"/>
      <c r="X234" s="2"/>
    </row>
    <row r="235" spans="1:24" s="112" customFormat="1" x14ac:dyDescent="0.25">
      <c r="A235" s="113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2"/>
      <c r="X235" s="2"/>
    </row>
    <row r="236" spans="1:24" s="112" customFormat="1" x14ac:dyDescent="0.25">
      <c r="A236" s="113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2"/>
      <c r="X236" s="2"/>
    </row>
    <row r="237" spans="1:24" s="112" customFormat="1" x14ac:dyDescent="0.25">
      <c r="A237" s="113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2"/>
      <c r="X237" s="2"/>
    </row>
    <row r="238" spans="1:24" s="112" customFormat="1" x14ac:dyDescent="0.25">
      <c r="A238" s="113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2"/>
      <c r="X238" s="2"/>
    </row>
    <row r="239" spans="1:24" s="112" customFormat="1" x14ac:dyDescent="0.25">
      <c r="A239" s="113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2"/>
      <c r="X239" s="2"/>
    </row>
    <row r="240" spans="1:24" s="112" customFormat="1" x14ac:dyDescent="0.25">
      <c r="A240" s="113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2"/>
      <c r="X240" s="2"/>
    </row>
    <row r="241" spans="1:24" s="112" customFormat="1" x14ac:dyDescent="0.25">
      <c r="A241" s="113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2"/>
      <c r="X241" s="2"/>
    </row>
    <row r="242" spans="1:24" s="112" customFormat="1" x14ac:dyDescent="0.25">
      <c r="A242" s="113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2"/>
      <c r="X242" s="2"/>
    </row>
    <row r="243" spans="1:24" s="112" customFormat="1" x14ac:dyDescent="0.25">
      <c r="A243" s="113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2"/>
      <c r="X243" s="2"/>
    </row>
    <row r="244" spans="1:24" s="112" customFormat="1" x14ac:dyDescent="0.25">
      <c r="A244" s="113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2"/>
      <c r="X244" s="2"/>
    </row>
    <row r="245" spans="1:24" s="112" customFormat="1" x14ac:dyDescent="0.25">
      <c r="A245" s="113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2"/>
      <c r="X245" s="2"/>
    </row>
    <row r="246" spans="1:24" s="112" customFormat="1" x14ac:dyDescent="0.25">
      <c r="A246" s="113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2"/>
      <c r="X246" s="2"/>
    </row>
    <row r="247" spans="1:24" s="112" customFormat="1" x14ac:dyDescent="0.25">
      <c r="A247" s="113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2"/>
      <c r="X247" s="2"/>
    </row>
    <row r="248" spans="1:24" s="112" customFormat="1" x14ac:dyDescent="0.25">
      <c r="A248" s="113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2"/>
      <c r="X248" s="2"/>
    </row>
    <row r="249" spans="1:24" s="112" customFormat="1" x14ac:dyDescent="0.25">
      <c r="A249" s="113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2"/>
      <c r="X249" s="2"/>
    </row>
    <row r="250" spans="1:24" s="112" customFormat="1" x14ac:dyDescent="0.25">
      <c r="A250" s="113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2"/>
      <c r="X250" s="2"/>
    </row>
    <row r="251" spans="1:24" s="112" customFormat="1" x14ac:dyDescent="0.25">
      <c r="A251" s="113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2"/>
      <c r="X251" s="2"/>
    </row>
    <row r="252" spans="1:24" s="112" customFormat="1" x14ac:dyDescent="0.25">
      <c r="A252" s="113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2"/>
      <c r="X252" s="2"/>
    </row>
    <row r="253" spans="1:24" s="112" customFormat="1" x14ac:dyDescent="0.25">
      <c r="A253" s="113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2"/>
      <c r="X253" s="2"/>
    </row>
    <row r="254" spans="1:24" s="112" customFormat="1" x14ac:dyDescent="0.25">
      <c r="A254" s="113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2"/>
      <c r="X254" s="2"/>
    </row>
    <row r="255" spans="1:24" s="112" customFormat="1" x14ac:dyDescent="0.25">
      <c r="A255" s="113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2"/>
      <c r="X255" s="2"/>
    </row>
    <row r="256" spans="1:24" s="112" customFormat="1" x14ac:dyDescent="0.25">
      <c r="A256" s="113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2"/>
      <c r="X256" s="2"/>
    </row>
    <row r="257" spans="1:24" s="112" customFormat="1" x14ac:dyDescent="0.25">
      <c r="A257" s="113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2"/>
      <c r="X257" s="2"/>
    </row>
    <row r="258" spans="1:24" s="112" customFormat="1" x14ac:dyDescent="0.25">
      <c r="A258" s="113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2"/>
      <c r="X258" s="2"/>
    </row>
    <row r="259" spans="1:24" s="112" customFormat="1" x14ac:dyDescent="0.25">
      <c r="A259" s="113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2"/>
      <c r="X259" s="2"/>
    </row>
    <row r="260" spans="1:24" s="112" customFormat="1" x14ac:dyDescent="0.25">
      <c r="A260" s="113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2"/>
      <c r="X260" s="2"/>
    </row>
    <row r="261" spans="1:24" s="112" customFormat="1" x14ac:dyDescent="0.25">
      <c r="A261" s="113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2"/>
      <c r="X261" s="2"/>
    </row>
    <row r="262" spans="1:24" s="112" customFormat="1" x14ac:dyDescent="0.25">
      <c r="A262" s="113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2"/>
      <c r="X262" s="2"/>
    </row>
    <row r="263" spans="1:24" s="112" customFormat="1" x14ac:dyDescent="0.25">
      <c r="A263" s="113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2"/>
      <c r="X263" s="2"/>
    </row>
    <row r="264" spans="1:24" s="112" customFormat="1" x14ac:dyDescent="0.25">
      <c r="A264" s="113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2"/>
      <c r="X264" s="2"/>
    </row>
    <row r="265" spans="1:24" s="112" customFormat="1" x14ac:dyDescent="0.25">
      <c r="A265" s="113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2"/>
      <c r="X265" s="2"/>
    </row>
    <row r="266" spans="1:24" s="112" customFormat="1" x14ac:dyDescent="0.25">
      <c r="A266" s="113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2"/>
      <c r="X266" s="2"/>
    </row>
    <row r="267" spans="1:24" s="112" customFormat="1" x14ac:dyDescent="0.25">
      <c r="A267" s="113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2"/>
      <c r="X267" s="2"/>
    </row>
    <row r="268" spans="1:24" s="112" customFormat="1" x14ac:dyDescent="0.25">
      <c r="A268" s="113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2"/>
      <c r="X268" s="2"/>
    </row>
    <row r="269" spans="1:24" s="112" customFormat="1" x14ac:dyDescent="0.25">
      <c r="A269" s="113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2"/>
      <c r="X269" s="2"/>
    </row>
    <row r="270" spans="1:24" s="112" customFormat="1" x14ac:dyDescent="0.25">
      <c r="A270" s="113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2"/>
      <c r="X270" s="2"/>
    </row>
    <row r="271" spans="1:24" s="112" customFormat="1" x14ac:dyDescent="0.25">
      <c r="A271" s="113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2"/>
      <c r="X271" s="2"/>
    </row>
    <row r="272" spans="1:24" s="112" customFormat="1" x14ac:dyDescent="0.25">
      <c r="A272" s="113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2"/>
      <c r="X272" s="2"/>
    </row>
    <row r="273" spans="1:24" s="112" customFormat="1" x14ac:dyDescent="0.25">
      <c r="A273" s="113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2"/>
      <c r="X273" s="2"/>
    </row>
    <row r="274" spans="1:24" s="112" customFormat="1" x14ac:dyDescent="0.25">
      <c r="A274" s="113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2"/>
      <c r="X274" s="2"/>
    </row>
    <row r="275" spans="1:24" s="112" customFormat="1" x14ac:dyDescent="0.25">
      <c r="A275" s="113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2"/>
      <c r="X275" s="2"/>
    </row>
    <row r="276" spans="1:24" s="112" customFormat="1" x14ac:dyDescent="0.25">
      <c r="A276" s="113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2"/>
      <c r="X276" s="2"/>
    </row>
    <row r="277" spans="1:24" s="112" customFormat="1" x14ac:dyDescent="0.25">
      <c r="A277" s="113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2"/>
      <c r="X277" s="2"/>
    </row>
    <row r="278" spans="1:24" s="112" customFormat="1" x14ac:dyDescent="0.25">
      <c r="A278" s="113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2"/>
      <c r="X278" s="2"/>
    </row>
    <row r="279" spans="1:24" s="112" customFormat="1" x14ac:dyDescent="0.25">
      <c r="A279" s="113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2"/>
      <c r="X279" s="2"/>
    </row>
    <row r="280" spans="1:24" s="112" customFormat="1" x14ac:dyDescent="0.25">
      <c r="A280" s="113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2"/>
      <c r="X280" s="2"/>
    </row>
    <row r="281" spans="1:24" s="112" customFormat="1" x14ac:dyDescent="0.25">
      <c r="A281" s="113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2"/>
      <c r="X281" s="2"/>
    </row>
    <row r="282" spans="1:24" s="112" customFormat="1" x14ac:dyDescent="0.25">
      <c r="A282" s="113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2"/>
      <c r="X282" s="2"/>
    </row>
    <row r="283" spans="1:24" s="112" customFormat="1" x14ac:dyDescent="0.25">
      <c r="A283" s="113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2"/>
      <c r="X283" s="2"/>
    </row>
    <row r="284" spans="1:24" s="112" customFormat="1" x14ac:dyDescent="0.25">
      <c r="A284" s="113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2"/>
      <c r="X284" s="2"/>
    </row>
    <row r="285" spans="1:24" s="112" customFormat="1" x14ac:dyDescent="0.25">
      <c r="A285" s="113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2"/>
      <c r="X285" s="2"/>
    </row>
    <row r="286" spans="1:24" s="112" customFormat="1" x14ac:dyDescent="0.25">
      <c r="A286" s="113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2"/>
      <c r="X286" s="2"/>
    </row>
    <row r="287" spans="1:24" s="112" customFormat="1" x14ac:dyDescent="0.25">
      <c r="A287" s="113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2"/>
      <c r="X287" s="2"/>
    </row>
    <row r="288" spans="1:24" s="112" customFormat="1" x14ac:dyDescent="0.25">
      <c r="A288" s="113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2"/>
      <c r="X288" s="2"/>
    </row>
    <row r="289" spans="1:24" s="112" customFormat="1" x14ac:dyDescent="0.25">
      <c r="A289" s="113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2"/>
      <c r="X289" s="2"/>
    </row>
    <row r="290" spans="1:24" s="112" customFormat="1" x14ac:dyDescent="0.25">
      <c r="A290" s="113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2"/>
      <c r="X290" s="2"/>
    </row>
    <row r="291" spans="1:24" s="112" customFormat="1" x14ac:dyDescent="0.25">
      <c r="A291" s="113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2"/>
      <c r="X291" s="2"/>
    </row>
    <row r="292" spans="1:24" s="112" customFormat="1" x14ac:dyDescent="0.25">
      <c r="A292" s="113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2"/>
      <c r="X292" s="2"/>
    </row>
    <row r="293" spans="1:24" s="112" customFormat="1" x14ac:dyDescent="0.25">
      <c r="A293" s="113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2"/>
      <c r="X293" s="2"/>
    </row>
    <row r="294" spans="1:24" s="112" customFormat="1" x14ac:dyDescent="0.25">
      <c r="A294" s="113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2"/>
      <c r="X294" s="2"/>
    </row>
    <row r="295" spans="1:24" s="112" customFormat="1" x14ac:dyDescent="0.25">
      <c r="A295" s="113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2"/>
      <c r="X295" s="2"/>
    </row>
    <row r="296" spans="1:24" s="112" customFormat="1" x14ac:dyDescent="0.25">
      <c r="A296" s="113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2"/>
      <c r="X296" s="2"/>
    </row>
    <row r="297" spans="1:24" s="112" customFormat="1" x14ac:dyDescent="0.25">
      <c r="A297" s="113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2"/>
      <c r="X297" s="2"/>
    </row>
    <row r="298" spans="1:24" s="112" customFormat="1" x14ac:dyDescent="0.25">
      <c r="A298" s="113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2"/>
      <c r="X298" s="2"/>
    </row>
    <row r="299" spans="1:24" s="112" customFormat="1" x14ac:dyDescent="0.25">
      <c r="A299" s="113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2"/>
      <c r="X299" s="2"/>
    </row>
    <row r="300" spans="1:24" s="112" customFormat="1" x14ac:dyDescent="0.25">
      <c r="A300" s="113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2"/>
      <c r="X300" s="2"/>
    </row>
    <row r="301" spans="1:24" s="112" customFormat="1" x14ac:dyDescent="0.25">
      <c r="A301" s="113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2"/>
      <c r="X301" s="2"/>
    </row>
    <row r="302" spans="1:24" s="112" customFormat="1" x14ac:dyDescent="0.25">
      <c r="A302" s="113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2"/>
      <c r="X302" s="2"/>
    </row>
    <row r="303" spans="1:24" s="112" customFormat="1" x14ac:dyDescent="0.25">
      <c r="A303" s="113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2"/>
      <c r="X303" s="2"/>
    </row>
    <row r="304" spans="1:24" s="112" customFormat="1" x14ac:dyDescent="0.25">
      <c r="A304" s="113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2"/>
      <c r="X304" s="2"/>
    </row>
    <row r="305" spans="1:24" s="112" customFormat="1" x14ac:dyDescent="0.25">
      <c r="A305" s="113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2"/>
      <c r="X305" s="2"/>
    </row>
    <row r="306" spans="1:24" s="112" customFormat="1" x14ac:dyDescent="0.25">
      <c r="A306" s="113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2"/>
      <c r="X306" s="2"/>
    </row>
    <row r="307" spans="1:24" s="112" customFormat="1" x14ac:dyDescent="0.25">
      <c r="A307" s="113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2"/>
      <c r="X307" s="2"/>
    </row>
    <row r="308" spans="1:24" s="112" customFormat="1" x14ac:dyDescent="0.25">
      <c r="A308" s="113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2"/>
      <c r="X308" s="2"/>
    </row>
    <row r="309" spans="1:24" s="112" customFormat="1" x14ac:dyDescent="0.25">
      <c r="A309" s="113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2"/>
      <c r="X309" s="2"/>
    </row>
    <row r="310" spans="1:24" s="112" customFormat="1" x14ac:dyDescent="0.25">
      <c r="A310" s="113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2"/>
      <c r="X310" s="2"/>
    </row>
    <row r="311" spans="1:24" s="112" customFormat="1" x14ac:dyDescent="0.25">
      <c r="A311" s="113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2"/>
      <c r="X311" s="2"/>
    </row>
    <row r="312" spans="1:24" s="112" customFormat="1" x14ac:dyDescent="0.25">
      <c r="A312" s="113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2"/>
      <c r="X312" s="2"/>
    </row>
    <row r="313" spans="1:24" s="112" customFormat="1" x14ac:dyDescent="0.25">
      <c r="A313" s="113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2"/>
      <c r="X313" s="2"/>
    </row>
    <row r="314" spans="1:24" s="112" customFormat="1" x14ac:dyDescent="0.25">
      <c r="A314" s="113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2"/>
      <c r="X314" s="2"/>
    </row>
    <row r="315" spans="1:24" s="112" customFormat="1" x14ac:dyDescent="0.25">
      <c r="A315" s="113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2"/>
      <c r="X315" s="2"/>
    </row>
    <row r="316" spans="1:24" s="112" customFormat="1" x14ac:dyDescent="0.25">
      <c r="A316" s="113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2"/>
      <c r="X316" s="2"/>
    </row>
    <row r="317" spans="1:24" s="112" customFormat="1" x14ac:dyDescent="0.25">
      <c r="A317" s="113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2"/>
      <c r="X317" s="2"/>
    </row>
    <row r="318" spans="1:24" s="112" customFormat="1" x14ac:dyDescent="0.25">
      <c r="A318" s="113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2"/>
      <c r="X318" s="2"/>
    </row>
    <row r="319" spans="1:24" s="112" customFormat="1" x14ac:dyDescent="0.25">
      <c r="A319" s="113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2"/>
      <c r="X319" s="2"/>
    </row>
    <row r="320" spans="1:24" s="112" customFormat="1" x14ac:dyDescent="0.25">
      <c r="A320" s="113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2"/>
      <c r="X320" s="2"/>
    </row>
    <row r="321" spans="1:24" s="112" customFormat="1" x14ac:dyDescent="0.25">
      <c r="A321" s="113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2"/>
      <c r="X321" s="2"/>
    </row>
    <row r="322" spans="1:24" s="112" customFormat="1" x14ac:dyDescent="0.25">
      <c r="A322" s="113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2"/>
      <c r="X322" s="2"/>
    </row>
    <row r="323" spans="1:24" s="112" customFormat="1" x14ac:dyDescent="0.25">
      <c r="A323" s="113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2"/>
      <c r="X323" s="2"/>
    </row>
    <row r="324" spans="1:24" s="112" customFormat="1" x14ac:dyDescent="0.25">
      <c r="A324" s="113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2"/>
      <c r="X324" s="2"/>
    </row>
    <row r="325" spans="1:24" s="112" customFormat="1" x14ac:dyDescent="0.25">
      <c r="A325" s="113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2"/>
      <c r="X325" s="2"/>
    </row>
    <row r="326" spans="1:24" s="112" customFormat="1" x14ac:dyDescent="0.25">
      <c r="A326" s="113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2"/>
      <c r="X326" s="2"/>
    </row>
    <row r="327" spans="1:24" s="112" customFormat="1" x14ac:dyDescent="0.25">
      <c r="A327" s="113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2"/>
      <c r="X327" s="2"/>
    </row>
    <row r="328" spans="1:24" s="112" customFormat="1" x14ac:dyDescent="0.25">
      <c r="A328" s="113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2"/>
      <c r="X328" s="2"/>
    </row>
    <row r="329" spans="1:24" s="112" customFormat="1" x14ac:dyDescent="0.25">
      <c r="A329" s="113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2"/>
      <c r="X329" s="2"/>
    </row>
    <row r="330" spans="1:24" s="112" customFormat="1" x14ac:dyDescent="0.25">
      <c r="A330" s="113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2"/>
      <c r="X330" s="2"/>
    </row>
    <row r="331" spans="1:24" s="112" customFormat="1" x14ac:dyDescent="0.25">
      <c r="A331" s="113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2"/>
      <c r="X331" s="2"/>
    </row>
    <row r="332" spans="1:24" s="112" customFormat="1" x14ac:dyDescent="0.25">
      <c r="A332" s="113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2"/>
      <c r="X332" s="2"/>
    </row>
    <row r="333" spans="1:24" s="112" customFormat="1" x14ac:dyDescent="0.25">
      <c r="A333" s="113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2"/>
      <c r="X333" s="2"/>
    </row>
    <row r="334" spans="1:24" s="112" customFormat="1" x14ac:dyDescent="0.25">
      <c r="A334" s="113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2"/>
      <c r="X334" s="2"/>
    </row>
    <row r="335" spans="1:24" s="112" customFormat="1" x14ac:dyDescent="0.25">
      <c r="A335" s="113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2"/>
      <c r="X335" s="2"/>
    </row>
    <row r="336" spans="1:24" s="112" customFormat="1" x14ac:dyDescent="0.25">
      <c r="A336" s="113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2"/>
      <c r="X336" s="2"/>
    </row>
    <row r="337" spans="1:24" s="112" customFormat="1" x14ac:dyDescent="0.25">
      <c r="A337" s="113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2"/>
      <c r="X337" s="2"/>
    </row>
    <row r="338" spans="1:24" s="112" customFormat="1" x14ac:dyDescent="0.25">
      <c r="A338" s="113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2"/>
      <c r="X338" s="2"/>
    </row>
    <row r="339" spans="1:24" s="112" customFormat="1" x14ac:dyDescent="0.25">
      <c r="A339" s="113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2"/>
      <c r="X339" s="2"/>
    </row>
    <row r="340" spans="1:24" s="112" customFormat="1" x14ac:dyDescent="0.25">
      <c r="A340" s="113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2"/>
      <c r="X340" s="2"/>
    </row>
    <row r="341" spans="1:24" s="112" customFormat="1" x14ac:dyDescent="0.25">
      <c r="A341" s="113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2"/>
      <c r="X341" s="2"/>
    </row>
    <row r="342" spans="1:24" s="112" customFormat="1" x14ac:dyDescent="0.25">
      <c r="A342" s="113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2"/>
      <c r="X342" s="2"/>
    </row>
    <row r="343" spans="1:24" s="112" customFormat="1" x14ac:dyDescent="0.25">
      <c r="A343" s="113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2"/>
      <c r="X343" s="2"/>
    </row>
    <row r="344" spans="1:24" s="112" customFormat="1" x14ac:dyDescent="0.25">
      <c r="A344" s="113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2"/>
      <c r="X344" s="2"/>
    </row>
    <row r="345" spans="1:24" s="112" customFormat="1" x14ac:dyDescent="0.25">
      <c r="A345" s="113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2"/>
      <c r="X345" s="2"/>
    </row>
    <row r="346" spans="1:24" s="112" customFormat="1" x14ac:dyDescent="0.25">
      <c r="A346" s="113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2"/>
      <c r="X346" s="2"/>
    </row>
    <row r="347" spans="1:24" s="112" customFormat="1" x14ac:dyDescent="0.25">
      <c r="A347" s="113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2"/>
      <c r="X347" s="2"/>
    </row>
    <row r="348" spans="1:24" s="112" customFormat="1" x14ac:dyDescent="0.25">
      <c r="A348" s="113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2"/>
      <c r="X348" s="2"/>
    </row>
    <row r="349" spans="1:24" s="112" customFormat="1" x14ac:dyDescent="0.25">
      <c r="A349" s="113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2"/>
      <c r="X349" s="2"/>
    </row>
    <row r="350" spans="1:24" s="112" customFormat="1" x14ac:dyDescent="0.25">
      <c r="A350" s="113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2"/>
      <c r="X350" s="2"/>
    </row>
    <row r="351" spans="1:24" s="112" customFormat="1" x14ac:dyDescent="0.25">
      <c r="A351" s="113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2"/>
      <c r="X351" s="2"/>
    </row>
    <row r="352" spans="1:24" s="112" customFormat="1" x14ac:dyDescent="0.25">
      <c r="A352" s="113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2"/>
      <c r="X352" s="2"/>
    </row>
    <row r="353" spans="1:24" s="112" customFormat="1" x14ac:dyDescent="0.25">
      <c r="A353" s="113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2"/>
      <c r="X353" s="2"/>
    </row>
    <row r="354" spans="1:24" s="112" customFormat="1" x14ac:dyDescent="0.25">
      <c r="A354" s="113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2"/>
      <c r="X354" s="2"/>
    </row>
    <row r="355" spans="1:24" s="112" customFormat="1" x14ac:dyDescent="0.25">
      <c r="A355" s="113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2"/>
      <c r="X355" s="2"/>
    </row>
    <row r="356" spans="1:24" s="112" customFormat="1" x14ac:dyDescent="0.25">
      <c r="A356" s="113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2"/>
      <c r="X356" s="2"/>
    </row>
    <row r="357" spans="1:24" s="112" customFormat="1" x14ac:dyDescent="0.25">
      <c r="A357" s="113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2"/>
      <c r="X357" s="2"/>
    </row>
    <row r="358" spans="1:24" s="112" customFormat="1" x14ac:dyDescent="0.25">
      <c r="A358" s="113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2"/>
      <c r="X358" s="2"/>
    </row>
    <row r="359" spans="1:24" s="112" customFormat="1" x14ac:dyDescent="0.25">
      <c r="A359" s="113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2"/>
      <c r="X359" s="2"/>
    </row>
    <row r="360" spans="1:24" s="112" customFormat="1" x14ac:dyDescent="0.25">
      <c r="A360" s="113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2"/>
      <c r="X360" s="2"/>
    </row>
    <row r="361" spans="1:24" s="112" customFormat="1" x14ac:dyDescent="0.25">
      <c r="A361" s="113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2"/>
      <c r="X361" s="2"/>
    </row>
    <row r="362" spans="1:24" s="112" customFormat="1" x14ac:dyDescent="0.25">
      <c r="A362" s="113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2"/>
      <c r="X362" s="2"/>
    </row>
    <row r="363" spans="1:24" s="112" customFormat="1" x14ac:dyDescent="0.25">
      <c r="A363" s="113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2"/>
      <c r="X363" s="2"/>
    </row>
    <row r="364" spans="1:24" s="112" customFormat="1" x14ac:dyDescent="0.25">
      <c r="A364" s="113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2"/>
      <c r="X364" s="2"/>
    </row>
    <row r="365" spans="1:24" s="112" customFormat="1" x14ac:dyDescent="0.25">
      <c r="A365" s="113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2"/>
      <c r="X365" s="2"/>
    </row>
    <row r="366" spans="1:24" s="112" customFormat="1" x14ac:dyDescent="0.25">
      <c r="A366" s="113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2"/>
      <c r="X366" s="2"/>
    </row>
    <row r="367" spans="1:24" s="112" customFormat="1" x14ac:dyDescent="0.25">
      <c r="A367" s="113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2"/>
      <c r="X367" s="2"/>
    </row>
    <row r="368" spans="1:24" s="112" customFormat="1" x14ac:dyDescent="0.25">
      <c r="A368" s="113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2"/>
      <c r="X368" s="2"/>
    </row>
    <row r="369" spans="1:24" s="112" customFormat="1" x14ac:dyDescent="0.25">
      <c r="A369" s="113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2"/>
      <c r="X369" s="2"/>
    </row>
    <row r="370" spans="1:24" s="112" customFormat="1" x14ac:dyDescent="0.25">
      <c r="A370" s="113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2"/>
      <c r="X370" s="2"/>
    </row>
    <row r="371" spans="1:24" s="112" customFormat="1" x14ac:dyDescent="0.25">
      <c r="A371" s="113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2"/>
      <c r="X371" s="2"/>
    </row>
    <row r="372" spans="1:24" s="112" customFormat="1" x14ac:dyDescent="0.25">
      <c r="A372" s="113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2"/>
      <c r="X372" s="2"/>
    </row>
    <row r="373" spans="1:24" s="112" customFormat="1" x14ac:dyDescent="0.25">
      <c r="A373" s="113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2"/>
      <c r="X373" s="2"/>
    </row>
    <row r="374" spans="1:24" s="112" customFormat="1" x14ac:dyDescent="0.25">
      <c r="A374" s="113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2"/>
      <c r="X374" s="2"/>
    </row>
    <row r="375" spans="1:24" s="112" customFormat="1" x14ac:dyDescent="0.25">
      <c r="A375" s="113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2"/>
      <c r="X375" s="2"/>
    </row>
    <row r="376" spans="1:24" s="112" customFormat="1" x14ac:dyDescent="0.25">
      <c r="A376" s="113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2"/>
      <c r="X376" s="2"/>
    </row>
    <row r="377" spans="1:24" s="112" customFormat="1" x14ac:dyDescent="0.25">
      <c r="A377" s="113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2"/>
      <c r="X377" s="2"/>
    </row>
    <row r="378" spans="1:24" s="112" customFormat="1" x14ac:dyDescent="0.25">
      <c r="A378" s="113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2"/>
      <c r="X378" s="2"/>
    </row>
    <row r="379" spans="1:24" s="112" customFormat="1" x14ac:dyDescent="0.25">
      <c r="A379" s="113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2"/>
      <c r="X379" s="2"/>
    </row>
    <row r="380" spans="1:24" s="112" customFormat="1" x14ac:dyDescent="0.25">
      <c r="A380" s="113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2"/>
      <c r="X380" s="2"/>
    </row>
    <row r="381" spans="1:24" s="112" customFormat="1" x14ac:dyDescent="0.25">
      <c r="A381" s="113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2"/>
      <c r="X381" s="2"/>
    </row>
    <row r="382" spans="1:24" s="112" customFormat="1" x14ac:dyDescent="0.25">
      <c r="A382" s="113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2"/>
      <c r="X382" s="2"/>
    </row>
    <row r="383" spans="1:24" s="112" customFormat="1" x14ac:dyDescent="0.25">
      <c r="A383" s="113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2"/>
      <c r="X383" s="2"/>
    </row>
    <row r="384" spans="1:24" s="112" customFormat="1" x14ac:dyDescent="0.25">
      <c r="A384" s="113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2"/>
      <c r="X384" s="2"/>
    </row>
    <row r="385" spans="1:24" s="112" customFormat="1" x14ac:dyDescent="0.25">
      <c r="A385" s="113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2"/>
      <c r="X385" s="2"/>
    </row>
    <row r="386" spans="1:24" s="112" customFormat="1" x14ac:dyDescent="0.25">
      <c r="A386" s="113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2"/>
      <c r="X386" s="2"/>
    </row>
    <row r="387" spans="1:24" s="112" customFormat="1" x14ac:dyDescent="0.25">
      <c r="A387" s="113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2"/>
      <c r="X387" s="2"/>
    </row>
    <row r="388" spans="1:24" s="112" customFormat="1" x14ac:dyDescent="0.25">
      <c r="A388" s="113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2"/>
      <c r="X388" s="2"/>
    </row>
    <row r="389" spans="1:24" s="112" customFormat="1" x14ac:dyDescent="0.25">
      <c r="A389" s="113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2"/>
      <c r="X389" s="2"/>
    </row>
    <row r="390" spans="1:24" s="112" customFormat="1" x14ac:dyDescent="0.25">
      <c r="A390" s="113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2"/>
      <c r="X390" s="2"/>
    </row>
    <row r="391" spans="1:24" s="112" customFormat="1" x14ac:dyDescent="0.25">
      <c r="A391" s="113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2"/>
      <c r="X391" s="2"/>
    </row>
    <row r="392" spans="1:24" s="112" customFormat="1" x14ac:dyDescent="0.25">
      <c r="A392" s="113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2"/>
      <c r="X392" s="2"/>
    </row>
    <row r="393" spans="1:24" s="112" customFormat="1" x14ac:dyDescent="0.25">
      <c r="A393" s="113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2"/>
      <c r="X393" s="2"/>
    </row>
    <row r="394" spans="1:24" s="112" customFormat="1" x14ac:dyDescent="0.25">
      <c r="A394" s="113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2"/>
      <c r="X394" s="2"/>
    </row>
    <row r="395" spans="1:24" s="112" customFormat="1" x14ac:dyDescent="0.25">
      <c r="A395" s="113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2"/>
      <c r="X395" s="2"/>
    </row>
    <row r="396" spans="1:24" s="112" customFormat="1" x14ac:dyDescent="0.25">
      <c r="A396" s="113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2"/>
      <c r="X396" s="2"/>
    </row>
    <row r="397" spans="1:24" s="112" customFormat="1" x14ac:dyDescent="0.25">
      <c r="A397" s="113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2"/>
      <c r="X397" s="2"/>
    </row>
    <row r="398" spans="1:24" s="112" customFormat="1" x14ac:dyDescent="0.25">
      <c r="A398" s="113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2"/>
      <c r="X398" s="2"/>
    </row>
    <row r="399" spans="1:24" s="112" customFormat="1" x14ac:dyDescent="0.25">
      <c r="A399" s="113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2"/>
      <c r="X399" s="2"/>
    </row>
    <row r="400" spans="1:24" s="112" customFormat="1" x14ac:dyDescent="0.25">
      <c r="A400" s="113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2"/>
      <c r="X400" s="2"/>
    </row>
    <row r="401" spans="1:24" s="112" customFormat="1" x14ac:dyDescent="0.25">
      <c r="A401" s="113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2"/>
      <c r="X401" s="2"/>
    </row>
    <row r="402" spans="1:24" s="112" customFormat="1" x14ac:dyDescent="0.25">
      <c r="A402" s="113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2"/>
      <c r="X402" s="2"/>
    </row>
    <row r="403" spans="1:24" s="112" customFormat="1" x14ac:dyDescent="0.25">
      <c r="A403" s="113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2"/>
      <c r="X403" s="2"/>
    </row>
    <row r="404" spans="1:24" s="112" customFormat="1" x14ac:dyDescent="0.25">
      <c r="A404" s="113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2"/>
      <c r="X404" s="2"/>
    </row>
    <row r="405" spans="1:24" s="112" customFormat="1" x14ac:dyDescent="0.25">
      <c r="A405" s="113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2"/>
      <c r="X405" s="2"/>
    </row>
    <row r="406" spans="1:24" s="112" customFormat="1" x14ac:dyDescent="0.25">
      <c r="A406" s="113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2"/>
      <c r="X406" s="2"/>
    </row>
    <row r="407" spans="1:24" s="112" customFormat="1" x14ac:dyDescent="0.25">
      <c r="A407" s="113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2"/>
      <c r="X407" s="2"/>
    </row>
    <row r="408" spans="1:24" s="112" customFormat="1" x14ac:dyDescent="0.25">
      <c r="A408" s="113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2"/>
      <c r="X408" s="2"/>
    </row>
    <row r="409" spans="1:24" s="112" customFormat="1" x14ac:dyDescent="0.25">
      <c r="A409" s="113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2"/>
      <c r="X409" s="2"/>
    </row>
    <row r="410" spans="1:24" s="112" customFormat="1" x14ac:dyDescent="0.25">
      <c r="A410" s="113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2"/>
      <c r="X410" s="2"/>
    </row>
    <row r="411" spans="1:24" s="112" customFormat="1" x14ac:dyDescent="0.25">
      <c r="A411" s="113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2"/>
      <c r="X411" s="2"/>
    </row>
    <row r="412" spans="1:24" s="112" customFormat="1" x14ac:dyDescent="0.25">
      <c r="A412" s="113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2"/>
      <c r="X412" s="2"/>
    </row>
    <row r="413" spans="1:24" s="112" customFormat="1" x14ac:dyDescent="0.25">
      <c r="A413" s="113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2"/>
      <c r="X413" s="2"/>
    </row>
    <row r="414" spans="1:24" s="112" customFormat="1" x14ac:dyDescent="0.25">
      <c r="A414" s="113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2"/>
      <c r="X414" s="2"/>
    </row>
    <row r="415" spans="1:24" s="112" customFormat="1" x14ac:dyDescent="0.25">
      <c r="A415" s="113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2"/>
      <c r="X415" s="2"/>
    </row>
    <row r="416" spans="1:24" s="112" customFormat="1" x14ac:dyDescent="0.25">
      <c r="A416" s="113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2"/>
      <c r="X416" s="2"/>
    </row>
    <row r="417" spans="1:24" s="112" customFormat="1" x14ac:dyDescent="0.25">
      <c r="A417" s="113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2"/>
      <c r="X417" s="2"/>
    </row>
    <row r="418" spans="1:24" s="112" customFormat="1" x14ac:dyDescent="0.25">
      <c r="A418" s="113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2"/>
      <c r="X418" s="2"/>
    </row>
    <row r="419" spans="1:24" s="112" customFormat="1" x14ac:dyDescent="0.25">
      <c r="A419" s="113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2"/>
      <c r="X419" s="2"/>
    </row>
    <row r="420" spans="1:24" s="112" customFormat="1" x14ac:dyDescent="0.25">
      <c r="A420" s="113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2"/>
      <c r="X420" s="2"/>
    </row>
    <row r="421" spans="1:24" s="112" customFormat="1" x14ac:dyDescent="0.25">
      <c r="A421" s="113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2"/>
      <c r="X421" s="2"/>
    </row>
    <row r="422" spans="1:24" s="112" customFormat="1" x14ac:dyDescent="0.25">
      <c r="A422" s="113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2"/>
      <c r="X422" s="2"/>
    </row>
    <row r="423" spans="1:24" s="112" customFormat="1" x14ac:dyDescent="0.25">
      <c r="A423" s="113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2"/>
      <c r="X423" s="2"/>
    </row>
    <row r="424" spans="1:24" s="112" customFormat="1" x14ac:dyDescent="0.25">
      <c r="A424" s="113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2"/>
      <c r="X424" s="2"/>
    </row>
    <row r="425" spans="1:24" s="112" customFormat="1" x14ac:dyDescent="0.25">
      <c r="A425" s="113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2"/>
      <c r="X425" s="2"/>
    </row>
    <row r="426" spans="1:24" s="112" customFormat="1" x14ac:dyDescent="0.25">
      <c r="A426" s="113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2"/>
      <c r="X426" s="2"/>
    </row>
    <row r="427" spans="1:24" s="112" customFormat="1" x14ac:dyDescent="0.25">
      <c r="A427" s="113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2"/>
      <c r="X427" s="2"/>
    </row>
    <row r="428" spans="1:24" s="112" customFormat="1" x14ac:dyDescent="0.25">
      <c r="A428" s="113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2"/>
      <c r="X428" s="2"/>
    </row>
    <row r="429" spans="1:24" s="112" customFormat="1" x14ac:dyDescent="0.25">
      <c r="A429" s="113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2"/>
      <c r="X429" s="2"/>
    </row>
    <row r="430" spans="1:24" s="112" customFormat="1" x14ac:dyDescent="0.25">
      <c r="A430" s="113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2"/>
      <c r="X430" s="2"/>
    </row>
    <row r="431" spans="1:24" s="112" customFormat="1" x14ac:dyDescent="0.25">
      <c r="A431" s="113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2"/>
      <c r="X431" s="2"/>
    </row>
    <row r="432" spans="1:24" s="112" customFormat="1" x14ac:dyDescent="0.25">
      <c r="A432" s="113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2"/>
      <c r="X432" s="2"/>
    </row>
    <row r="433" spans="1:24" s="112" customFormat="1" x14ac:dyDescent="0.25">
      <c r="A433" s="113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2"/>
      <c r="X433" s="2"/>
    </row>
    <row r="434" spans="1:24" s="112" customFormat="1" x14ac:dyDescent="0.25">
      <c r="A434" s="113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2"/>
      <c r="X434" s="2"/>
    </row>
    <row r="435" spans="1:24" s="112" customFormat="1" x14ac:dyDescent="0.25">
      <c r="A435" s="113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2"/>
      <c r="X435" s="2"/>
    </row>
    <row r="436" spans="1:24" s="112" customFormat="1" x14ac:dyDescent="0.25">
      <c r="A436" s="113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2"/>
      <c r="X436" s="2"/>
    </row>
    <row r="437" spans="1:24" s="112" customFormat="1" x14ac:dyDescent="0.25">
      <c r="A437" s="113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2"/>
      <c r="X437" s="2"/>
    </row>
    <row r="438" spans="1:24" s="112" customFormat="1" x14ac:dyDescent="0.25">
      <c r="A438" s="113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2"/>
      <c r="X438" s="2"/>
    </row>
    <row r="439" spans="1:24" s="112" customFormat="1" x14ac:dyDescent="0.25">
      <c r="A439" s="113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2"/>
      <c r="X439" s="2"/>
    </row>
    <row r="440" spans="1:24" s="112" customFormat="1" x14ac:dyDescent="0.25">
      <c r="A440" s="113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2"/>
      <c r="X440" s="2"/>
    </row>
    <row r="441" spans="1:24" s="112" customFormat="1" x14ac:dyDescent="0.25">
      <c r="A441" s="113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2"/>
      <c r="X441" s="2"/>
    </row>
    <row r="442" spans="1:24" s="112" customFormat="1" x14ac:dyDescent="0.25">
      <c r="A442" s="113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2"/>
      <c r="X442" s="2"/>
    </row>
    <row r="443" spans="1:24" s="112" customFormat="1" x14ac:dyDescent="0.25">
      <c r="A443" s="113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2"/>
      <c r="X443" s="2"/>
    </row>
    <row r="444" spans="1:24" s="112" customFormat="1" x14ac:dyDescent="0.25">
      <c r="A444" s="113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2"/>
      <c r="X444" s="2"/>
    </row>
    <row r="445" spans="1:24" s="112" customFormat="1" x14ac:dyDescent="0.25">
      <c r="A445" s="113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2"/>
      <c r="X445" s="2"/>
    </row>
    <row r="446" spans="1:24" s="112" customFormat="1" x14ac:dyDescent="0.25">
      <c r="A446" s="113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2"/>
      <c r="X446" s="2"/>
    </row>
    <row r="447" spans="1:24" s="112" customFormat="1" x14ac:dyDescent="0.25">
      <c r="A447" s="113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2"/>
      <c r="X447" s="2"/>
    </row>
    <row r="448" spans="1:24" s="112" customFormat="1" x14ac:dyDescent="0.25">
      <c r="A448" s="113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2"/>
      <c r="X448" s="2"/>
    </row>
    <row r="449" spans="1:24" s="112" customFormat="1" x14ac:dyDescent="0.25">
      <c r="A449" s="113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2"/>
      <c r="X449" s="2"/>
    </row>
    <row r="450" spans="1:24" s="112" customFormat="1" x14ac:dyDescent="0.25">
      <c r="A450" s="113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2"/>
      <c r="X450" s="2"/>
    </row>
    <row r="451" spans="1:24" s="112" customFormat="1" x14ac:dyDescent="0.25">
      <c r="A451" s="113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2"/>
      <c r="X451" s="2"/>
    </row>
    <row r="452" spans="1:24" s="112" customFormat="1" x14ac:dyDescent="0.25">
      <c r="A452" s="113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2"/>
      <c r="X452" s="2"/>
    </row>
    <row r="453" spans="1:24" s="112" customFormat="1" x14ac:dyDescent="0.25">
      <c r="A453" s="113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2"/>
      <c r="X453" s="2"/>
    </row>
    <row r="454" spans="1:24" s="112" customFormat="1" x14ac:dyDescent="0.25">
      <c r="A454" s="113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2"/>
      <c r="X454" s="2"/>
    </row>
    <row r="455" spans="1:24" s="112" customFormat="1" x14ac:dyDescent="0.25">
      <c r="A455" s="113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2"/>
      <c r="X455" s="2"/>
    </row>
    <row r="456" spans="1:24" s="112" customFormat="1" x14ac:dyDescent="0.25">
      <c r="A456" s="113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2"/>
      <c r="X456" s="2"/>
    </row>
    <row r="457" spans="1:24" s="112" customFormat="1" x14ac:dyDescent="0.25">
      <c r="A457" s="113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2"/>
      <c r="X457" s="2"/>
    </row>
    <row r="458" spans="1:24" s="112" customFormat="1" x14ac:dyDescent="0.25">
      <c r="A458" s="113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2"/>
      <c r="X458" s="2"/>
    </row>
    <row r="459" spans="1:24" s="112" customFormat="1" x14ac:dyDescent="0.25">
      <c r="A459" s="113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2"/>
      <c r="X459" s="2"/>
    </row>
    <row r="460" spans="1:24" s="112" customFormat="1" x14ac:dyDescent="0.25">
      <c r="A460" s="113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2"/>
      <c r="X460" s="2"/>
    </row>
    <row r="461" spans="1:24" s="112" customFormat="1" x14ac:dyDescent="0.25">
      <c r="A461" s="113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2"/>
      <c r="X461" s="2"/>
    </row>
    <row r="462" spans="1:24" s="112" customFormat="1" x14ac:dyDescent="0.25">
      <c r="A462" s="113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2"/>
      <c r="X462" s="2"/>
    </row>
    <row r="463" spans="1:24" s="112" customFormat="1" x14ac:dyDescent="0.25">
      <c r="A463" s="113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2"/>
      <c r="X463" s="2"/>
    </row>
    <row r="464" spans="1:24" s="112" customFormat="1" x14ac:dyDescent="0.25">
      <c r="A464" s="113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2"/>
      <c r="X464" s="2"/>
    </row>
    <row r="465" spans="1:24" s="112" customFormat="1" x14ac:dyDescent="0.25">
      <c r="A465" s="113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2"/>
      <c r="X465" s="2"/>
    </row>
    <row r="466" spans="1:24" s="112" customFormat="1" x14ac:dyDescent="0.25">
      <c r="A466" s="113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2"/>
      <c r="X466" s="2"/>
    </row>
    <row r="467" spans="1:24" s="112" customFormat="1" x14ac:dyDescent="0.25">
      <c r="A467" s="113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2"/>
      <c r="X467" s="2"/>
    </row>
    <row r="468" spans="1:24" s="112" customFormat="1" x14ac:dyDescent="0.25">
      <c r="A468" s="113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2"/>
      <c r="X468" s="2"/>
    </row>
    <row r="469" spans="1:24" s="112" customFormat="1" x14ac:dyDescent="0.25">
      <c r="A469" s="113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2"/>
      <c r="X469" s="2"/>
    </row>
    <row r="470" spans="1:24" s="112" customFormat="1" x14ac:dyDescent="0.25">
      <c r="A470" s="113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2"/>
      <c r="X470" s="2"/>
    </row>
    <row r="471" spans="1:24" s="112" customFormat="1" x14ac:dyDescent="0.25">
      <c r="A471" s="113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2"/>
      <c r="X471" s="2"/>
    </row>
    <row r="472" spans="1:24" s="112" customFormat="1" x14ac:dyDescent="0.25">
      <c r="A472" s="113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2"/>
      <c r="X472" s="2"/>
    </row>
    <row r="473" spans="1:24" s="112" customFormat="1" x14ac:dyDescent="0.25">
      <c r="A473" s="113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2"/>
      <c r="X473" s="2"/>
    </row>
    <row r="474" spans="1:24" s="112" customFormat="1" x14ac:dyDescent="0.25">
      <c r="A474" s="113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2"/>
      <c r="X474" s="2"/>
    </row>
    <row r="475" spans="1:24" s="112" customFormat="1" x14ac:dyDescent="0.25">
      <c r="A475" s="113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2"/>
      <c r="X475" s="2"/>
    </row>
    <row r="476" spans="1:24" s="112" customFormat="1" x14ac:dyDescent="0.25">
      <c r="A476" s="113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2"/>
      <c r="X476" s="2"/>
    </row>
    <row r="477" spans="1:24" s="112" customFormat="1" x14ac:dyDescent="0.25">
      <c r="A477" s="113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2"/>
      <c r="X477" s="2"/>
    </row>
    <row r="478" spans="1:24" s="112" customFormat="1" x14ac:dyDescent="0.25">
      <c r="A478" s="113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2"/>
      <c r="X478" s="2"/>
    </row>
    <row r="479" spans="1:24" s="112" customFormat="1" x14ac:dyDescent="0.25">
      <c r="A479" s="113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2"/>
      <c r="X479" s="2"/>
    </row>
    <row r="480" spans="1:24" s="112" customFormat="1" x14ac:dyDescent="0.25">
      <c r="A480" s="113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2"/>
      <c r="X480" s="2"/>
    </row>
    <row r="481" spans="1:24" s="112" customFormat="1" x14ac:dyDescent="0.25">
      <c r="A481" s="113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2"/>
      <c r="X481" s="2"/>
    </row>
    <row r="482" spans="1:24" s="112" customFormat="1" x14ac:dyDescent="0.25">
      <c r="A482" s="113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2"/>
      <c r="X482" s="2"/>
    </row>
    <row r="483" spans="1:24" s="112" customFormat="1" x14ac:dyDescent="0.25">
      <c r="A483" s="113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2"/>
      <c r="X483" s="2"/>
    </row>
    <row r="484" spans="1:24" s="112" customFormat="1" x14ac:dyDescent="0.25">
      <c r="A484" s="113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2"/>
      <c r="X484" s="2"/>
    </row>
    <row r="485" spans="1:24" s="112" customFormat="1" x14ac:dyDescent="0.25">
      <c r="A485" s="113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2"/>
      <c r="X485" s="2"/>
    </row>
    <row r="486" spans="1:24" s="112" customFormat="1" x14ac:dyDescent="0.25">
      <c r="A486" s="113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2"/>
      <c r="X486" s="2"/>
    </row>
    <row r="487" spans="1:24" s="112" customFormat="1" x14ac:dyDescent="0.25">
      <c r="A487" s="113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2"/>
      <c r="X487" s="2"/>
    </row>
    <row r="488" spans="1:24" s="112" customFormat="1" x14ac:dyDescent="0.25">
      <c r="A488" s="113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2"/>
      <c r="X488" s="2"/>
    </row>
    <row r="489" spans="1:24" s="112" customFormat="1" x14ac:dyDescent="0.25">
      <c r="A489" s="113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2"/>
      <c r="X489" s="2"/>
    </row>
    <row r="490" spans="1:24" s="112" customFormat="1" x14ac:dyDescent="0.25">
      <c r="A490" s="113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2"/>
      <c r="X490" s="2"/>
    </row>
    <row r="491" spans="1:24" s="112" customFormat="1" x14ac:dyDescent="0.25">
      <c r="A491" s="113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2"/>
      <c r="X491" s="2"/>
    </row>
    <row r="492" spans="1:24" s="112" customFormat="1" x14ac:dyDescent="0.25">
      <c r="A492" s="113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2"/>
      <c r="X492" s="2"/>
    </row>
    <row r="493" spans="1:24" s="112" customFormat="1" x14ac:dyDescent="0.25">
      <c r="A493" s="113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2"/>
      <c r="X493" s="2"/>
    </row>
    <row r="494" spans="1:24" s="112" customFormat="1" x14ac:dyDescent="0.25">
      <c r="A494" s="113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2"/>
      <c r="X494" s="2"/>
    </row>
    <row r="495" spans="1:24" s="112" customFormat="1" x14ac:dyDescent="0.25">
      <c r="A495" s="113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2"/>
      <c r="X495" s="2"/>
    </row>
    <row r="496" spans="1:24" s="112" customFormat="1" x14ac:dyDescent="0.25">
      <c r="A496" s="113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2"/>
      <c r="X496" s="2"/>
    </row>
    <row r="497" spans="1:24" s="112" customFormat="1" x14ac:dyDescent="0.25">
      <c r="A497" s="113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2"/>
      <c r="X497" s="2"/>
    </row>
    <row r="498" spans="1:24" s="112" customFormat="1" x14ac:dyDescent="0.25">
      <c r="A498" s="113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2"/>
      <c r="X498" s="2"/>
    </row>
    <row r="499" spans="1:24" s="112" customFormat="1" x14ac:dyDescent="0.25">
      <c r="A499" s="113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2"/>
      <c r="X499" s="2"/>
    </row>
    <row r="500" spans="1:24" s="112" customFormat="1" x14ac:dyDescent="0.25">
      <c r="A500" s="113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2"/>
      <c r="X500" s="2"/>
    </row>
    <row r="501" spans="1:24" s="112" customFormat="1" x14ac:dyDescent="0.25">
      <c r="A501" s="113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2"/>
      <c r="X501" s="2"/>
    </row>
    <row r="502" spans="1:24" s="112" customFormat="1" x14ac:dyDescent="0.25">
      <c r="A502" s="113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2"/>
      <c r="X502" s="2"/>
    </row>
    <row r="503" spans="1:24" s="112" customFormat="1" x14ac:dyDescent="0.25">
      <c r="A503" s="113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2"/>
      <c r="X503" s="2"/>
    </row>
    <row r="504" spans="1:24" s="112" customFormat="1" x14ac:dyDescent="0.25">
      <c r="A504" s="113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2"/>
      <c r="X504" s="2"/>
    </row>
    <row r="505" spans="1:24" s="112" customFormat="1" x14ac:dyDescent="0.25">
      <c r="A505" s="113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2"/>
      <c r="X505" s="2"/>
    </row>
    <row r="506" spans="1:24" s="112" customFormat="1" x14ac:dyDescent="0.25">
      <c r="A506" s="113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2"/>
      <c r="X506" s="2"/>
    </row>
    <row r="507" spans="1:24" s="112" customFormat="1" x14ac:dyDescent="0.25">
      <c r="A507" s="113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2"/>
      <c r="X507" s="2"/>
    </row>
    <row r="508" spans="1:24" s="112" customFormat="1" x14ac:dyDescent="0.25">
      <c r="A508" s="113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2"/>
      <c r="X508" s="2"/>
    </row>
    <row r="509" spans="1:24" s="112" customFormat="1" x14ac:dyDescent="0.25">
      <c r="A509" s="113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2"/>
      <c r="X509" s="2"/>
    </row>
    <row r="510" spans="1:24" s="112" customFormat="1" x14ac:dyDescent="0.25">
      <c r="A510" s="113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2"/>
      <c r="X510" s="2"/>
    </row>
    <row r="511" spans="1:24" s="112" customFormat="1" x14ac:dyDescent="0.25">
      <c r="A511" s="113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2"/>
      <c r="X511" s="2"/>
    </row>
    <row r="512" spans="1:24" s="112" customFormat="1" x14ac:dyDescent="0.25">
      <c r="A512" s="113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2"/>
      <c r="X512" s="2"/>
    </row>
    <row r="513" spans="1:24" s="112" customFormat="1" x14ac:dyDescent="0.25">
      <c r="A513" s="113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2"/>
      <c r="X513" s="2"/>
    </row>
    <row r="514" spans="1:24" s="112" customFormat="1" x14ac:dyDescent="0.25">
      <c r="A514" s="113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2"/>
      <c r="X514" s="2"/>
    </row>
    <row r="515" spans="1:24" s="112" customFormat="1" x14ac:dyDescent="0.25">
      <c r="A515" s="113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2"/>
      <c r="X515" s="2"/>
    </row>
    <row r="516" spans="1:24" s="112" customFormat="1" x14ac:dyDescent="0.25">
      <c r="A516" s="113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2"/>
      <c r="X516" s="2"/>
    </row>
    <row r="517" spans="1:24" s="112" customFormat="1" x14ac:dyDescent="0.25">
      <c r="A517" s="113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2"/>
      <c r="X517" s="2"/>
    </row>
    <row r="518" spans="1:24" s="112" customFormat="1" x14ac:dyDescent="0.25">
      <c r="A518" s="113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2"/>
      <c r="X518" s="2"/>
    </row>
    <row r="519" spans="1:24" s="112" customFormat="1" x14ac:dyDescent="0.25">
      <c r="A519" s="113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2"/>
      <c r="X519" s="2"/>
    </row>
    <row r="520" spans="1:24" s="112" customFormat="1" x14ac:dyDescent="0.25">
      <c r="A520" s="113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2"/>
      <c r="X520" s="2"/>
    </row>
    <row r="521" spans="1:24" s="112" customFormat="1" x14ac:dyDescent="0.25">
      <c r="A521" s="113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2"/>
      <c r="X521" s="2"/>
    </row>
    <row r="522" spans="1:24" s="112" customFormat="1" x14ac:dyDescent="0.25">
      <c r="A522" s="113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2"/>
      <c r="X522" s="2"/>
    </row>
    <row r="523" spans="1:24" s="112" customFormat="1" x14ac:dyDescent="0.25">
      <c r="A523" s="113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2"/>
      <c r="X523" s="2"/>
    </row>
    <row r="524" spans="1:24" s="112" customFormat="1" x14ac:dyDescent="0.25">
      <c r="A524" s="113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2"/>
      <c r="X524" s="2"/>
    </row>
    <row r="525" spans="1:24" s="112" customFormat="1" x14ac:dyDescent="0.25">
      <c r="A525" s="113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2"/>
      <c r="X525" s="2"/>
    </row>
    <row r="526" spans="1:24" s="112" customFormat="1" x14ac:dyDescent="0.25">
      <c r="A526" s="113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2"/>
      <c r="X526" s="2"/>
    </row>
    <row r="527" spans="1:24" s="112" customFormat="1" x14ac:dyDescent="0.25">
      <c r="A527" s="113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2"/>
      <c r="X527" s="2"/>
    </row>
    <row r="528" spans="1:24" s="112" customFormat="1" x14ac:dyDescent="0.25">
      <c r="A528" s="113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2"/>
      <c r="X528" s="2"/>
    </row>
    <row r="529" spans="1:24" s="112" customFormat="1" x14ac:dyDescent="0.25">
      <c r="A529" s="113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2"/>
      <c r="X529" s="2"/>
    </row>
    <row r="530" spans="1:24" s="112" customFormat="1" x14ac:dyDescent="0.25">
      <c r="A530" s="113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2"/>
      <c r="X530" s="2"/>
    </row>
    <row r="531" spans="1:24" s="112" customFormat="1" x14ac:dyDescent="0.25">
      <c r="A531" s="113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2"/>
      <c r="X531" s="2"/>
    </row>
    <row r="532" spans="1:24" s="112" customFormat="1" x14ac:dyDescent="0.25">
      <c r="A532" s="113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2"/>
      <c r="X532" s="2"/>
    </row>
    <row r="533" spans="1:24" s="112" customFormat="1" x14ac:dyDescent="0.25">
      <c r="A533" s="113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2"/>
      <c r="X533" s="2"/>
    </row>
    <row r="534" spans="1:24" s="112" customFormat="1" x14ac:dyDescent="0.25">
      <c r="A534" s="113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2"/>
      <c r="X534" s="2"/>
    </row>
    <row r="535" spans="1:24" s="112" customFormat="1" x14ac:dyDescent="0.25">
      <c r="A535" s="113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2"/>
      <c r="X535" s="2"/>
    </row>
    <row r="536" spans="1:24" s="112" customFormat="1" x14ac:dyDescent="0.25">
      <c r="A536" s="113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2"/>
      <c r="X536" s="2"/>
    </row>
    <row r="537" spans="1:24" s="112" customFormat="1" x14ac:dyDescent="0.25">
      <c r="A537" s="113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2"/>
      <c r="X537" s="2"/>
    </row>
    <row r="538" spans="1:24" s="112" customFormat="1" x14ac:dyDescent="0.25">
      <c r="A538" s="113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2"/>
      <c r="X538" s="2"/>
    </row>
    <row r="539" spans="1:24" s="112" customFormat="1" x14ac:dyDescent="0.25">
      <c r="A539" s="113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2"/>
      <c r="X539" s="2"/>
    </row>
    <row r="540" spans="1:24" s="112" customFormat="1" x14ac:dyDescent="0.25">
      <c r="A540" s="113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2"/>
      <c r="X540" s="2"/>
    </row>
    <row r="541" spans="1:24" s="112" customFormat="1" x14ac:dyDescent="0.25">
      <c r="A541" s="113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2"/>
      <c r="X541" s="2"/>
    </row>
    <row r="542" spans="1:24" s="112" customFormat="1" x14ac:dyDescent="0.25">
      <c r="A542" s="113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2"/>
      <c r="X542" s="2"/>
    </row>
    <row r="543" spans="1:24" s="112" customFormat="1" x14ac:dyDescent="0.25">
      <c r="A543" s="113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2"/>
      <c r="X543" s="2"/>
    </row>
    <row r="544" spans="1:24" s="112" customFormat="1" x14ac:dyDescent="0.25">
      <c r="A544" s="113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2"/>
      <c r="X544" s="2"/>
    </row>
    <row r="545" spans="1:24" s="112" customFormat="1" x14ac:dyDescent="0.25">
      <c r="A545" s="113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2"/>
      <c r="X545" s="2"/>
    </row>
    <row r="546" spans="1:24" s="112" customFormat="1" x14ac:dyDescent="0.25">
      <c r="A546" s="113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2"/>
      <c r="X546" s="2"/>
    </row>
    <row r="547" spans="1:24" s="112" customFormat="1" x14ac:dyDescent="0.25">
      <c r="A547" s="113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2"/>
      <c r="X547" s="2"/>
    </row>
    <row r="548" spans="1:24" s="112" customFormat="1" x14ac:dyDescent="0.25">
      <c r="A548" s="113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2"/>
      <c r="X548" s="2"/>
    </row>
    <row r="549" spans="1:24" s="112" customFormat="1" x14ac:dyDescent="0.25">
      <c r="A549" s="113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2"/>
      <c r="X549" s="2"/>
    </row>
    <row r="550" spans="1:24" s="112" customFormat="1" x14ac:dyDescent="0.25">
      <c r="A550" s="113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2"/>
      <c r="X550" s="2"/>
    </row>
    <row r="551" spans="1:24" s="112" customFormat="1" x14ac:dyDescent="0.25">
      <c r="A551" s="113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2"/>
      <c r="X551" s="2"/>
    </row>
    <row r="552" spans="1:24" s="112" customFormat="1" x14ac:dyDescent="0.25">
      <c r="A552" s="113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2"/>
      <c r="X552" s="2"/>
    </row>
    <row r="553" spans="1:24" s="112" customFormat="1" x14ac:dyDescent="0.25">
      <c r="A553" s="113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2"/>
      <c r="X553" s="2"/>
    </row>
    <row r="554" spans="1:24" s="112" customFormat="1" x14ac:dyDescent="0.25">
      <c r="A554" s="113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2"/>
      <c r="X554" s="2"/>
    </row>
    <row r="555" spans="1:24" s="112" customFormat="1" x14ac:dyDescent="0.25">
      <c r="A555" s="113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2"/>
      <c r="X555" s="2"/>
    </row>
    <row r="556" spans="1:24" s="112" customFormat="1" x14ac:dyDescent="0.25">
      <c r="A556" s="113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2"/>
      <c r="X556" s="2"/>
    </row>
    <row r="557" spans="1:24" s="112" customFormat="1" x14ac:dyDescent="0.25">
      <c r="A557" s="113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2"/>
      <c r="X557" s="2"/>
    </row>
    <row r="558" spans="1:24" s="112" customFormat="1" x14ac:dyDescent="0.25">
      <c r="A558" s="113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2"/>
      <c r="X558" s="2"/>
    </row>
    <row r="559" spans="1:24" s="112" customFormat="1" x14ac:dyDescent="0.25">
      <c r="A559" s="113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2"/>
      <c r="X559" s="2"/>
    </row>
    <row r="560" spans="1:24" s="112" customFormat="1" x14ac:dyDescent="0.25">
      <c r="A560" s="113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2"/>
      <c r="X560" s="2"/>
    </row>
    <row r="561" spans="1:24" s="112" customFormat="1" x14ac:dyDescent="0.25">
      <c r="A561" s="113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2"/>
      <c r="X561" s="2"/>
    </row>
    <row r="562" spans="1:24" s="112" customFormat="1" x14ac:dyDescent="0.25">
      <c r="A562" s="113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2"/>
      <c r="X562" s="2"/>
    </row>
    <row r="563" spans="1:24" s="112" customFormat="1" x14ac:dyDescent="0.25">
      <c r="A563" s="113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2"/>
      <c r="X563" s="2"/>
    </row>
    <row r="564" spans="1:24" s="112" customFormat="1" x14ac:dyDescent="0.25">
      <c r="A564" s="113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2"/>
      <c r="X564" s="2"/>
    </row>
    <row r="565" spans="1:24" s="112" customFormat="1" x14ac:dyDescent="0.25">
      <c r="A565" s="113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2"/>
      <c r="X565" s="2"/>
    </row>
    <row r="566" spans="1:24" s="112" customFormat="1" x14ac:dyDescent="0.25">
      <c r="A566" s="113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2"/>
      <c r="X566" s="2"/>
    </row>
    <row r="567" spans="1:24" s="112" customFormat="1" x14ac:dyDescent="0.25">
      <c r="A567" s="113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2"/>
      <c r="X567" s="2"/>
    </row>
    <row r="568" spans="1:24" s="112" customFormat="1" x14ac:dyDescent="0.25">
      <c r="A568" s="113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2"/>
      <c r="X568" s="2"/>
    </row>
    <row r="569" spans="1:24" s="112" customFormat="1" x14ac:dyDescent="0.25">
      <c r="A569" s="113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2"/>
      <c r="X569" s="2"/>
    </row>
    <row r="570" spans="1:24" s="112" customFormat="1" x14ac:dyDescent="0.25">
      <c r="A570" s="113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2"/>
      <c r="X570" s="2"/>
    </row>
    <row r="571" spans="1:24" s="112" customFormat="1" x14ac:dyDescent="0.25">
      <c r="A571" s="113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2"/>
      <c r="X571" s="2"/>
    </row>
    <row r="572" spans="1:24" s="112" customFormat="1" x14ac:dyDescent="0.25">
      <c r="A572" s="113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2"/>
      <c r="X572" s="2"/>
    </row>
    <row r="573" spans="1:24" s="112" customFormat="1" x14ac:dyDescent="0.25">
      <c r="A573" s="113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2"/>
      <c r="X573" s="2"/>
    </row>
    <row r="574" spans="1:24" s="112" customFormat="1" x14ac:dyDescent="0.25">
      <c r="A574" s="113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2"/>
      <c r="X574" s="2"/>
    </row>
    <row r="575" spans="1:24" s="112" customFormat="1" x14ac:dyDescent="0.25">
      <c r="A575" s="113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2"/>
      <c r="X575" s="2"/>
    </row>
    <row r="576" spans="1:24" s="112" customFormat="1" x14ac:dyDescent="0.25">
      <c r="A576" s="113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2"/>
      <c r="X576" s="2"/>
    </row>
    <row r="577" spans="1:24" s="112" customFormat="1" x14ac:dyDescent="0.25">
      <c r="A577" s="113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2"/>
      <c r="X577" s="2"/>
    </row>
    <row r="578" spans="1:24" s="112" customFormat="1" x14ac:dyDescent="0.25">
      <c r="A578" s="113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2"/>
      <c r="X578" s="2"/>
    </row>
    <row r="579" spans="1:24" s="112" customFormat="1" x14ac:dyDescent="0.25">
      <c r="A579" s="113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2"/>
      <c r="X579" s="2"/>
    </row>
    <row r="580" spans="1:24" s="112" customFormat="1" x14ac:dyDescent="0.25">
      <c r="A580" s="113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2"/>
      <c r="X580" s="2"/>
    </row>
    <row r="581" spans="1:24" s="112" customFormat="1" x14ac:dyDescent="0.25">
      <c r="A581" s="113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2"/>
      <c r="X581" s="2"/>
    </row>
    <row r="582" spans="1:24" s="112" customFormat="1" x14ac:dyDescent="0.25">
      <c r="A582" s="113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2"/>
      <c r="X582" s="2"/>
    </row>
    <row r="583" spans="1:24" s="112" customFormat="1" x14ac:dyDescent="0.25">
      <c r="A583" s="113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2"/>
      <c r="X583" s="2"/>
    </row>
    <row r="584" spans="1:24" s="112" customFormat="1" x14ac:dyDescent="0.25">
      <c r="A584" s="113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2"/>
      <c r="X584" s="2"/>
    </row>
    <row r="585" spans="1:24" s="112" customFormat="1" x14ac:dyDescent="0.25">
      <c r="A585" s="113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2"/>
      <c r="X585" s="2"/>
    </row>
    <row r="586" spans="1:24" s="112" customFormat="1" x14ac:dyDescent="0.25">
      <c r="A586" s="113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2"/>
      <c r="X586" s="2"/>
    </row>
    <row r="587" spans="1:24" s="112" customFormat="1" x14ac:dyDescent="0.25">
      <c r="A587" s="113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2"/>
      <c r="X587" s="2"/>
    </row>
    <row r="588" spans="1:24" s="112" customFormat="1" x14ac:dyDescent="0.25">
      <c r="A588" s="113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2"/>
      <c r="X588" s="2"/>
    </row>
    <row r="589" spans="1:24" s="112" customFormat="1" x14ac:dyDescent="0.25">
      <c r="A589" s="113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2"/>
      <c r="X589" s="2"/>
    </row>
    <row r="590" spans="1:24" s="112" customFormat="1" x14ac:dyDescent="0.25">
      <c r="A590" s="113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2"/>
      <c r="X590" s="2"/>
    </row>
    <row r="591" spans="1:24" s="112" customFormat="1" x14ac:dyDescent="0.25">
      <c r="A591" s="113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2"/>
      <c r="X591" s="2"/>
    </row>
    <row r="592" spans="1:24" s="112" customFormat="1" x14ac:dyDescent="0.25">
      <c r="A592" s="113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2"/>
      <c r="X592" s="2"/>
    </row>
    <row r="593" spans="1:24" s="112" customFormat="1" x14ac:dyDescent="0.25">
      <c r="A593" s="113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2"/>
      <c r="X593" s="2"/>
    </row>
    <row r="594" spans="1:24" s="112" customFormat="1" x14ac:dyDescent="0.25">
      <c r="A594" s="113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2"/>
      <c r="X594" s="2"/>
    </row>
    <row r="595" spans="1:24" s="112" customFormat="1" x14ac:dyDescent="0.25">
      <c r="A595" s="113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2"/>
      <c r="X595" s="2"/>
    </row>
    <row r="596" spans="1:24" s="112" customFormat="1" x14ac:dyDescent="0.25">
      <c r="A596" s="113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2"/>
      <c r="X596" s="2"/>
    </row>
    <row r="597" spans="1:24" s="112" customFormat="1" x14ac:dyDescent="0.25">
      <c r="A597" s="113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2"/>
      <c r="X597" s="2"/>
    </row>
    <row r="598" spans="1:24" s="112" customFormat="1" x14ac:dyDescent="0.25">
      <c r="A598" s="113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2"/>
      <c r="X598" s="2"/>
    </row>
    <row r="599" spans="1:24" s="112" customFormat="1" x14ac:dyDescent="0.25">
      <c r="A599" s="113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2"/>
      <c r="X599" s="2"/>
    </row>
    <row r="600" spans="1:24" s="112" customFormat="1" x14ac:dyDescent="0.25">
      <c r="A600" s="113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2"/>
      <c r="X600" s="2"/>
    </row>
    <row r="601" spans="1:24" s="112" customFormat="1" x14ac:dyDescent="0.25">
      <c r="A601" s="113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2"/>
      <c r="X601" s="2"/>
    </row>
    <row r="602" spans="1:24" s="112" customFormat="1" x14ac:dyDescent="0.25">
      <c r="A602" s="113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2"/>
      <c r="X602" s="2"/>
    </row>
    <row r="603" spans="1:24" s="112" customFormat="1" x14ac:dyDescent="0.25">
      <c r="A603" s="113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2"/>
      <c r="X603" s="2"/>
    </row>
    <row r="604" spans="1:24" s="112" customFormat="1" x14ac:dyDescent="0.25">
      <c r="A604" s="113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2"/>
      <c r="X604" s="2"/>
    </row>
    <row r="605" spans="1:24" s="112" customFormat="1" x14ac:dyDescent="0.25">
      <c r="A605" s="113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2"/>
      <c r="X605" s="2"/>
    </row>
    <row r="606" spans="1:24" s="112" customFormat="1" x14ac:dyDescent="0.25">
      <c r="A606" s="113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2"/>
      <c r="X606" s="2"/>
    </row>
    <row r="607" spans="1:24" s="112" customFormat="1" x14ac:dyDescent="0.25">
      <c r="A607" s="113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2"/>
      <c r="X607" s="2"/>
    </row>
    <row r="608" spans="1:24" s="112" customFormat="1" x14ac:dyDescent="0.25">
      <c r="A608" s="113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2"/>
      <c r="X608" s="2"/>
    </row>
    <row r="609" spans="1:24" s="112" customFormat="1" x14ac:dyDescent="0.25">
      <c r="A609" s="113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2"/>
      <c r="X609" s="2"/>
    </row>
    <row r="610" spans="1:24" s="112" customFormat="1" x14ac:dyDescent="0.25">
      <c r="A610" s="113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2"/>
      <c r="X610" s="2"/>
    </row>
    <row r="611" spans="1:24" s="112" customFormat="1" x14ac:dyDescent="0.25">
      <c r="A611" s="113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2"/>
      <c r="X611" s="2"/>
    </row>
    <row r="612" spans="1:24" s="112" customFormat="1" x14ac:dyDescent="0.25">
      <c r="A612" s="113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2"/>
      <c r="X612" s="2"/>
    </row>
    <row r="613" spans="1:24" s="112" customFormat="1" x14ac:dyDescent="0.25">
      <c r="A613" s="113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2"/>
      <c r="X613" s="2"/>
    </row>
    <row r="614" spans="1:24" s="112" customFormat="1" x14ac:dyDescent="0.25">
      <c r="A614" s="113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2"/>
      <c r="X614" s="2"/>
    </row>
    <row r="615" spans="1:24" s="112" customFormat="1" x14ac:dyDescent="0.25">
      <c r="A615" s="113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2"/>
      <c r="X615" s="2"/>
    </row>
    <row r="616" spans="1:24" s="112" customFormat="1" x14ac:dyDescent="0.25">
      <c r="A616" s="113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2"/>
      <c r="X616" s="2"/>
    </row>
    <row r="617" spans="1:24" s="112" customFormat="1" x14ac:dyDescent="0.25">
      <c r="A617" s="113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2"/>
      <c r="X617" s="2"/>
    </row>
    <row r="618" spans="1:24" s="112" customFormat="1" x14ac:dyDescent="0.25">
      <c r="A618" s="113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2"/>
      <c r="X618" s="2"/>
    </row>
    <row r="619" spans="1:24" s="112" customFormat="1" x14ac:dyDescent="0.25">
      <c r="A619" s="113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2"/>
      <c r="X619" s="2"/>
    </row>
    <row r="620" spans="1:24" s="112" customFormat="1" x14ac:dyDescent="0.25">
      <c r="A620" s="113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2"/>
      <c r="X620" s="2"/>
    </row>
    <row r="621" spans="1:24" s="112" customFormat="1" x14ac:dyDescent="0.25">
      <c r="A621" s="113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2"/>
      <c r="X621" s="2"/>
    </row>
    <row r="622" spans="1:24" s="112" customFormat="1" x14ac:dyDescent="0.25">
      <c r="A622" s="113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2"/>
      <c r="X622" s="2"/>
    </row>
    <row r="623" spans="1:24" s="112" customFormat="1" x14ac:dyDescent="0.25">
      <c r="A623" s="113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2"/>
      <c r="X623" s="2"/>
    </row>
    <row r="624" spans="1:24" s="112" customFormat="1" x14ac:dyDescent="0.25">
      <c r="A624" s="113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2"/>
      <c r="X624" s="2"/>
    </row>
    <row r="625" spans="1:24" s="112" customFormat="1" x14ac:dyDescent="0.25">
      <c r="A625" s="113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2"/>
      <c r="X625" s="2"/>
    </row>
    <row r="626" spans="1:24" s="112" customFormat="1" x14ac:dyDescent="0.25">
      <c r="A626" s="113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2"/>
      <c r="X626" s="2"/>
    </row>
    <row r="627" spans="1:24" s="112" customFormat="1" x14ac:dyDescent="0.25">
      <c r="A627" s="113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2"/>
      <c r="X627" s="2"/>
    </row>
    <row r="628" spans="1:24" s="112" customFormat="1" x14ac:dyDescent="0.25">
      <c r="A628" s="113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2"/>
      <c r="X628" s="2"/>
    </row>
    <row r="629" spans="1:24" s="112" customFormat="1" x14ac:dyDescent="0.25">
      <c r="A629" s="113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2"/>
      <c r="X629" s="2"/>
    </row>
    <row r="630" spans="1:24" s="112" customFormat="1" x14ac:dyDescent="0.25">
      <c r="A630" s="113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2"/>
      <c r="X630" s="2"/>
    </row>
    <row r="631" spans="1:24" s="112" customFormat="1" x14ac:dyDescent="0.25">
      <c r="A631" s="113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2"/>
      <c r="X631" s="2"/>
    </row>
    <row r="632" spans="1:24" s="112" customFormat="1" x14ac:dyDescent="0.25">
      <c r="A632" s="113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2"/>
      <c r="X632" s="2"/>
    </row>
    <row r="633" spans="1:24" s="112" customFormat="1" x14ac:dyDescent="0.25">
      <c r="A633" s="113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2"/>
      <c r="X633" s="2"/>
    </row>
    <row r="634" spans="1:24" s="112" customFormat="1" x14ac:dyDescent="0.25">
      <c r="A634" s="113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2"/>
      <c r="X634" s="2"/>
    </row>
    <row r="635" spans="1:24" s="112" customFormat="1" x14ac:dyDescent="0.25">
      <c r="A635" s="113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2"/>
      <c r="X635" s="2"/>
    </row>
    <row r="636" spans="1:24" s="112" customFormat="1" x14ac:dyDescent="0.25">
      <c r="A636" s="113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2"/>
      <c r="X636" s="2"/>
    </row>
    <row r="637" spans="1:24" s="112" customFormat="1" x14ac:dyDescent="0.25">
      <c r="A637" s="113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2"/>
      <c r="X637" s="2"/>
    </row>
    <row r="638" spans="1:24" s="112" customFormat="1" x14ac:dyDescent="0.25">
      <c r="A638" s="113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2"/>
      <c r="X638" s="2"/>
    </row>
    <row r="639" spans="1:24" s="112" customFormat="1" x14ac:dyDescent="0.25">
      <c r="A639" s="113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2"/>
      <c r="X639" s="2"/>
    </row>
    <row r="640" spans="1:24" s="112" customFormat="1" x14ac:dyDescent="0.25">
      <c r="A640" s="113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2"/>
      <c r="X640" s="2"/>
    </row>
    <row r="641" spans="1:24" s="112" customFormat="1" x14ac:dyDescent="0.25">
      <c r="A641" s="113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2"/>
      <c r="X641" s="2"/>
    </row>
    <row r="642" spans="1:24" s="112" customFormat="1" x14ac:dyDescent="0.25">
      <c r="A642" s="113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2"/>
      <c r="X642" s="2"/>
    </row>
    <row r="643" spans="1:24" s="112" customFormat="1" x14ac:dyDescent="0.25">
      <c r="A643" s="113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2"/>
      <c r="X643" s="2"/>
    </row>
    <row r="644" spans="1:24" s="112" customFormat="1" x14ac:dyDescent="0.25">
      <c r="A644" s="113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2"/>
      <c r="X644" s="2"/>
    </row>
    <row r="645" spans="1:24" s="112" customFormat="1" x14ac:dyDescent="0.25">
      <c r="A645" s="113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2"/>
      <c r="X645" s="2"/>
    </row>
    <row r="646" spans="1:24" s="112" customFormat="1" x14ac:dyDescent="0.25">
      <c r="A646" s="113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2"/>
      <c r="X646" s="2"/>
    </row>
    <row r="647" spans="1:24" s="112" customFormat="1" x14ac:dyDescent="0.25">
      <c r="A647" s="113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2"/>
      <c r="X647" s="2"/>
    </row>
    <row r="648" spans="1:24" s="112" customFormat="1" x14ac:dyDescent="0.25">
      <c r="A648" s="113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2"/>
      <c r="X648" s="2"/>
    </row>
    <row r="649" spans="1:24" s="112" customFormat="1" x14ac:dyDescent="0.25">
      <c r="A649" s="113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2"/>
      <c r="X649" s="2"/>
    </row>
    <row r="650" spans="1:24" s="112" customFormat="1" x14ac:dyDescent="0.25">
      <c r="A650" s="113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2"/>
      <c r="X650" s="2"/>
    </row>
    <row r="651" spans="1:24" s="112" customFormat="1" x14ac:dyDescent="0.25">
      <c r="A651" s="113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2"/>
      <c r="X651" s="2"/>
    </row>
    <row r="652" spans="1:24" s="112" customFormat="1" x14ac:dyDescent="0.25">
      <c r="A652" s="113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2"/>
      <c r="X652" s="2"/>
    </row>
    <row r="653" spans="1:24" s="112" customFormat="1" x14ac:dyDescent="0.25">
      <c r="A653" s="113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2"/>
      <c r="X653" s="2"/>
    </row>
    <row r="654" spans="1:24" s="112" customFormat="1" x14ac:dyDescent="0.25">
      <c r="A654" s="113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2"/>
      <c r="X654" s="2"/>
    </row>
    <row r="655" spans="1:24" s="112" customFormat="1" x14ac:dyDescent="0.25">
      <c r="A655" s="113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2"/>
      <c r="X655" s="2"/>
    </row>
    <row r="656" spans="1:24" s="112" customFormat="1" x14ac:dyDescent="0.25">
      <c r="A656" s="113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2"/>
      <c r="X656" s="2"/>
    </row>
    <row r="657" spans="1:24" s="112" customFormat="1" x14ac:dyDescent="0.25">
      <c r="A657" s="113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2"/>
      <c r="X657" s="2"/>
    </row>
    <row r="658" spans="1:24" s="112" customFormat="1" x14ac:dyDescent="0.25">
      <c r="A658" s="113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2"/>
      <c r="X658" s="2"/>
    </row>
    <row r="659" spans="1:24" s="112" customFormat="1" x14ac:dyDescent="0.25">
      <c r="A659" s="113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2"/>
      <c r="X659" s="2"/>
    </row>
    <row r="660" spans="1:24" s="112" customFormat="1" x14ac:dyDescent="0.25">
      <c r="A660" s="113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2"/>
      <c r="X660" s="2"/>
    </row>
    <row r="661" spans="1:24" s="112" customFormat="1" x14ac:dyDescent="0.25">
      <c r="A661" s="113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2"/>
      <c r="X661" s="2"/>
    </row>
    <row r="662" spans="1:24" s="112" customFormat="1" x14ac:dyDescent="0.25">
      <c r="A662" s="113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2"/>
      <c r="X662" s="2"/>
    </row>
    <row r="663" spans="1:24" s="112" customFormat="1" x14ac:dyDescent="0.25">
      <c r="A663" s="113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2"/>
      <c r="X663" s="2"/>
    </row>
    <row r="664" spans="1:24" s="112" customFormat="1" x14ac:dyDescent="0.25">
      <c r="A664" s="113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2"/>
      <c r="X664" s="2"/>
    </row>
    <row r="665" spans="1:24" s="112" customFormat="1" x14ac:dyDescent="0.25">
      <c r="A665" s="113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2"/>
      <c r="X665" s="2"/>
    </row>
    <row r="666" spans="1:24" s="112" customFormat="1" x14ac:dyDescent="0.25">
      <c r="A666" s="113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2"/>
      <c r="X666" s="2"/>
    </row>
    <row r="667" spans="1:24" s="112" customFormat="1" x14ac:dyDescent="0.25">
      <c r="A667" s="113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2"/>
      <c r="X667" s="2"/>
    </row>
    <row r="668" spans="1:24" s="112" customFormat="1" x14ac:dyDescent="0.25">
      <c r="A668" s="113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2"/>
      <c r="X668" s="2"/>
    </row>
    <row r="669" spans="1:24" s="112" customFormat="1" x14ac:dyDescent="0.25">
      <c r="A669" s="113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2"/>
      <c r="X669" s="2"/>
    </row>
    <row r="670" spans="1:24" s="112" customFormat="1" x14ac:dyDescent="0.25">
      <c r="A670" s="113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2"/>
      <c r="X670" s="2"/>
    </row>
    <row r="671" spans="1:24" s="112" customFormat="1" x14ac:dyDescent="0.25">
      <c r="A671" s="113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2"/>
      <c r="X671" s="2"/>
    </row>
    <row r="672" spans="1:24" s="112" customFormat="1" x14ac:dyDescent="0.25">
      <c r="A672" s="113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2"/>
      <c r="X672" s="2"/>
    </row>
    <row r="673" spans="1:24" s="112" customFormat="1" x14ac:dyDescent="0.25">
      <c r="A673" s="113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2"/>
      <c r="X673" s="2"/>
    </row>
    <row r="674" spans="1:24" s="112" customFormat="1" x14ac:dyDescent="0.25">
      <c r="A674" s="113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2"/>
      <c r="X674" s="2"/>
    </row>
    <row r="675" spans="1:24" s="112" customFormat="1" x14ac:dyDescent="0.25">
      <c r="A675" s="113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2"/>
      <c r="X675" s="2"/>
    </row>
    <row r="676" spans="1:24" s="112" customFormat="1" x14ac:dyDescent="0.25">
      <c r="A676" s="113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2"/>
      <c r="X676" s="2"/>
    </row>
    <row r="677" spans="1:24" s="112" customFormat="1" x14ac:dyDescent="0.25">
      <c r="A677" s="113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2"/>
      <c r="X677" s="2"/>
    </row>
    <row r="678" spans="1:24" s="112" customFormat="1" x14ac:dyDescent="0.25">
      <c r="A678" s="113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2"/>
      <c r="X678" s="2"/>
    </row>
    <row r="679" spans="1:24" s="112" customFormat="1" x14ac:dyDescent="0.25">
      <c r="A679" s="113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2"/>
      <c r="X679" s="2"/>
    </row>
    <row r="680" spans="1:24" s="112" customFormat="1" x14ac:dyDescent="0.25">
      <c r="A680" s="113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2"/>
      <c r="X680" s="2"/>
    </row>
    <row r="681" spans="1:24" s="112" customFormat="1" x14ac:dyDescent="0.25">
      <c r="A681" s="113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2"/>
      <c r="X681" s="2"/>
    </row>
    <row r="682" spans="1:24" s="112" customFormat="1" x14ac:dyDescent="0.25">
      <c r="A682" s="113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2"/>
      <c r="X682" s="2"/>
    </row>
    <row r="683" spans="1:24" s="112" customFormat="1" x14ac:dyDescent="0.25">
      <c r="A683" s="113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2"/>
      <c r="X683" s="2"/>
    </row>
    <row r="684" spans="1:24" s="112" customFormat="1" x14ac:dyDescent="0.25">
      <c r="A684" s="113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2"/>
      <c r="X684" s="2"/>
    </row>
    <row r="685" spans="1:24" s="112" customFormat="1" x14ac:dyDescent="0.25">
      <c r="A685" s="113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2"/>
      <c r="X685" s="2"/>
    </row>
    <row r="686" spans="1:24" s="112" customFormat="1" x14ac:dyDescent="0.25">
      <c r="A686" s="113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2"/>
      <c r="X686" s="2"/>
    </row>
    <row r="687" spans="1:24" s="112" customFormat="1" x14ac:dyDescent="0.25">
      <c r="A687" s="113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2"/>
      <c r="X687" s="2"/>
    </row>
    <row r="688" spans="1:24" s="112" customFormat="1" x14ac:dyDescent="0.25">
      <c r="A688" s="113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2"/>
      <c r="X688" s="2"/>
    </row>
    <row r="689" spans="1:24" s="112" customFormat="1" x14ac:dyDescent="0.25">
      <c r="A689" s="113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2"/>
      <c r="X689" s="2"/>
    </row>
    <row r="690" spans="1:24" s="112" customFormat="1" x14ac:dyDescent="0.25">
      <c r="A690" s="113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2"/>
      <c r="X690" s="2"/>
    </row>
    <row r="691" spans="1:24" s="112" customFormat="1" x14ac:dyDescent="0.25">
      <c r="A691" s="113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2"/>
      <c r="X691" s="2"/>
    </row>
    <row r="692" spans="1:24" s="112" customFormat="1" x14ac:dyDescent="0.25">
      <c r="A692" s="113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2"/>
      <c r="X692" s="2"/>
    </row>
    <row r="693" spans="1:24" s="112" customFormat="1" x14ac:dyDescent="0.25">
      <c r="A693" s="113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2"/>
      <c r="X693" s="2"/>
    </row>
    <row r="694" spans="1:24" s="112" customFormat="1" x14ac:dyDescent="0.25">
      <c r="A694" s="113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2"/>
      <c r="X694" s="2"/>
    </row>
    <row r="695" spans="1:24" s="112" customFormat="1" x14ac:dyDescent="0.25">
      <c r="A695" s="113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2"/>
      <c r="X695" s="2"/>
    </row>
    <row r="696" spans="1:24" s="112" customFormat="1" x14ac:dyDescent="0.25">
      <c r="A696" s="113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2"/>
      <c r="X696" s="2"/>
    </row>
    <row r="697" spans="1:24" s="112" customFormat="1" x14ac:dyDescent="0.25">
      <c r="A697" s="113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2"/>
      <c r="X697" s="2"/>
    </row>
    <row r="698" spans="1:24" s="112" customFormat="1" x14ac:dyDescent="0.25">
      <c r="A698" s="113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2"/>
      <c r="X698" s="2"/>
    </row>
    <row r="699" spans="1:24" s="112" customFormat="1" x14ac:dyDescent="0.25">
      <c r="A699" s="113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2"/>
      <c r="X699" s="2"/>
    </row>
    <row r="700" spans="1:24" s="112" customFormat="1" x14ac:dyDescent="0.25">
      <c r="A700" s="113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2"/>
      <c r="X700" s="2"/>
    </row>
    <row r="701" spans="1:24" s="112" customFormat="1" x14ac:dyDescent="0.25">
      <c r="A701" s="113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2"/>
      <c r="X701" s="2"/>
    </row>
    <row r="702" spans="1:24" s="112" customFormat="1" x14ac:dyDescent="0.25">
      <c r="A702" s="113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2"/>
      <c r="X702" s="2"/>
    </row>
    <row r="703" spans="1:24" s="112" customFormat="1" x14ac:dyDescent="0.25">
      <c r="A703" s="113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2"/>
      <c r="X703" s="2"/>
    </row>
    <row r="704" spans="1:24" s="112" customFormat="1" x14ac:dyDescent="0.25">
      <c r="A704" s="113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2"/>
      <c r="X704" s="2"/>
    </row>
    <row r="705" spans="1:24" s="112" customFormat="1" x14ac:dyDescent="0.25">
      <c r="A705" s="113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2"/>
      <c r="X705" s="2"/>
    </row>
    <row r="706" spans="1:24" s="112" customFormat="1" x14ac:dyDescent="0.25">
      <c r="A706" s="113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2"/>
      <c r="X706" s="2"/>
    </row>
    <row r="707" spans="1:24" s="112" customFormat="1" x14ac:dyDescent="0.25">
      <c r="A707" s="113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2"/>
      <c r="X707" s="2"/>
    </row>
    <row r="708" spans="1:24" s="112" customFormat="1" x14ac:dyDescent="0.25">
      <c r="A708" s="113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2"/>
      <c r="X708" s="2"/>
    </row>
    <row r="709" spans="1:24" s="112" customFormat="1" x14ac:dyDescent="0.25">
      <c r="A709" s="113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2"/>
      <c r="X709" s="2"/>
    </row>
    <row r="710" spans="1:24" s="112" customFormat="1" x14ac:dyDescent="0.25">
      <c r="A710" s="113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2"/>
      <c r="X710" s="2"/>
    </row>
    <row r="711" spans="1:24" s="112" customFormat="1" x14ac:dyDescent="0.25">
      <c r="A711" s="113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2"/>
      <c r="X711" s="2"/>
    </row>
    <row r="712" spans="1:24" s="112" customFormat="1" x14ac:dyDescent="0.25">
      <c r="A712" s="113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2"/>
      <c r="X712" s="2"/>
    </row>
    <row r="713" spans="1:24" s="112" customFormat="1" x14ac:dyDescent="0.25">
      <c r="A713" s="113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2"/>
      <c r="X713" s="2"/>
    </row>
    <row r="714" spans="1:24" s="112" customFormat="1" x14ac:dyDescent="0.25">
      <c r="A714" s="113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2"/>
      <c r="X714" s="2"/>
    </row>
    <row r="715" spans="1:24" s="112" customFormat="1" x14ac:dyDescent="0.25">
      <c r="A715" s="113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2"/>
      <c r="X715" s="2"/>
    </row>
    <row r="716" spans="1:24" s="112" customFormat="1" x14ac:dyDescent="0.25">
      <c r="A716" s="113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2"/>
      <c r="X716" s="2"/>
    </row>
    <row r="717" spans="1:24" s="112" customFormat="1" x14ac:dyDescent="0.25">
      <c r="A717" s="113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2"/>
      <c r="X717" s="2"/>
    </row>
    <row r="718" spans="1:24" s="112" customFormat="1" x14ac:dyDescent="0.25">
      <c r="A718" s="113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2"/>
      <c r="X718" s="2"/>
    </row>
    <row r="719" spans="1:24" s="112" customFormat="1" x14ac:dyDescent="0.25">
      <c r="A719" s="113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2"/>
      <c r="X719" s="2"/>
    </row>
    <row r="720" spans="1:24" s="112" customFormat="1" x14ac:dyDescent="0.25">
      <c r="A720" s="113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2"/>
      <c r="X720" s="2"/>
    </row>
    <row r="721" spans="1:24" s="112" customFormat="1" x14ac:dyDescent="0.25">
      <c r="A721" s="113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2"/>
      <c r="X721" s="2"/>
    </row>
    <row r="722" spans="1:24" s="112" customFormat="1" x14ac:dyDescent="0.25">
      <c r="A722" s="113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2"/>
      <c r="X722" s="2"/>
    </row>
    <row r="723" spans="1:24" s="112" customFormat="1" x14ac:dyDescent="0.25">
      <c r="A723" s="113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2"/>
      <c r="X723" s="2"/>
    </row>
    <row r="724" spans="1:24" s="112" customFormat="1" x14ac:dyDescent="0.25">
      <c r="A724" s="113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2"/>
      <c r="X724" s="2"/>
    </row>
    <row r="725" spans="1:24" s="112" customFormat="1" x14ac:dyDescent="0.25">
      <c r="A725" s="113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2"/>
      <c r="X725" s="2"/>
    </row>
    <row r="726" spans="1:24" s="112" customFormat="1" x14ac:dyDescent="0.25">
      <c r="A726" s="113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2"/>
      <c r="X726" s="2"/>
    </row>
    <row r="727" spans="1:24" s="112" customFormat="1" x14ac:dyDescent="0.25">
      <c r="A727" s="113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2"/>
      <c r="X727" s="2"/>
    </row>
    <row r="728" spans="1:24" s="112" customFormat="1" x14ac:dyDescent="0.25">
      <c r="A728" s="113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2"/>
      <c r="X728" s="2"/>
    </row>
    <row r="729" spans="1:24" s="112" customFormat="1" x14ac:dyDescent="0.25">
      <c r="A729" s="113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2"/>
      <c r="X729" s="2"/>
    </row>
    <row r="730" spans="1:24" s="112" customFormat="1" x14ac:dyDescent="0.25">
      <c r="A730" s="113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2"/>
      <c r="X730" s="2"/>
    </row>
    <row r="731" spans="1:24" s="112" customFormat="1" x14ac:dyDescent="0.25">
      <c r="A731" s="113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2"/>
      <c r="X731" s="2"/>
    </row>
    <row r="732" spans="1:24" s="112" customFormat="1" x14ac:dyDescent="0.25">
      <c r="A732" s="113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2"/>
      <c r="X732" s="2"/>
    </row>
    <row r="733" spans="1:24" s="112" customFormat="1" x14ac:dyDescent="0.25">
      <c r="A733" s="113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2"/>
      <c r="X733" s="2"/>
    </row>
    <row r="734" spans="1:24" s="112" customFormat="1" x14ac:dyDescent="0.25">
      <c r="A734" s="113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2"/>
      <c r="X734" s="2"/>
    </row>
    <row r="735" spans="1:24" s="112" customFormat="1" x14ac:dyDescent="0.25">
      <c r="A735" s="113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2"/>
      <c r="X735" s="2"/>
    </row>
    <row r="736" spans="1:24" s="112" customFormat="1" x14ac:dyDescent="0.25">
      <c r="A736" s="113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2"/>
      <c r="X736" s="2"/>
    </row>
    <row r="737" spans="1:24" s="112" customFormat="1" x14ac:dyDescent="0.25">
      <c r="A737" s="113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2"/>
      <c r="X737" s="2"/>
    </row>
    <row r="738" spans="1:24" s="112" customFormat="1" x14ac:dyDescent="0.25">
      <c r="A738" s="113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2"/>
      <c r="X738" s="2"/>
    </row>
    <row r="739" spans="1:24" s="112" customFormat="1" x14ac:dyDescent="0.25">
      <c r="A739" s="113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2"/>
      <c r="X739" s="2"/>
    </row>
    <row r="740" spans="1:24" s="112" customFormat="1" x14ac:dyDescent="0.25">
      <c r="A740" s="113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2"/>
      <c r="X740" s="2"/>
    </row>
    <row r="741" spans="1:24" s="112" customFormat="1" x14ac:dyDescent="0.25">
      <c r="A741" s="113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2"/>
      <c r="X741" s="2"/>
    </row>
    <row r="742" spans="1:24" s="112" customFormat="1" x14ac:dyDescent="0.25">
      <c r="A742" s="113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2"/>
      <c r="X742" s="2"/>
    </row>
    <row r="743" spans="1:24" s="112" customFormat="1" x14ac:dyDescent="0.25">
      <c r="A743" s="113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2"/>
      <c r="X743" s="2"/>
    </row>
    <row r="744" spans="1:24" s="112" customFormat="1" x14ac:dyDescent="0.25">
      <c r="A744" s="113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2"/>
      <c r="X744" s="2"/>
    </row>
    <row r="745" spans="1:24" s="112" customFormat="1" x14ac:dyDescent="0.25">
      <c r="A745" s="113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2"/>
      <c r="X745" s="2"/>
    </row>
    <row r="746" spans="1:24" s="112" customFormat="1" x14ac:dyDescent="0.25">
      <c r="A746" s="113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2"/>
      <c r="X746" s="2"/>
    </row>
    <row r="747" spans="1:24" s="112" customFormat="1" x14ac:dyDescent="0.25">
      <c r="A747" s="113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2"/>
      <c r="X747" s="2"/>
    </row>
    <row r="748" spans="1:24" s="112" customFormat="1" x14ac:dyDescent="0.25">
      <c r="A748" s="113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2"/>
      <c r="X748" s="2"/>
    </row>
    <row r="749" spans="1:24" s="112" customFormat="1" x14ac:dyDescent="0.25">
      <c r="A749" s="113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2"/>
      <c r="X749" s="2"/>
    </row>
    <row r="750" spans="1:24" s="112" customFormat="1" x14ac:dyDescent="0.25">
      <c r="A750" s="113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2"/>
      <c r="X750" s="2"/>
    </row>
    <row r="751" spans="1:24" s="112" customFormat="1" x14ac:dyDescent="0.25">
      <c r="A751" s="113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2"/>
      <c r="X751" s="2"/>
    </row>
    <row r="752" spans="1:24" s="112" customFormat="1" x14ac:dyDescent="0.25">
      <c r="A752" s="113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2"/>
      <c r="X752" s="2"/>
    </row>
    <row r="753" spans="1:24" s="112" customFormat="1" x14ac:dyDescent="0.25">
      <c r="A753" s="113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2"/>
      <c r="X753" s="2"/>
    </row>
    <row r="754" spans="1:24" s="112" customFormat="1" x14ac:dyDescent="0.25">
      <c r="A754" s="113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2"/>
      <c r="X754" s="2"/>
    </row>
    <row r="755" spans="1:24" s="112" customFormat="1" x14ac:dyDescent="0.25">
      <c r="A755" s="113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2"/>
      <c r="X755" s="2"/>
    </row>
    <row r="756" spans="1:24" s="112" customFormat="1" x14ac:dyDescent="0.25">
      <c r="A756" s="113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2"/>
      <c r="X756" s="2"/>
    </row>
    <row r="757" spans="1:24" s="112" customFormat="1" x14ac:dyDescent="0.25">
      <c r="A757" s="113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2"/>
      <c r="X757" s="2"/>
    </row>
    <row r="758" spans="1:24" s="112" customFormat="1" x14ac:dyDescent="0.25">
      <c r="A758" s="113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2"/>
      <c r="X758" s="2"/>
    </row>
    <row r="759" spans="1:24" s="112" customFormat="1" x14ac:dyDescent="0.25">
      <c r="A759" s="113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2"/>
      <c r="X759" s="2"/>
    </row>
    <row r="760" spans="1:24" s="112" customFormat="1" x14ac:dyDescent="0.25">
      <c r="A760" s="113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2"/>
      <c r="X760" s="2"/>
    </row>
    <row r="761" spans="1:24" s="112" customFormat="1" x14ac:dyDescent="0.25">
      <c r="A761" s="113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2"/>
      <c r="X761" s="2"/>
    </row>
    <row r="762" spans="1:24" s="112" customFormat="1" x14ac:dyDescent="0.25">
      <c r="A762" s="113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2"/>
      <c r="X762" s="2"/>
    </row>
    <row r="763" spans="1:24" s="112" customFormat="1" x14ac:dyDescent="0.25">
      <c r="A763" s="113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2"/>
      <c r="X763" s="2"/>
    </row>
    <row r="764" spans="1:24" s="112" customFormat="1" x14ac:dyDescent="0.25">
      <c r="A764" s="113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2"/>
      <c r="X764" s="2"/>
    </row>
    <row r="765" spans="1:24" s="112" customFormat="1" x14ac:dyDescent="0.25">
      <c r="A765" s="113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2"/>
      <c r="X765" s="2"/>
    </row>
    <row r="766" spans="1:24" s="112" customFormat="1" x14ac:dyDescent="0.25">
      <c r="A766" s="113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2"/>
      <c r="X766" s="2"/>
    </row>
    <row r="767" spans="1:24" s="112" customFormat="1" x14ac:dyDescent="0.25">
      <c r="A767" s="113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2"/>
      <c r="X767" s="2"/>
    </row>
    <row r="768" spans="1:24" s="112" customFormat="1" x14ac:dyDescent="0.25">
      <c r="A768" s="113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2"/>
      <c r="X768" s="2"/>
    </row>
    <row r="769" spans="1:24" s="112" customFormat="1" x14ac:dyDescent="0.25">
      <c r="A769" s="113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2"/>
      <c r="X769" s="2"/>
    </row>
    <row r="770" spans="1:24" s="112" customFormat="1" x14ac:dyDescent="0.25">
      <c r="A770" s="113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2"/>
      <c r="X770" s="2"/>
    </row>
    <row r="771" spans="1:24" s="112" customFormat="1" x14ac:dyDescent="0.25">
      <c r="A771" s="113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2"/>
      <c r="X771" s="2"/>
    </row>
    <row r="772" spans="1:24" s="112" customFormat="1" x14ac:dyDescent="0.25">
      <c r="A772" s="113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2"/>
      <c r="X772" s="2"/>
    </row>
    <row r="773" spans="1:24" s="112" customFormat="1" x14ac:dyDescent="0.25">
      <c r="A773" s="113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2"/>
      <c r="X773" s="2"/>
    </row>
    <row r="774" spans="1:24" s="112" customFormat="1" x14ac:dyDescent="0.25">
      <c r="A774" s="113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2"/>
      <c r="X774" s="2"/>
    </row>
    <row r="775" spans="1:24" s="112" customFormat="1" x14ac:dyDescent="0.25">
      <c r="A775" s="113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2"/>
      <c r="X775" s="2"/>
    </row>
    <row r="776" spans="1:24" s="112" customFormat="1" x14ac:dyDescent="0.25">
      <c r="A776" s="113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2"/>
      <c r="X776" s="2"/>
    </row>
    <row r="777" spans="1:24" s="112" customFormat="1" x14ac:dyDescent="0.25">
      <c r="A777" s="113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2"/>
      <c r="X777" s="2"/>
    </row>
    <row r="778" spans="1:24" s="112" customFormat="1" x14ac:dyDescent="0.25">
      <c r="A778" s="113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2"/>
      <c r="X778" s="2"/>
    </row>
    <row r="779" spans="1:24" s="112" customFormat="1" x14ac:dyDescent="0.25">
      <c r="A779" s="113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2"/>
      <c r="X779" s="2"/>
    </row>
    <row r="780" spans="1:24" s="112" customFormat="1" x14ac:dyDescent="0.25">
      <c r="A780" s="113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2"/>
      <c r="X780" s="2"/>
    </row>
    <row r="781" spans="1:24" s="112" customFormat="1" x14ac:dyDescent="0.25">
      <c r="A781" s="113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2"/>
      <c r="X781" s="2"/>
    </row>
    <row r="782" spans="1:24" s="112" customFormat="1" x14ac:dyDescent="0.25">
      <c r="A782" s="113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2"/>
      <c r="X782" s="2"/>
    </row>
    <row r="783" spans="1:24" s="112" customFormat="1" x14ac:dyDescent="0.25">
      <c r="A783" s="113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2"/>
      <c r="X783" s="2"/>
    </row>
    <row r="784" spans="1:24" s="112" customFormat="1" x14ac:dyDescent="0.25">
      <c r="A784" s="113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2"/>
      <c r="X784" s="2"/>
    </row>
    <row r="785" spans="1:24" s="112" customFormat="1" x14ac:dyDescent="0.25">
      <c r="A785" s="113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2"/>
      <c r="X785" s="2"/>
    </row>
    <row r="786" spans="1:24" s="112" customFormat="1" x14ac:dyDescent="0.25">
      <c r="A786" s="113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2"/>
      <c r="X786" s="2"/>
    </row>
    <row r="787" spans="1:24" s="112" customFormat="1" x14ac:dyDescent="0.25">
      <c r="A787" s="113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2"/>
      <c r="X787" s="2"/>
    </row>
    <row r="788" spans="1:24" s="112" customFormat="1" x14ac:dyDescent="0.25">
      <c r="A788" s="113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2"/>
      <c r="X788" s="2"/>
    </row>
    <row r="789" spans="1:24" s="112" customFormat="1" x14ac:dyDescent="0.25">
      <c r="A789" s="113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2"/>
      <c r="X789" s="2"/>
    </row>
    <row r="790" spans="1:24" s="112" customFormat="1" x14ac:dyDescent="0.25">
      <c r="A790" s="113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2"/>
      <c r="X790" s="2"/>
    </row>
    <row r="791" spans="1:24" s="112" customFormat="1" x14ac:dyDescent="0.25">
      <c r="A791" s="113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2"/>
      <c r="X791" s="2"/>
    </row>
    <row r="792" spans="1:24" s="112" customFormat="1" x14ac:dyDescent="0.25">
      <c r="A792" s="113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2"/>
      <c r="X792" s="2"/>
    </row>
    <row r="793" spans="1:24" s="112" customFormat="1" x14ac:dyDescent="0.25">
      <c r="A793" s="113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2"/>
      <c r="X793" s="2"/>
    </row>
    <row r="794" spans="1:24" s="112" customFormat="1" x14ac:dyDescent="0.25">
      <c r="A794" s="113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2"/>
      <c r="X794" s="2"/>
    </row>
    <row r="795" spans="1:24" s="112" customFormat="1" x14ac:dyDescent="0.25">
      <c r="A795" s="113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2"/>
      <c r="X795" s="2"/>
    </row>
    <row r="796" spans="1:24" s="112" customFormat="1" x14ac:dyDescent="0.25">
      <c r="A796" s="113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2"/>
      <c r="X796" s="2"/>
    </row>
    <row r="797" spans="1:24" s="112" customFormat="1" x14ac:dyDescent="0.25">
      <c r="A797" s="113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2"/>
      <c r="X797" s="2"/>
    </row>
    <row r="798" spans="1:24" s="112" customFormat="1" x14ac:dyDescent="0.25">
      <c r="A798" s="113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2"/>
      <c r="X798" s="2"/>
    </row>
    <row r="799" spans="1:24" s="112" customFormat="1" x14ac:dyDescent="0.25">
      <c r="A799" s="113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2"/>
      <c r="X799" s="2"/>
    </row>
    <row r="800" spans="1:24" s="112" customFormat="1" x14ac:dyDescent="0.25">
      <c r="A800" s="113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2"/>
      <c r="X800" s="2"/>
    </row>
    <row r="801" spans="1:24" s="112" customFormat="1" x14ac:dyDescent="0.25">
      <c r="A801" s="113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2"/>
      <c r="X801" s="2"/>
    </row>
    <row r="802" spans="1:24" s="112" customFormat="1" x14ac:dyDescent="0.25">
      <c r="A802" s="113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2"/>
      <c r="X802" s="2"/>
    </row>
    <row r="803" spans="1:24" s="112" customFormat="1" x14ac:dyDescent="0.25">
      <c r="A803" s="113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2"/>
      <c r="X803" s="2"/>
    </row>
    <row r="804" spans="1:24" s="112" customFormat="1" x14ac:dyDescent="0.25">
      <c r="A804" s="113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2"/>
      <c r="X804" s="2"/>
    </row>
    <row r="805" spans="1:24" s="112" customFormat="1" x14ac:dyDescent="0.25">
      <c r="A805" s="113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2"/>
      <c r="X805" s="2"/>
    </row>
    <row r="806" spans="1:24" s="112" customFormat="1" x14ac:dyDescent="0.25">
      <c r="A806" s="113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2"/>
      <c r="X806" s="2"/>
    </row>
    <row r="807" spans="1:24" s="112" customFormat="1" x14ac:dyDescent="0.25">
      <c r="A807" s="113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2"/>
      <c r="X807" s="2"/>
    </row>
    <row r="808" spans="1:24" s="112" customFormat="1" x14ac:dyDescent="0.25">
      <c r="A808" s="113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2"/>
      <c r="X808" s="2"/>
    </row>
    <row r="809" spans="1:24" s="112" customFormat="1" x14ac:dyDescent="0.25">
      <c r="A809" s="113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2"/>
      <c r="X809" s="2"/>
    </row>
    <row r="810" spans="1:24" s="112" customFormat="1" x14ac:dyDescent="0.25">
      <c r="A810" s="113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2"/>
      <c r="X810" s="2"/>
    </row>
    <row r="811" spans="1:24" s="112" customFormat="1" x14ac:dyDescent="0.25">
      <c r="A811" s="113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2"/>
      <c r="X811" s="2"/>
    </row>
    <row r="812" spans="1:24" s="112" customFormat="1" x14ac:dyDescent="0.25">
      <c r="A812" s="113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2"/>
      <c r="X812" s="2"/>
    </row>
    <row r="813" spans="1:24" s="112" customFormat="1" x14ac:dyDescent="0.25">
      <c r="A813" s="113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2"/>
      <c r="X813" s="2"/>
    </row>
    <row r="814" spans="1:24" s="112" customFormat="1" x14ac:dyDescent="0.25">
      <c r="A814" s="113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2"/>
      <c r="X814" s="2"/>
    </row>
    <row r="815" spans="1:24" s="112" customFormat="1" x14ac:dyDescent="0.25">
      <c r="A815" s="113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2"/>
      <c r="X815" s="2"/>
    </row>
    <row r="816" spans="1:24" s="112" customFormat="1" x14ac:dyDescent="0.25">
      <c r="A816" s="113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2"/>
      <c r="X816" s="2"/>
    </row>
    <row r="817" spans="1:24" s="112" customFormat="1" x14ac:dyDescent="0.25">
      <c r="A817" s="113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2"/>
      <c r="X817" s="2"/>
    </row>
    <row r="818" spans="1:24" s="112" customFormat="1" x14ac:dyDescent="0.25">
      <c r="A818" s="113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2"/>
      <c r="X818" s="2"/>
    </row>
    <row r="819" spans="1:24" s="112" customFormat="1" x14ac:dyDescent="0.25">
      <c r="A819" s="113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2"/>
      <c r="X819" s="2"/>
    </row>
    <row r="820" spans="1:24" s="112" customFormat="1" x14ac:dyDescent="0.25">
      <c r="A820" s="113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2"/>
      <c r="X820" s="2"/>
    </row>
    <row r="821" spans="1:24" s="112" customFormat="1" x14ac:dyDescent="0.25">
      <c r="A821" s="113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2"/>
      <c r="X821" s="2"/>
    </row>
    <row r="822" spans="1:24" s="112" customFormat="1" x14ac:dyDescent="0.25">
      <c r="A822" s="113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2"/>
      <c r="X822" s="2"/>
    </row>
    <row r="823" spans="1:24" s="112" customFormat="1" x14ac:dyDescent="0.25">
      <c r="A823" s="113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2"/>
      <c r="X823" s="2"/>
    </row>
    <row r="824" spans="1:24" s="112" customFormat="1" x14ac:dyDescent="0.25">
      <c r="A824" s="113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2"/>
      <c r="X824" s="2"/>
    </row>
    <row r="825" spans="1:24" s="112" customFormat="1" x14ac:dyDescent="0.25">
      <c r="A825" s="113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2"/>
      <c r="X825" s="2"/>
    </row>
    <row r="826" spans="1:24" s="112" customFormat="1" x14ac:dyDescent="0.25">
      <c r="A826" s="113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2"/>
      <c r="X826" s="2"/>
    </row>
    <row r="827" spans="1:24" s="112" customFormat="1" x14ac:dyDescent="0.25">
      <c r="A827" s="113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2"/>
      <c r="X827" s="2"/>
    </row>
    <row r="828" spans="1:24" s="112" customFormat="1" x14ac:dyDescent="0.25">
      <c r="A828" s="113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2"/>
      <c r="X828" s="2"/>
    </row>
    <row r="829" spans="1:24" s="112" customFormat="1" x14ac:dyDescent="0.25">
      <c r="A829" s="113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2"/>
      <c r="X829" s="2"/>
    </row>
    <row r="830" spans="1:24" s="112" customFormat="1" x14ac:dyDescent="0.25">
      <c r="A830" s="113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2"/>
      <c r="X830" s="2"/>
    </row>
    <row r="831" spans="1:24" s="112" customFormat="1" x14ac:dyDescent="0.25">
      <c r="A831" s="113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2"/>
      <c r="X831" s="2"/>
    </row>
    <row r="832" spans="1:24" s="112" customFormat="1" x14ac:dyDescent="0.25">
      <c r="A832" s="113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2"/>
      <c r="X832" s="2"/>
    </row>
    <row r="833" spans="1:24" s="112" customFormat="1" x14ac:dyDescent="0.25">
      <c r="A833" s="113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2"/>
      <c r="X833" s="2"/>
    </row>
    <row r="834" spans="1:24" s="112" customFormat="1" x14ac:dyDescent="0.25">
      <c r="A834" s="113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2"/>
      <c r="X834" s="2"/>
    </row>
    <row r="835" spans="1:24" s="112" customFormat="1" x14ac:dyDescent="0.25">
      <c r="A835" s="113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2"/>
      <c r="X835" s="2"/>
    </row>
    <row r="836" spans="1:24" s="112" customFormat="1" x14ac:dyDescent="0.25">
      <c r="A836" s="113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2"/>
      <c r="X836" s="2"/>
    </row>
    <row r="837" spans="1:24" s="112" customFormat="1" x14ac:dyDescent="0.25">
      <c r="A837" s="113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2"/>
      <c r="X837" s="2"/>
    </row>
    <row r="838" spans="1:24" s="112" customFormat="1" x14ac:dyDescent="0.25">
      <c r="A838" s="113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2"/>
      <c r="X838" s="2"/>
    </row>
    <row r="839" spans="1:24" s="112" customFormat="1" x14ac:dyDescent="0.25">
      <c r="A839" s="113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2"/>
      <c r="X839" s="2"/>
    </row>
    <row r="840" spans="1:24" s="112" customFormat="1" x14ac:dyDescent="0.25">
      <c r="A840" s="113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2"/>
      <c r="X840" s="2"/>
    </row>
    <row r="841" spans="1:24" s="112" customFormat="1" x14ac:dyDescent="0.25">
      <c r="A841" s="113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2"/>
      <c r="X841" s="2"/>
    </row>
    <row r="842" spans="1:24" s="112" customFormat="1" x14ac:dyDescent="0.25">
      <c r="A842" s="113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2"/>
      <c r="X842" s="2"/>
    </row>
    <row r="843" spans="1:24" s="112" customFormat="1" x14ac:dyDescent="0.25">
      <c r="A843" s="113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2"/>
      <c r="X843" s="2"/>
    </row>
    <row r="844" spans="1:24" s="112" customFormat="1" x14ac:dyDescent="0.25">
      <c r="A844" s="113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2"/>
      <c r="X844" s="2"/>
    </row>
    <row r="845" spans="1:24" s="112" customFormat="1" x14ac:dyDescent="0.25">
      <c r="A845" s="113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2"/>
      <c r="X845" s="2"/>
    </row>
    <row r="846" spans="1:24" s="112" customFormat="1" x14ac:dyDescent="0.25">
      <c r="A846" s="113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2"/>
      <c r="X846" s="2"/>
    </row>
    <row r="847" spans="1:24" s="112" customFormat="1" x14ac:dyDescent="0.25">
      <c r="A847" s="113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2"/>
      <c r="X847" s="2"/>
    </row>
    <row r="848" spans="1:24" s="112" customFormat="1" x14ac:dyDescent="0.25">
      <c r="A848" s="113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2"/>
      <c r="X848" s="2"/>
    </row>
    <row r="849" spans="1:24" s="112" customFormat="1" x14ac:dyDescent="0.25">
      <c r="A849" s="113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2"/>
      <c r="X849" s="2"/>
    </row>
    <row r="850" spans="1:24" s="112" customFormat="1" x14ac:dyDescent="0.25">
      <c r="A850" s="113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2"/>
      <c r="X850" s="2"/>
    </row>
    <row r="851" spans="1:24" s="112" customFormat="1" x14ac:dyDescent="0.25">
      <c r="A851" s="113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2"/>
      <c r="X851" s="2"/>
    </row>
    <row r="852" spans="1:24" s="112" customFormat="1" x14ac:dyDescent="0.25">
      <c r="A852" s="113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2"/>
      <c r="X852" s="2"/>
    </row>
    <row r="853" spans="1:24" s="112" customFormat="1" x14ac:dyDescent="0.25">
      <c r="A853" s="113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2"/>
      <c r="X853" s="2"/>
    </row>
    <row r="854" spans="1:24" s="112" customFormat="1" x14ac:dyDescent="0.25">
      <c r="A854" s="113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2"/>
      <c r="X854" s="2"/>
    </row>
    <row r="855" spans="1:24" s="112" customFormat="1" x14ac:dyDescent="0.25">
      <c r="A855" s="113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2"/>
      <c r="X855" s="2"/>
    </row>
    <row r="856" spans="1:24" s="112" customFormat="1" x14ac:dyDescent="0.25">
      <c r="A856" s="113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2"/>
      <c r="X856" s="2"/>
    </row>
    <row r="857" spans="1:24" s="112" customFormat="1" x14ac:dyDescent="0.25">
      <c r="A857" s="113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2"/>
      <c r="X857" s="2"/>
    </row>
    <row r="858" spans="1:24" s="112" customFormat="1" x14ac:dyDescent="0.25">
      <c r="A858" s="113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2"/>
      <c r="X858" s="2"/>
    </row>
    <row r="859" spans="1:24" s="112" customFormat="1" x14ac:dyDescent="0.25">
      <c r="A859" s="113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2"/>
      <c r="X859" s="2"/>
    </row>
    <row r="860" spans="1:24" s="112" customFormat="1" x14ac:dyDescent="0.25">
      <c r="A860" s="113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2"/>
      <c r="X860" s="2"/>
    </row>
    <row r="861" spans="1:24" s="112" customFormat="1" x14ac:dyDescent="0.25">
      <c r="A861" s="113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2"/>
      <c r="X861" s="2"/>
    </row>
    <row r="862" spans="1:24" s="112" customFormat="1" x14ac:dyDescent="0.25">
      <c r="A862" s="113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2"/>
      <c r="X862" s="2"/>
    </row>
    <row r="863" spans="1:24" s="112" customFormat="1" x14ac:dyDescent="0.25">
      <c r="A863" s="113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2"/>
      <c r="X863" s="2"/>
    </row>
    <row r="864" spans="1:24" s="112" customFormat="1" x14ac:dyDescent="0.25">
      <c r="A864" s="113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2"/>
      <c r="X864" s="2"/>
    </row>
    <row r="865" spans="1:24" s="112" customFormat="1" x14ac:dyDescent="0.25">
      <c r="A865" s="113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2"/>
      <c r="X865" s="2"/>
    </row>
    <row r="866" spans="1:24" s="112" customFormat="1" x14ac:dyDescent="0.25">
      <c r="A866" s="113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2"/>
      <c r="X866" s="2"/>
    </row>
    <row r="867" spans="1:24" s="112" customFormat="1" x14ac:dyDescent="0.25">
      <c r="A867" s="113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2"/>
      <c r="X867" s="2"/>
    </row>
    <row r="868" spans="1:24" s="112" customFormat="1" x14ac:dyDescent="0.25">
      <c r="A868" s="113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2"/>
      <c r="X868" s="2"/>
    </row>
    <row r="869" spans="1:24" s="112" customFormat="1" x14ac:dyDescent="0.25">
      <c r="A869" s="113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2"/>
      <c r="X869" s="2"/>
    </row>
    <row r="870" spans="1:24" s="112" customFormat="1" x14ac:dyDescent="0.25">
      <c r="A870" s="113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2"/>
      <c r="X870" s="2"/>
    </row>
    <row r="871" spans="1:24" s="112" customFormat="1" x14ac:dyDescent="0.25">
      <c r="A871" s="113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2"/>
      <c r="X871" s="2"/>
    </row>
    <row r="872" spans="1:24" s="112" customFormat="1" x14ac:dyDescent="0.25">
      <c r="A872" s="113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2"/>
      <c r="X872" s="2"/>
    </row>
    <row r="873" spans="1:24" s="112" customFormat="1" x14ac:dyDescent="0.25">
      <c r="A873" s="113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2"/>
      <c r="X873" s="2"/>
    </row>
    <row r="874" spans="1:24" s="112" customFormat="1" x14ac:dyDescent="0.25">
      <c r="A874" s="113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2"/>
      <c r="X874" s="2"/>
    </row>
    <row r="875" spans="1:24" s="112" customFormat="1" x14ac:dyDescent="0.25">
      <c r="A875" s="113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2"/>
      <c r="X875" s="2"/>
    </row>
    <row r="876" spans="1:24" s="112" customFormat="1" x14ac:dyDescent="0.25">
      <c r="A876" s="113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2"/>
      <c r="X876" s="2"/>
    </row>
    <row r="877" spans="1:24" s="112" customFormat="1" x14ac:dyDescent="0.25">
      <c r="A877" s="113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2"/>
      <c r="X877" s="2"/>
    </row>
    <row r="878" spans="1:24" s="112" customFormat="1" x14ac:dyDescent="0.25">
      <c r="A878" s="113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2"/>
      <c r="X878" s="2"/>
    </row>
    <row r="879" spans="1:24" s="112" customFormat="1" x14ac:dyDescent="0.25">
      <c r="A879" s="113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2"/>
      <c r="X879" s="2"/>
    </row>
    <row r="880" spans="1:24" s="112" customFormat="1" x14ac:dyDescent="0.25">
      <c r="A880" s="113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2"/>
      <c r="X880" s="2"/>
    </row>
    <row r="881" spans="1:24" s="112" customFormat="1" x14ac:dyDescent="0.25">
      <c r="A881" s="113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2"/>
      <c r="X881" s="2"/>
    </row>
    <row r="882" spans="1:24" s="112" customFormat="1" x14ac:dyDescent="0.25">
      <c r="A882" s="113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2"/>
      <c r="X882" s="2"/>
    </row>
    <row r="883" spans="1:24" s="112" customFormat="1" x14ac:dyDescent="0.25">
      <c r="A883" s="113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2"/>
      <c r="X883" s="2"/>
    </row>
    <row r="884" spans="1:24" s="112" customFormat="1" x14ac:dyDescent="0.25">
      <c r="A884" s="113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2"/>
      <c r="X884" s="2"/>
    </row>
    <row r="885" spans="1:24" s="112" customFormat="1" x14ac:dyDescent="0.25">
      <c r="A885" s="113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2"/>
      <c r="X885" s="2"/>
    </row>
    <row r="886" spans="1:24" s="112" customFormat="1" x14ac:dyDescent="0.25">
      <c r="A886" s="113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2"/>
      <c r="X886" s="2"/>
    </row>
    <row r="887" spans="1:24" s="112" customFormat="1" x14ac:dyDescent="0.25">
      <c r="A887" s="113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2"/>
      <c r="X887" s="2"/>
    </row>
    <row r="888" spans="1:24" s="112" customFormat="1" x14ac:dyDescent="0.25">
      <c r="A888" s="113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2"/>
      <c r="X888" s="2"/>
    </row>
    <row r="889" spans="1:24" s="112" customFormat="1" x14ac:dyDescent="0.25">
      <c r="A889" s="113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2"/>
      <c r="X889" s="2"/>
    </row>
    <row r="890" spans="1:24" s="112" customFormat="1" x14ac:dyDescent="0.25">
      <c r="A890" s="113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2"/>
      <c r="X890" s="2"/>
    </row>
    <row r="891" spans="1:24" s="112" customFormat="1" x14ac:dyDescent="0.25">
      <c r="A891" s="113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2"/>
      <c r="X891" s="2"/>
    </row>
    <row r="892" spans="1:24" s="112" customFormat="1" x14ac:dyDescent="0.25">
      <c r="A892" s="113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2"/>
      <c r="X892" s="2"/>
    </row>
    <row r="893" spans="1:24" s="112" customFormat="1" x14ac:dyDescent="0.25">
      <c r="A893" s="113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2"/>
      <c r="X893" s="2"/>
    </row>
    <row r="894" spans="1:24" s="112" customFormat="1" x14ac:dyDescent="0.25">
      <c r="A894" s="113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2"/>
      <c r="X894" s="2"/>
    </row>
    <row r="895" spans="1:24" s="112" customFormat="1" x14ac:dyDescent="0.25">
      <c r="A895" s="113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2"/>
      <c r="X895" s="2"/>
    </row>
    <row r="896" spans="1:24" s="112" customFormat="1" x14ac:dyDescent="0.25">
      <c r="A896" s="113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2"/>
      <c r="X896" s="2"/>
    </row>
    <row r="897" spans="1:24" s="112" customFormat="1" x14ac:dyDescent="0.25">
      <c r="A897" s="113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2"/>
      <c r="X897" s="2"/>
    </row>
    <row r="898" spans="1:24" s="112" customFormat="1" x14ac:dyDescent="0.25">
      <c r="A898" s="113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2"/>
      <c r="X898" s="2"/>
    </row>
    <row r="899" spans="1:24" s="112" customFormat="1" x14ac:dyDescent="0.25">
      <c r="A899" s="113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2"/>
      <c r="X899" s="2"/>
    </row>
    <row r="900" spans="1:24" s="112" customFormat="1" x14ac:dyDescent="0.25">
      <c r="A900" s="113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2"/>
      <c r="X900" s="2"/>
    </row>
    <row r="901" spans="1:24" s="112" customFormat="1" x14ac:dyDescent="0.25">
      <c r="A901" s="113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2"/>
      <c r="X901" s="2"/>
    </row>
    <row r="902" spans="1:24" s="112" customFormat="1" x14ac:dyDescent="0.25">
      <c r="A902" s="113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2"/>
      <c r="X902" s="2"/>
    </row>
    <row r="903" spans="1:24" s="112" customFormat="1" x14ac:dyDescent="0.25">
      <c r="A903" s="113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2"/>
      <c r="X903" s="2"/>
    </row>
    <row r="904" spans="1:24" s="112" customFormat="1" x14ac:dyDescent="0.25">
      <c r="A904" s="113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2"/>
      <c r="X904" s="2"/>
    </row>
    <row r="905" spans="1:24" s="112" customFormat="1" x14ac:dyDescent="0.25">
      <c r="A905" s="113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2"/>
      <c r="X905" s="2"/>
    </row>
    <row r="906" spans="1:24" s="112" customFormat="1" x14ac:dyDescent="0.25">
      <c r="A906" s="113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2"/>
      <c r="X906" s="2"/>
    </row>
    <row r="907" spans="1:24" s="112" customFormat="1" x14ac:dyDescent="0.25">
      <c r="A907" s="113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2"/>
      <c r="X907" s="2"/>
    </row>
    <row r="908" spans="1:24" s="112" customFormat="1" x14ac:dyDescent="0.25">
      <c r="A908" s="113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2"/>
      <c r="X908" s="2"/>
    </row>
    <row r="909" spans="1:24" s="112" customFormat="1" x14ac:dyDescent="0.25">
      <c r="A909" s="113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2"/>
      <c r="X909" s="2"/>
    </row>
    <row r="910" spans="1:24" s="112" customFormat="1" x14ac:dyDescent="0.25">
      <c r="A910" s="113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2"/>
      <c r="X910" s="2"/>
    </row>
    <row r="911" spans="1:24" s="112" customFormat="1" x14ac:dyDescent="0.25">
      <c r="A911" s="113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2"/>
      <c r="X911" s="2"/>
    </row>
    <row r="912" spans="1:24" s="112" customFormat="1" x14ac:dyDescent="0.25">
      <c r="A912" s="113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2"/>
      <c r="X912" s="2"/>
    </row>
    <row r="913" spans="1:24" s="112" customFormat="1" x14ac:dyDescent="0.25">
      <c r="A913" s="113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2"/>
      <c r="X913" s="2"/>
    </row>
    <row r="914" spans="1:24" s="112" customFormat="1" x14ac:dyDescent="0.25">
      <c r="A914" s="113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2"/>
      <c r="X914" s="2"/>
    </row>
    <row r="915" spans="1:24" s="112" customFormat="1" x14ac:dyDescent="0.25">
      <c r="A915" s="113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2"/>
      <c r="X915" s="2"/>
    </row>
    <row r="916" spans="1:24" s="112" customFormat="1" x14ac:dyDescent="0.25">
      <c r="A916" s="113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2"/>
      <c r="X916" s="2"/>
    </row>
    <row r="917" spans="1:24" s="112" customFormat="1" x14ac:dyDescent="0.25">
      <c r="A917" s="113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2"/>
      <c r="X917" s="2"/>
    </row>
    <row r="918" spans="1:24" s="112" customFormat="1" x14ac:dyDescent="0.25">
      <c r="A918" s="113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2"/>
      <c r="X918" s="2"/>
    </row>
    <row r="919" spans="1:24" s="112" customFormat="1" x14ac:dyDescent="0.25">
      <c r="A919" s="113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2"/>
      <c r="X919" s="2"/>
    </row>
    <row r="920" spans="1:24" s="112" customFormat="1" x14ac:dyDescent="0.25">
      <c r="A920" s="113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2"/>
      <c r="X920" s="2"/>
    </row>
    <row r="921" spans="1:24" s="112" customFormat="1" x14ac:dyDescent="0.25">
      <c r="A921" s="113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2"/>
      <c r="X921" s="2"/>
    </row>
    <row r="922" spans="1:24" s="112" customFormat="1" x14ac:dyDescent="0.25">
      <c r="A922" s="113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2"/>
      <c r="X922" s="2"/>
    </row>
    <row r="923" spans="1:24" s="112" customFormat="1" x14ac:dyDescent="0.25">
      <c r="A923" s="113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2"/>
      <c r="X923" s="2"/>
    </row>
    <row r="924" spans="1:24" s="112" customFormat="1" x14ac:dyDescent="0.25">
      <c r="A924" s="113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2"/>
      <c r="X924" s="2"/>
    </row>
    <row r="925" spans="1:24" s="112" customFormat="1" x14ac:dyDescent="0.25">
      <c r="A925" s="113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2"/>
      <c r="X925" s="2"/>
    </row>
    <row r="926" spans="1:24" s="112" customFormat="1" x14ac:dyDescent="0.25">
      <c r="A926" s="113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2"/>
      <c r="X926" s="2"/>
    </row>
    <row r="927" spans="1:24" s="112" customFormat="1" x14ac:dyDescent="0.25">
      <c r="A927" s="113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2"/>
      <c r="X927" s="2"/>
    </row>
    <row r="928" spans="1:24" s="112" customFormat="1" x14ac:dyDescent="0.25">
      <c r="A928" s="113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2"/>
      <c r="X928" s="2"/>
    </row>
    <row r="929" spans="1:24" s="112" customFormat="1" x14ac:dyDescent="0.25">
      <c r="A929" s="113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2"/>
      <c r="X929" s="2"/>
    </row>
    <row r="930" spans="1:24" s="112" customFormat="1" x14ac:dyDescent="0.25">
      <c r="A930" s="113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2"/>
      <c r="X930" s="2"/>
    </row>
    <row r="931" spans="1:24" s="112" customFormat="1" x14ac:dyDescent="0.25">
      <c r="A931" s="113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2"/>
      <c r="X931" s="2"/>
    </row>
    <row r="932" spans="1:24" s="112" customFormat="1" x14ac:dyDescent="0.25">
      <c r="A932" s="113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2"/>
      <c r="X932" s="2"/>
    </row>
    <row r="933" spans="1:24" s="112" customFormat="1" x14ac:dyDescent="0.25">
      <c r="A933" s="113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2"/>
      <c r="X933" s="2"/>
    </row>
    <row r="934" spans="1:24" s="112" customFormat="1" x14ac:dyDescent="0.25">
      <c r="A934" s="113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2"/>
      <c r="X934" s="2"/>
    </row>
    <row r="935" spans="1:24" s="112" customFormat="1" x14ac:dyDescent="0.25">
      <c r="A935" s="113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2"/>
      <c r="X935" s="2"/>
    </row>
    <row r="936" spans="1:24" s="112" customFormat="1" x14ac:dyDescent="0.25">
      <c r="A936" s="113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2"/>
      <c r="X936" s="2"/>
    </row>
    <row r="937" spans="1:24" s="112" customFormat="1" x14ac:dyDescent="0.25">
      <c r="A937" s="113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2"/>
      <c r="X937" s="2"/>
    </row>
    <row r="938" spans="1:24" s="112" customFormat="1" x14ac:dyDescent="0.25">
      <c r="A938" s="113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2"/>
      <c r="X938" s="2"/>
    </row>
    <row r="939" spans="1:24" s="112" customFormat="1" x14ac:dyDescent="0.25">
      <c r="A939" s="113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2"/>
      <c r="X939" s="2"/>
    </row>
    <row r="940" spans="1:24" s="112" customFormat="1" x14ac:dyDescent="0.25">
      <c r="A940" s="113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2"/>
      <c r="X940" s="2"/>
    </row>
    <row r="941" spans="1:24" s="112" customFormat="1" x14ac:dyDescent="0.25">
      <c r="A941" s="113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2"/>
      <c r="X941" s="2"/>
    </row>
    <row r="942" spans="1:24" s="112" customFormat="1" x14ac:dyDescent="0.25">
      <c r="A942" s="113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2"/>
      <c r="X942" s="2"/>
    </row>
    <row r="943" spans="1:24" s="112" customFormat="1" x14ac:dyDescent="0.25">
      <c r="A943" s="113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2"/>
      <c r="X943" s="2"/>
    </row>
    <row r="944" spans="1:24" s="112" customFormat="1" x14ac:dyDescent="0.25">
      <c r="A944" s="113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2"/>
      <c r="X944" s="2"/>
    </row>
    <row r="945" spans="1:24" s="112" customFormat="1" x14ac:dyDescent="0.25">
      <c r="A945" s="113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2"/>
      <c r="X945" s="2"/>
    </row>
    <row r="946" spans="1:24" s="112" customFormat="1" x14ac:dyDescent="0.25">
      <c r="A946" s="113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2"/>
      <c r="X946" s="2"/>
    </row>
    <row r="947" spans="1:24" s="112" customFormat="1" x14ac:dyDescent="0.25">
      <c r="A947" s="113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2"/>
      <c r="X947" s="2"/>
    </row>
    <row r="948" spans="1:24" s="112" customFormat="1" x14ac:dyDescent="0.25">
      <c r="A948" s="113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2"/>
      <c r="X948" s="2"/>
    </row>
    <row r="949" spans="1:24" s="112" customFormat="1" x14ac:dyDescent="0.25">
      <c r="A949" s="113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2"/>
      <c r="X949" s="2"/>
    </row>
    <row r="950" spans="1:24" s="112" customFormat="1" x14ac:dyDescent="0.25">
      <c r="A950" s="113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2"/>
      <c r="X950" s="2"/>
    </row>
    <row r="951" spans="1:24" s="112" customFormat="1" x14ac:dyDescent="0.25">
      <c r="A951" s="113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2"/>
      <c r="X951" s="2"/>
    </row>
    <row r="952" spans="1:24" s="112" customFormat="1" x14ac:dyDescent="0.25">
      <c r="A952" s="113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2"/>
      <c r="X952" s="2"/>
    </row>
    <row r="953" spans="1:24" s="112" customFormat="1" x14ac:dyDescent="0.25">
      <c r="A953" s="113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2"/>
      <c r="X953" s="2"/>
    </row>
    <row r="954" spans="1:24" s="112" customFormat="1" x14ac:dyDescent="0.25">
      <c r="A954" s="113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2"/>
      <c r="X954" s="2"/>
    </row>
    <row r="955" spans="1:24" s="112" customFormat="1" x14ac:dyDescent="0.25">
      <c r="A955" s="113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2"/>
      <c r="X955" s="2"/>
    </row>
    <row r="956" spans="1:24" s="112" customFormat="1" x14ac:dyDescent="0.25">
      <c r="A956" s="113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2"/>
      <c r="X956" s="2"/>
    </row>
    <row r="957" spans="1:24" s="112" customFormat="1" x14ac:dyDescent="0.25">
      <c r="A957" s="113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2"/>
      <c r="X957" s="2"/>
    </row>
    <row r="958" spans="1:24" s="112" customFormat="1" x14ac:dyDescent="0.25">
      <c r="A958" s="113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2"/>
      <c r="X958" s="2"/>
    </row>
    <row r="959" spans="1:24" s="112" customFormat="1" x14ac:dyDescent="0.25">
      <c r="A959" s="113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2"/>
      <c r="X959" s="2"/>
    </row>
    <row r="960" spans="1:24" s="112" customFormat="1" x14ac:dyDescent="0.25">
      <c r="A960" s="113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2"/>
      <c r="X960" s="2"/>
    </row>
    <row r="961" spans="1:24" s="112" customFormat="1" x14ac:dyDescent="0.25">
      <c r="A961" s="113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2"/>
      <c r="X961" s="2"/>
    </row>
    <row r="962" spans="1:24" s="112" customFormat="1" x14ac:dyDescent="0.25">
      <c r="A962" s="113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2"/>
      <c r="X962" s="2"/>
    </row>
    <row r="963" spans="1:24" s="112" customFormat="1" x14ac:dyDescent="0.25">
      <c r="A963" s="113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2"/>
      <c r="X963" s="2"/>
    </row>
    <row r="964" spans="1:24" s="112" customFormat="1" x14ac:dyDescent="0.25">
      <c r="A964" s="113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2"/>
      <c r="X964" s="2"/>
    </row>
    <row r="965" spans="1:24" s="112" customFormat="1" x14ac:dyDescent="0.25">
      <c r="A965" s="113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2"/>
      <c r="X965" s="2"/>
    </row>
    <row r="966" spans="1:24" s="112" customFormat="1" x14ac:dyDescent="0.25">
      <c r="A966" s="113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2"/>
      <c r="X966" s="2"/>
    </row>
    <row r="967" spans="1:24" s="112" customFormat="1" x14ac:dyDescent="0.25">
      <c r="A967" s="113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2"/>
      <c r="X967" s="2"/>
    </row>
    <row r="968" spans="1:24" s="112" customFormat="1" x14ac:dyDescent="0.25">
      <c r="A968" s="113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2"/>
      <c r="X968" s="2"/>
    </row>
    <row r="969" spans="1:24" s="112" customFormat="1" x14ac:dyDescent="0.25">
      <c r="A969" s="113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2"/>
      <c r="X969" s="2"/>
    </row>
    <row r="970" spans="1:24" s="112" customFormat="1" x14ac:dyDescent="0.25">
      <c r="A970" s="113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2"/>
      <c r="X970" s="2"/>
    </row>
    <row r="971" spans="1:24" s="112" customFormat="1" x14ac:dyDescent="0.25">
      <c r="A971" s="113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2"/>
      <c r="X971" s="2"/>
    </row>
    <row r="972" spans="1:24" s="112" customFormat="1" x14ac:dyDescent="0.25">
      <c r="A972" s="113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2"/>
      <c r="X972" s="2"/>
    </row>
    <row r="973" spans="1:24" s="112" customFormat="1" x14ac:dyDescent="0.25">
      <c r="A973" s="113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2"/>
      <c r="X973" s="2"/>
    </row>
    <row r="974" spans="1:24" s="112" customFormat="1" x14ac:dyDescent="0.25">
      <c r="A974" s="113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2"/>
      <c r="X974" s="2"/>
    </row>
    <row r="975" spans="1:24" s="112" customFormat="1" x14ac:dyDescent="0.25">
      <c r="A975" s="113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2"/>
      <c r="X975" s="2"/>
    </row>
    <row r="976" spans="1:24" s="112" customFormat="1" x14ac:dyDescent="0.25">
      <c r="A976" s="113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2"/>
      <c r="X976" s="2"/>
    </row>
    <row r="977" spans="1:24" s="112" customFormat="1" x14ac:dyDescent="0.25">
      <c r="A977" s="113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2"/>
      <c r="X977" s="2"/>
    </row>
    <row r="978" spans="1:24" s="112" customFormat="1" x14ac:dyDescent="0.25">
      <c r="A978" s="113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2"/>
      <c r="X978" s="2"/>
    </row>
    <row r="979" spans="1:24" s="112" customFormat="1" x14ac:dyDescent="0.25">
      <c r="A979" s="113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2"/>
      <c r="X979" s="2"/>
    </row>
    <row r="980" spans="1:24" s="112" customFormat="1" x14ac:dyDescent="0.25">
      <c r="A980" s="113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2"/>
      <c r="X980" s="2"/>
    </row>
    <row r="981" spans="1:24" s="112" customFormat="1" x14ac:dyDescent="0.25">
      <c r="A981" s="113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2"/>
      <c r="X981" s="2"/>
    </row>
    <row r="982" spans="1:24" s="112" customFormat="1" x14ac:dyDescent="0.25">
      <c r="A982" s="113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2"/>
      <c r="X982" s="2"/>
    </row>
    <row r="983" spans="1:24" s="112" customFormat="1" x14ac:dyDescent="0.25">
      <c r="A983" s="113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2"/>
      <c r="X983" s="2"/>
    </row>
    <row r="984" spans="1:24" s="112" customFormat="1" x14ac:dyDescent="0.25">
      <c r="A984" s="113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2"/>
      <c r="X984" s="2"/>
    </row>
    <row r="985" spans="1:24" s="112" customFormat="1" x14ac:dyDescent="0.25">
      <c r="A985" s="113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2"/>
      <c r="X985" s="2"/>
    </row>
    <row r="986" spans="1:24" s="112" customFormat="1" x14ac:dyDescent="0.25">
      <c r="A986" s="113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2"/>
      <c r="X986" s="2"/>
    </row>
    <row r="987" spans="1:24" s="112" customFormat="1" x14ac:dyDescent="0.25">
      <c r="A987" s="113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2"/>
      <c r="X987" s="2"/>
    </row>
    <row r="988" spans="1:24" s="112" customFormat="1" x14ac:dyDescent="0.25">
      <c r="A988" s="113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2"/>
      <c r="X988" s="2"/>
    </row>
    <row r="989" spans="1:24" s="112" customFormat="1" x14ac:dyDescent="0.25">
      <c r="A989" s="113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2"/>
      <c r="X989" s="2"/>
    </row>
    <row r="990" spans="1:24" s="112" customFormat="1" x14ac:dyDescent="0.25">
      <c r="A990" s="113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2"/>
      <c r="X990" s="2"/>
    </row>
    <row r="991" spans="1:24" s="112" customFormat="1" x14ac:dyDescent="0.25">
      <c r="A991" s="113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2"/>
      <c r="X991" s="2"/>
    </row>
    <row r="992" spans="1:24" s="112" customFormat="1" x14ac:dyDescent="0.25">
      <c r="A992" s="113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2"/>
      <c r="X992" s="2"/>
    </row>
    <row r="993" spans="1:24" s="112" customFormat="1" x14ac:dyDescent="0.25">
      <c r="A993" s="113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2"/>
      <c r="X993" s="2"/>
    </row>
    <row r="994" spans="1:24" s="112" customFormat="1" x14ac:dyDescent="0.25">
      <c r="A994" s="113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2"/>
      <c r="X994" s="2"/>
    </row>
    <row r="995" spans="1:24" s="112" customFormat="1" x14ac:dyDescent="0.25">
      <c r="A995" s="113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2"/>
      <c r="X995" s="2"/>
    </row>
    <row r="996" spans="1:24" s="112" customFormat="1" x14ac:dyDescent="0.25">
      <c r="A996" s="113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2"/>
      <c r="X996" s="2"/>
    </row>
    <row r="997" spans="1:24" s="112" customFormat="1" x14ac:dyDescent="0.25">
      <c r="A997" s="113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2"/>
      <c r="X997" s="2"/>
    </row>
    <row r="998" spans="1:24" s="112" customFormat="1" x14ac:dyDescent="0.25">
      <c r="A998" s="113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2"/>
      <c r="X998" s="2"/>
    </row>
    <row r="999" spans="1:24" s="112" customFormat="1" x14ac:dyDescent="0.25">
      <c r="A999" s="113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2"/>
      <c r="X999" s="2"/>
    </row>
    <row r="1000" spans="1:24" s="112" customFormat="1" x14ac:dyDescent="0.25">
      <c r="A1000" s="113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2"/>
      <c r="X1000" s="2"/>
    </row>
    <row r="1001" spans="1:24" s="112" customFormat="1" x14ac:dyDescent="0.25">
      <c r="A1001" s="113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2"/>
      <c r="X1001" s="2"/>
    </row>
    <row r="1002" spans="1:24" s="112" customFormat="1" x14ac:dyDescent="0.25">
      <c r="A1002" s="113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2"/>
      <c r="X1002" s="2"/>
    </row>
    <row r="1003" spans="1:24" s="112" customFormat="1" x14ac:dyDescent="0.25">
      <c r="A1003" s="113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2"/>
      <c r="X1003" s="2"/>
    </row>
    <row r="1004" spans="1:24" s="112" customFormat="1" x14ac:dyDescent="0.25">
      <c r="A1004" s="113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2"/>
      <c r="X1004" s="2"/>
    </row>
    <row r="1005" spans="1:24" s="112" customFormat="1" x14ac:dyDescent="0.25">
      <c r="A1005" s="113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2"/>
      <c r="X1005" s="2"/>
    </row>
    <row r="1006" spans="1:24" s="112" customFormat="1" x14ac:dyDescent="0.25">
      <c r="A1006" s="113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2"/>
      <c r="X1006" s="2"/>
    </row>
    <row r="1007" spans="1:24" s="112" customFormat="1" x14ac:dyDescent="0.25">
      <c r="A1007" s="113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2"/>
      <c r="X1007" s="2"/>
    </row>
    <row r="1008" spans="1:24" s="112" customFormat="1" x14ac:dyDescent="0.25">
      <c r="A1008" s="113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2"/>
      <c r="X1008" s="2"/>
    </row>
    <row r="1009" spans="1:24" s="112" customFormat="1" x14ac:dyDescent="0.25">
      <c r="A1009" s="113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2"/>
      <c r="X1009" s="2"/>
    </row>
    <row r="1010" spans="1:24" s="112" customFormat="1" x14ac:dyDescent="0.25">
      <c r="A1010" s="113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2"/>
      <c r="X1010" s="2"/>
    </row>
    <row r="1011" spans="1:24" s="112" customFormat="1" x14ac:dyDescent="0.25">
      <c r="A1011" s="113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2"/>
      <c r="X1011" s="2"/>
    </row>
    <row r="1012" spans="1:24" s="112" customFormat="1" x14ac:dyDescent="0.25">
      <c r="A1012" s="113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2"/>
      <c r="X1012" s="2"/>
    </row>
    <row r="1013" spans="1:24" s="112" customFormat="1" x14ac:dyDescent="0.25">
      <c r="A1013" s="113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2"/>
      <c r="X1013" s="2"/>
    </row>
    <row r="1014" spans="1:24" s="112" customFormat="1" x14ac:dyDescent="0.25">
      <c r="A1014" s="113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2"/>
      <c r="X1014" s="2"/>
    </row>
    <row r="1015" spans="1:24" s="112" customFormat="1" x14ac:dyDescent="0.25">
      <c r="A1015" s="113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2"/>
      <c r="X1015" s="2"/>
    </row>
    <row r="1016" spans="1:24" s="112" customFormat="1" x14ac:dyDescent="0.25">
      <c r="A1016" s="113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2"/>
      <c r="X1016" s="2"/>
    </row>
    <row r="1017" spans="1:24" s="112" customFormat="1" x14ac:dyDescent="0.25">
      <c r="A1017" s="113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2"/>
      <c r="X1017" s="2"/>
    </row>
    <row r="1018" spans="1:24" s="112" customFormat="1" x14ac:dyDescent="0.25">
      <c r="A1018" s="113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2"/>
      <c r="X1018" s="2"/>
    </row>
    <row r="1019" spans="1:24" s="112" customFormat="1" x14ac:dyDescent="0.25">
      <c r="A1019" s="113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2"/>
      <c r="X1019" s="2"/>
    </row>
    <row r="1020" spans="1:24" s="112" customFormat="1" x14ac:dyDescent="0.25">
      <c r="A1020" s="113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2"/>
      <c r="X1020" s="2"/>
    </row>
    <row r="1021" spans="1:24" s="112" customFormat="1" x14ac:dyDescent="0.25">
      <c r="A1021" s="113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2"/>
      <c r="X1021" s="2"/>
    </row>
    <row r="1022" spans="1:24" s="112" customFormat="1" x14ac:dyDescent="0.25">
      <c r="A1022" s="113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2"/>
      <c r="X1022" s="2"/>
    </row>
    <row r="1023" spans="1:24" s="112" customFormat="1" x14ac:dyDescent="0.25">
      <c r="A1023" s="113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2"/>
      <c r="X1023" s="2"/>
    </row>
    <row r="1024" spans="1:24" s="112" customFormat="1" x14ac:dyDescent="0.25">
      <c r="A1024" s="113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2"/>
      <c r="X1024" s="2"/>
    </row>
    <row r="1025" spans="1:24" s="112" customFormat="1" x14ac:dyDescent="0.25">
      <c r="A1025" s="113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2"/>
      <c r="X1025" s="2"/>
    </row>
    <row r="1026" spans="1:24" s="112" customFormat="1" x14ac:dyDescent="0.25">
      <c r="A1026" s="113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2"/>
      <c r="X1026" s="2"/>
    </row>
    <row r="1027" spans="1:24" s="112" customFormat="1" x14ac:dyDescent="0.25">
      <c r="A1027" s="113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2"/>
      <c r="X1027" s="2"/>
    </row>
    <row r="1028" spans="1:24" s="112" customFormat="1" x14ac:dyDescent="0.25">
      <c r="A1028" s="113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2"/>
      <c r="X1028" s="2"/>
    </row>
    <row r="1029" spans="1:24" s="112" customFormat="1" x14ac:dyDescent="0.25">
      <c r="A1029" s="113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2"/>
      <c r="X1029" s="2"/>
    </row>
    <row r="1030" spans="1:24" s="112" customFormat="1" x14ac:dyDescent="0.25">
      <c r="A1030" s="113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2"/>
      <c r="X1030" s="2"/>
    </row>
    <row r="1031" spans="1:24" s="112" customFormat="1" x14ac:dyDescent="0.25">
      <c r="A1031" s="113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2"/>
      <c r="X1031" s="2"/>
    </row>
    <row r="1032" spans="1:24" s="112" customFormat="1" x14ac:dyDescent="0.25">
      <c r="A1032" s="113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2"/>
      <c r="X1032" s="2"/>
    </row>
    <row r="1033" spans="1:24" s="112" customFormat="1" x14ac:dyDescent="0.25">
      <c r="A1033" s="113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2"/>
      <c r="X1033" s="2"/>
    </row>
    <row r="1034" spans="1:24" s="112" customFormat="1" x14ac:dyDescent="0.25">
      <c r="A1034" s="113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2"/>
      <c r="X1034" s="2"/>
    </row>
    <row r="1035" spans="1:24" s="112" customFormat="1" x14ac:dyDescent="0.25">
      <c r="A1035" s="113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2"/>
      <c r="X1035" s="2"/>
    </row>
    <row r="1036" spans="1:24" s="112" customFormat="1" x14ac:dyDescent="0.25">
      <c r="A1036" s="113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2"/>
      <c r="X1036" s="2"/>
    </row>
    <row r="1037" spans="1:24" s="112" customFormat="1" x14ac:dyDescent="0.25">
      <c r="A1037" s="113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2"/>
      <c r="X1037" s="2"/>
    </row>
    <row r="1038" spans="1:24" s="112" customFormat="1" x14ac:dyDescent="0.25">
      <c r="A1038" s="113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2"/>
      <c r="X1038" s="2"/>
    </row>
    <row r="1039" spans="1:24" s="112" customFormat="1" x14ac:dyDescent="0.25">
      <c r="A1039" s="113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2"/>
      <c r="X1039" s="2"/>
    </row>
    <row r="1040" spans="1:24" s="112" customFormat="1" x14ac:dyDescent="0.25">
      <c r="A1040" s="113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2"/>
      <c r="X1040" s="2"/>
    </row>
    <row r="1041" spans="1:24" s="112" customFormat="1" x14ac:dyDescent="0.25">
      <c r="A1041" s="113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2"/>
      <c r="X1041" s="2"/>
    </row>
    <row r="1042" spans="1:24" s="112" customFormat="1" x14ac:dyDescent="0.25">
      <c r="A1042" s="113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2"/>
      <c r="X1042" s="2"/>
    </row>
    <row r="1043" spans="1:24" s="112" customFormat="1" x14ac:dyDescent="0.25">
      <c r="A1043" s="113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2"/>
      <c r="X1043" s="2"/>
    </row>
    <row r="1044" spans="1:24" s="112" customFormat="1" x14ac:dyDescent="0.25">
      <c r="A1044" s="113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2"/>
      <c r="X1044" s="2"/>
    </row>
    <row r="1045" spans="1:24" s="112" customFormat="1" x14ac:dyDescent="0.25">
      <c r="A1045" s="113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2"/>
      <c r="X1045" s="2"/>
    </row>
    <row r="1046" spans="1:24" s="112" customFormat="1" x14ac:dyDescent="0.25">
      <c r="A1046" s="113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2"/>
      <c r="X1046" s="2"/>
    </row>
    <row r="1047" spans="1:24" s="112" customFormat="1" x14ac:dyDescent="0.25">
      <c r="A1047" s="113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2"/>
      <c r="X1047" s="2"/>
    </row>
    <row r="1048" spans="1:24" s="112" customFormat="1" x14ac:dyDescent="0.25">
      <c r="A1048" s="113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2"/>
      <c r="X1048" s="2"/>
    </row>
    <row r="1049" spans="1:24" s="112" customFormat="1" x14ac:dyDescent="0.25">
      <c r="A1049" s="113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2"/>
      <c r="X1049" s="2"/>
    </row>
    <row r="1050" spans="1:24" s="112" customFormat="1" x14ac:dyDescent="0.25">
      <c r="A1050" s="113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2"/>
      <c r="X1050" s="2"/>
    </row>
    <row r="1051" spans="1:24" s="112" customFormat="1" x14ac:dyDescent="0.25">
      <c r="A1051" s="113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2"/>
      <c r="X1051" s="2"/>
    </row>
    <row r="1052" spans="1:24" s="112" customFormat="1" x14ac:dyDescent="0.25">
      <c r="A1052" s="113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2"/>
      <c r="X1052" s="2"/>
    </row>
    <row r="1053" spans="1:24" s="112" customFormat="1" x14ac:dyDescent="0.25">
      <c r="A1053" s="113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2"/>
      <c r="X1053" s="2"/>
    </row>
    <row r="1054" spans="1:24" s="112" customFormat="1" x14ac:dyDescent="0.25">
      <c r="A1054" s="113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2"/>
      <c r="X1054" s="2"/>
    </row>
    <row r="1055" spans="1:24" s="112" customFormat="1" x14ac:dyDescent="0.25">
      <c r="A1055" s="113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2"/>
      <c r="X1055" s="2"/>
    </row>
    <row r="1056" spans="1:24" s="112" customFormat="1" x14ac:dyDescent="0.25">
      <c r="A1056" s="113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2"/>
      <c r="X1056" s="2"/>
    </row>
    <row r="1057" spans="1:24" s="112" customFormat="1" x14ac:dyDescent="0.25">
      <c r="A1057" s="113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2"/>
      <c r="X1057" s="2"/>
    </row>
    <row r="1058" spans="1:24" s="112" customFormat="1" x14ac:dyDescent="0.25">
      <c r="A1058" s="113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2"/>
      <c r="X1058" s="2"/>
    </row>
    <row r="1059" spans="1:24" s="112" customFormat="1" x14ac:dyDescent="0.25">
      <c r="A1059" s="113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2"/>
      <c r="X1059" s="2"/>
    </row>
    <row r="1060" spans="1:24" s="112" customFormat="1" x14ac:dyDescent="0.25">
      <c r="A1060" s="113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2"/>
      <c r="X1060" s="2"/>
    </row>
    <row r="1061" spans="1:24" s="112" customFormat="1" x14ac:dyDescent="0.25">
      <c r="A1061" s="113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2"/>
      <c r="X1061" s="2"/>
    </row>
    <row r="1062" spans="1:24" s="112" customFormat="1" x14ac:dyDescent="0.25">
      <c r="A1062" s="113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2"/>
      <c r="X1062" s="2"/>
    </row>
    <row r="1063" spans="1:24" s="112" customFormat="1" x14ac:dyDescent="0.25">
      <c r="A1063" s="113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2"/>
      <c r="X1063" s="2"/>
    </row>
    <row r="1064" spans="1:24" s="112" customFormat="1" x14ac:dyDescent="0.25">
      <c r="A1064" s="113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2"/>
      <c r="X1064" s="2"/>
    </row>
    <row r="1065" spans="1:24" s="112" customFormat="1" x14ac:dyDescent="0.25">
      <c r="A1065" s="113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2"/>
      <c r="X1065" s="2"/>
    </row>
    <row r="1066" spans="1:24" s="112" customFormat="1" x14ac:dyDescent="0.25">
      <c r="A1066" s="113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2"/>
      <c r="X1066" s="2"/>
    </row>
    <row r="1067" spans="1:24" s="112" customFormat="1" x14ac:dyDescent="0.25">
      <c r="A1067" s="113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2"/>
      <c r="X1067" s="2"/>
    </row>
    <row r="1068" spans="1:24" s="112" customFormat="1" x14ac:dyDescent="0.25">
      <c r="A1068" s="113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2"/>
      <c r="X1068" s="2"/>
    </row>
    <row r="1069" spans="1:24" s="112" customFormat="1" x14ac:dyDescent="0.25">
      <c r="A1069" s="113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2"/>
      <c r="X1069" s="2"/>
    </row>
    <row r="1070" spans="1:24" s="112" customFormat="1" x14ac:dyDescent="0.25">
      <c r="A1070" s="113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2"/>
      <c r="X1070" s="2"/>
    </row>
    <row r="1071" spans="1:24" s="112" customFormat="1" x14ac:dyDescent="0.25">
      <c r="A1071" s="113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2"/>
      <c r="X1071" s="2"/>
    </row>
    <row r="1072" spans="1:24" s="112" customFormat="1" x14ac:dyDescent="0.25">
      <c r="A1072" s="113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2"/>
      <c r="X1072" s="2"/>
    </row>
    <row r="1073" spans="1:24" s="112" customFormat="1" x14ac:dyDescent="0.25">
      <c r="A1073" s="113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2"/>
      <c r="X1073" s="2"/>
    </row>
    <row r="1074" spans="1:24" s="112" customFormat="1" x14ac:dyDescent="0.25">
      <c r="A1074" s="113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2"/>
      <c r="X1074" s="2"/>
    </row>
    <row r="1075" spans="1:24" s="112" customFormat="1" x14ac:dyDescent="0.25">
      <c r="A1075" s="113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2"/>
      <c r="X1075" s="2"/>
    </row>
    <row r="1076" spans="1:24" s="112" customFormat="1" x14ac:dyDescent="0.25">
      <c r="A1076" s="113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2"/>
      <c r="X1076" s="2"/>
    </row>
    <row r="1077" spans="1:24" s="112" customFormat="1" x14ac:dyDescent="0.25">
      <c r="A1077" s="113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2"/>
      <c r="X1077" s="2"/>
    </row>
    <row r="1078" spans="1:24" s="112" customFormat="1" x14ac:dyDescent="0.25">
      <c r="A1078" s="113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2"/>
      <c r="X1078" s="2"/>
    </row>
    <row r="1079" spans="1:24" s="112" customFormat="1" x14ac:dyDescent="0.25">
      <c r="A1079" s="113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2"/>
      <c r="X1079" s="2"/>
    </row>
    <row r="1080" spans="1:24" s="112" customFormat="1" x14ac:dyDescent="0.25">
      <c r="A1080" s="113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2"/>
      <c r="X1080" s="2"/>
    </row>
    <row r="1081" spans="1:24" s="112" customFormat="1" x14ac:dyDescent="0.25">
      <c r="A1081" s="113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2"/>
      <c r="X1081" s="2"/>
    </row>
    <row r="1082" spans="1:24" s="112" customFormat="1" x14ac:dyDescent="0.25">
      <c r="A1082" s="113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2"/>
      <c r="X1082" s="2"/>
    </row>
    <row r="1083" spans="1:24" s="112" customFormat="1" x14ac:dyDescent="0.25">
      <c r="A1083" s="113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2"/>
      <c r="X1083" s="2"/>
    </row>
    <row r="1084" spans="1:24" s="112" customFormat="1" x14ac:dyDescent="0.25">
      <c r="A1084" s="113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2"/>
      <c r="X1084" s="2"/>
    </row>
    <row r="1085" spans="1:24" s="112" customFormat="1" x14ac:dyDescent="0.25">
      <c r="A1085" s="113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2"/>
      <c r="X1085" s="2"/>
    </row>
    <row r="1086" spans="1:24" s="112" customFormat="1" x14ac:dyDescent="0.25">
      <c r="A1086" s="113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2"/>
      <c r="X1086" s="2"/>
    </row>
    <row r="1087" spans="1:24" s="112" customFormat="1" x14ac:dyDescent="0.25">
      <c r="A1087" s="113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2"/>
      <c r="X1087" s="2"/>
    </row>
    <row r="1088" spans="1:24" s="112" customFormat="1" x14ac:dyDescent="0.25">
      <c r="A1088" s="113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2"/>
      <c r="X1088" s="2"/>
    </row>
    <row r="1089" spans="1:24" s="112" customFormat="1" x14ac:dyDescent="0.25">
      <c r="A1089" s="113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2"/>
      <c r="X1089" s="2"/>
    </row>
    <row r="1090" spans="1:24" s="112" customFormat="1" x14ac:dyDescent="0.25">
      <c r="A1090" s="113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2"/>
      <c r="X1090" s="2"/>
    </row>
    <row r="1091" spans="1:24" s="112" customFormat="1" x14ac:dyDescent="0.25">
      <c r="A1091" s="113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2"/>
      <c r="X1091" s="2"/>
    </row>
    <row r="1092" spans="1:24" s="112" customFormat="1" x14ac:dyDescent="0.25">
      <c r="A1092" s="113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2"/>
      <c r="X1092" s="2"/>
    </row>
    <row r="1093" spans="1:24" s="112" customFormat="1" x14ac:dyDescent="0.25">
      <c r="A1093" s="113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2"/>
      <c r="X1093" s="2"/>
    </row>
    <row r="1094" spans="1:24" s="112" customFormat="1" x14ac:dyDescent="0.25">
      <c r="A1094" s="113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2"/>
      <c r="X1094" s="2"/>
    </row>
    <row r="1095" spans="1:24" s="112" customFormat="1" x14ac:dyDescent="0.25">
      <c r="A1095" s="113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2"/>
      <c r="X1095" s="2"/>
    </row>
    <row r="1096" spans="1:24" s="112" customFormat="1" x14ac:dyDescent="0.25">
      <c r="A1096" s="113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2"/>
      <c r="X1096" s="2"/>
    </row>
    <row r="1097" spans="1:24" s="112" customFormat="1" x14ac:dyDescent="0.25">
      <c r="A1097" s="113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2"/>
      <c r="X1097" s="2"/>
    </row>
    <row r="1098" spans="1:24" s="112" customFormat="1" x14ac:dyDescent="0.25">
      <c r="A1098" s="113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2"/>
      <c r="X1098" s="2"/>
    </row>
    <row r="1099" spans="1:24" s="112" customFormat="1" x14ac:dyDescent="0.25">
      <c r="A1099" s="113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2"/>
      <c r="X1099" s="2"/>
    </row>
    <row r="1100" spans="1:24" s="112" customFormat="1" x14ac:dyDescent="0.25">
      <c r="A1100" s="113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2"/>
      <c r="X1100" s="2"/>
    </row>
    <row r="1101" spans="1:24" s="112" customFormat="1" x14ac:dyDescent="0.25">
      <c r="A1101" s="113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2"/>
      <c r="X1101" s="2"/>
    </row>
    <row r="1102" spans="1:24" s="112" customFormat="1" x14ac:dyDescent="0.25">
      <c r="A1102" s="113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2"/>
      <c r="X1102" s="2"/>
    </row>
    <row r="1103" spans="1:24" s="112" customFormat="1" x14ac:dyDescent="0.25">
      <c r="A1103" s="113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2"/>
      <c r="X1103" s="2"/>
    </row>
    <row r="1104" spans="1:24" s="112" customFormat="1" x14ac:dyDescent="0.25">
      <c r="A1104" s="113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2"/>
      <c r="X1104" s="2"/>
    </row>
    <row r="1105" spans="1:24" s="112" customFormat="1" x14ac:dyDescent="0.25">
      <c r="A1105" s="113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2"/>
      <c r="X1105" s="2"/>
    </row>
    <row r="1106" spans="1:24" s="112" customFormat="1" x14ac:dyDescent="0.25">
      <c r="A1106" s="113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2"/>
      <c r="X1106" s="2"/>
    </row>
    <row r="1107" spans="1:24" s="112" customFormat="1" x14ac:dyDescent="0.25">
      <c r="A1107" s="113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2"/>
      <c r="X1107" s="2"/>
    </row>
    <row r="1108" spans="1:24" s="112" customFormat="1" x14ac:dyDescent="0.25">
      <c r="A1108" s="113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2"/>
      <c r="X1108" s="2"/>
    </row>
    <row r="1109" spans="1:24" s="112" customFormat="1" x14ac:dyDescent="0.25">
      <c r="A1109" s="113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2"/>
      <c r="X1109" s="2"/>
    </row>
    <row r="1110" spans="1:24" s="112" customFormat="1" x14ac:dyDescent="0.25">
      <c r="A1110" s="113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2"/>
      <c r="X1110" s="2"/>
    </row>
    <row r="1111" spans="1:24" s="112" customFormat="1" x14ac:dyDescent="0.25">
      <c r="A1111" s="113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2"/>
      <c r="X1111" s="2"/>
    </row>
    <row r="1112" spans="1:24" s="112" customFormat="1" x14ac:dyDescent="0.25">
      <c r="A1112" s="113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2"/>
      <c r="X1112" s="2"/>
    </row>
    <row r="1113" spans="1:24" s="112" customFormat="1" x14ac:dyDescent="0.25">
      <c r="A1113" s="113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2"/>
      <c r="X1113" s="2"/>
    </row>
    <row r="1114" spans="1:24" s="112" customFormat="1" x14ac:dyDescent="0.25">
      <c r="A1114" s="113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2"/>
      <c r="X1114" s="2"/>
    </row>
    <row r="1115" spans="1:24" s="112" customFormat="1" x14ac:dyDescent="0.25">
      <c r="A1115" s="113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2"/>
      <c r="X1115" s="2"/>
    </row>
    <row r="1116" spans="1:24" s="112" customFormat="1" x14ac:dyDescent="0.25">
      <c r="A1116" s="113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2"/>
      <c r="X1116" s="2"/>
    </row>
    <row r="1117" spans="1:24" s="112" customFormat="1" x14ac:dyDescent="0.25">
      <c r="A1117" s="113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2"/>
      <c r="X1117" s="2"/>
    </row>
    <row r="1118" spans="1:24" s="112" customFormat="1" x14ac:dyDescent="0.25">
      <c r="A1118" s="113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2"/>
      <c r="X1118" s="2"/>
    </row>
    <row r="1119" spans="1:24" s="112" customFormat="1" x14ac:dyDescent="0.25">
      <c r="A1119" s="113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2"/>
      <c r="X1119" s="2"/>
    </row>
    <row r="1120" spans="1:24" s="112" customFormat="1" x14ac:dyDescent="0.25">
      <c r="A1120" s="113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2"/>
      <c r="X1120" s="2"/>
    </row>
    <row r="1121" spans="1:24" s="112" customFormat="1" x14ac:dyDescent="0.25">
      <c r="A1121" s="113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2"/>
      <c r="X1121" s="2"/>
    </row>
    <row r="1122" spans="1:24" s="112" customFormat="1" x14ac:dyDescent="0.25">
      <c r="A1122" s="113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2"/>
      <c r="X1122" s="2"/>
    </row>
    <row r="1123" spans="1:24" s="112" customFormat="1" x14ac:dyDescent="0.25">
      <c r="A1123" s="113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2"/>
      <c r="X1123" s="2"/>
    </row>
    <row r="1124" spans="1:24" s="112" customFormat="1" x14ac:dyDescent="0.25">
      <c r="A1124" s="113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2"/>
      <c r="X1124" s="2"/>
    </row>
    <row r="1125" spans="1:24" s="112" customFormat="1" x14ac:dyDescent="0.25">
      <c r="A1125" s="113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2"/>
      <c r="X1125" s="2"/>
    </row>
    <row r="1126" spans="1:24" s="112" customFormat="1" x14ac:dyDescent="0.25">
      <c r="A1126" s="113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2"/>
      <c r="X1126" s="2"/>
    </row>
    <row r="1127" spans="1:24" s="112" customFormat="1" x14ac:dyDescent="0.25">
      <c r="A1127" s="113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2"/>
      <c r="X1127" s="2"/>
    </row>
    <row r="1128" spans="1:24" s="112" customFormat="1" x14ac:dyDescent="0.25">
      <c r="A1128" s="113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2"/>
      <c r="X1128" s="2"/>
    </row>
    <row r="1129" spans="1:24" s="112" customFormat="1" x14ac:dyDescent="0.25">
      <c r="A1129" s="113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2"/>
      <c r="X1129" s="2"/>
    </row>
    <row r="1130" spans="1:24" s="112" customFormat="1" x14ac:dyDescent="0.25">
      <c r="A1130" s="113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2"/>
      <c r="X1130" s="2"/>
    </row>
    <row r="1131" spans="1:24" s="112" customFormat="1" x14ac:dyDescent="0.25">
      <c r="A1131" s="113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2"/>
      <c r="X1131" s="2"/>
    </row>
    <row r="1132" spans="1:24" s="112" customFormat="1" x14ac:dyDescent="0.25">
      <c r="A1132" s="113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2"/>
      <c r="X1132" s="2"/>
    </row>
    <row r="1133" spans="1:24" s="112" customFormat="1" x14ac:dyDescent="0.25">
      <c r="A1133" s="113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2"/>
      <c r="X1133" s="2"/>
    </row>
    <row r="1134" spans="1:24" s="112" customFormat="1" x14ac:dyDescent="0.25">
      <c r="A1134" s="113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2"/>
      <c r="X1134" s="2"/>
    </row>
    <row r="1135" spans="1:24" s="112" customFormat="1" x14ac:dyDescent="0.25">
      <c r="A1135" s="113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2"/>
      <c r="X1135" s="2"/>
    </row>
    <row r="1136" spans="1:24" s="112" customFormat="1" x14ac:dyDescent="0.25">
      <c r="A1136" s="113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2"/>
      <c r="X1136" s="2"/>
    </row>
    <row r="1137" spans="1:24" s="112" customFormat="1" x14ac:dyDescent="0.25">
      <c r="A1137" s="113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2"/>
      <c r="X1137" s="2"/>
    </row>
    <row r="1138" spans="1:24" s="112" customFormat="1" x14ac:dyDescent="0.25">
      <c r="A1138" s="113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2"/>
      <c r="X1138" s="2"/>
    </row>
    <row r="1139" spans="1:24" s="112" customFormat="1" x14ac:dyDescent="0.25">
      <c r="A1139" s="113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2"/>
      <c r="X1139" s="2"/>
    </row>
    <row r="1140" spans="1:24" s="112" customFormat="1" x14ac:dyDescent="0.25">
      <c r="A1140" s="113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2"/>
      <c r="X1140" s="2"/>
    </row>
    <row r="1141" spans="1:24" s="112" customFormat="1" x14ac:dyDescent="0.25">
      <c r="A1141" s="113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2"/>
      <c r="X1141" s="2"/>
    </row>
    <row r="1142" spans="1:24" s="112" customFormat="1" x14ac:dyDescent="0.25">
      <c r="A1142" s="113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2"/>
      <c r="X1142" s="2"/>
    </row>
    <row r="1143" spans="1:24" s="112" customFormat="1" x14ac:dyDescent="0.25">
      <c r="A1143" s="113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2"/>
      <c r="X1143" s="2"/>
    </row>
    <row r="1144" spans="1:24" s="112" customFormat="1" x14ac:dyDescent="0.25">
      <c r="A1144" s="113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2"/>
      <c r="X1144" s="2"/>
    </row>
    <row r="1145" spans="1:24" s="112" customFormat="1" x14ac:dyDescent="0.25">
      <c r="A1145" s="113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2"/>
      <c r="X1145" s="2"/>
    </row>
    <row r="1146" spans="1:24" s="112" customFormat="1" x14ac:dyDescent="0.25">
      <c r="A1146" s="113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2"/>
      <c r="X1146" s="2"/>
    </row>
    <row r="1147" spans="1:24" s="112" customFormat="1" x14ac:dyDescent="0.25">
      <c r="A1147" s="113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2"/>
      <c r="X1147" s="2"/>
    </row>
    <row r="1148" spans="1:24" s="112" customFormat="1" x14ac:dyDescent="0.25">
      <c r="A1148" s="113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2"/>
      <c r="X1148" s="2"/>
    </row>
    <row r="1149" spans="1:24" s="112" customFormat="1" x14ac:dyDescent="0.25">
      <c r="A1149" s="113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2"/>
      <c r="X1149" s="2"/>
    </row>
    <row r="1150" spans="1:24" s="112" customFormat="1" x14ac:dyDescent="0.25">
      <c r="A1150" s="113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2"/>
      <c r="X1150" s="2"/>
    </row>
    <row r="1151" spans="1:24" s="112" customFormat="1" x14ac:dyDescent="0.25">
      <c r="A1151" s="113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2"/>
      <c r="X1151" s="2"/>
    </row>
    <row r="1152" spans="1:24" s="112" customFormat="1" x14ac:dyDescent="0.25">
      <c r="A1152" s="113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2"/>
      <c r="X1152" s="2"/>
    </row>
    <row r="1153" spans="1:24" s="112" customFormat="1" x14ac:dyDescent="0.25">
      <c r="A1153" s="113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2"/>
      <c r="X1153" s="2"/>
    </row>
  </sheetData>
  <dataConsolidate/>
  <mergeCells count="4">
    <mergeCell ref="B1:D1"/>
    <mergeCell ref="E1:G1"/>
    <mergeCell ref="B2:G2"/>
    <mergeCell ref="I3:L3"/>
  </mergeCells>
  <phoneticPr fontId="19" type="noConversion"/>
  <conditionalFormatting sqref="B9:V9">
    <cfRule type="cellIs" dxfId="17" priority="38" operator="equal">
      <formula>0</formula>
    </cfRule>
  </conditionalFormatting>
  <conditionalFormatting sqref="X6">
    <cfRule type="cellIs" dxfId="16" priority="17" operator="equal">
      <formula>6</formula>
    </cfRule>
  </conditionalFormatting>
  <conditionalFormatting sqref="X8">
    <cfRule type="cellIs" dxfId="15" priority="16" operator="between">
      <formula>4.65625</formula>
      <formula>4.86458333333333</formula>
    </cfRule>
  </conditionalFormatting>
  <conditionalFormatting sqref="B6:V6">
    <cfRule type="cellIs" dxfId="14" priority="1" operator="equal">
      <formula>"."</formula>
    </cfRule>
    <cfRule type="cellIs" dxfId="13" priority="2" operator="equal">
      <formula>"G"</formula>
    </cfRule>
    <cfRule type="cellIs" dxfId="12" priority="3" operator="equal">
      <formula>"#"</formula>
    </cfRule>
    <cfRule type="cellIs" dxfId="11" priority="4" operator="equal">
      <formula>"v"</formula>
    </cfRule>
    <cfRule type="cellIs" dxfId="10" priority="5" operator="equal">
      <formula>"T"</formula>
    </cfRule>
    <cfRule type="cellIs" dxfId="9" priority="6" operator="equal">
      <formula>"H"</formula>
    </cfRule>
    <cfRule type="cellIs" dxfId="8" priority="7" operator="equal">
      <formula>"V"</formula>
    </cfRule>
    <cfRule type="containsText" dxfId="7" priority="8" operator="containsText" text="07:">
      <formula>NOT(ISERROR(SEARCH("07:",B6)))</formula>
    </cfRule>
    <cfRule type="containsText" dxfId="6" priority="9" operator="containsText" text="19:">
      <formula>NOT(ISERROR(SEARCH("19:",B6)))</formula>
    </cfRule>
    <cfRule type="containsText" dxfId="5" priority="10" operator="containsText" text="22:">
      <formula>NOT(ISERROR(SEARCH("22:",B6)))</formula>
    </cfRule>
    <cfRule type="containsText" dxfId="4" priority="11" operator="containsText" text="21:">
      <formula>NOT(ISERROR(SEARCH("21:",B6)))</formula>
    </cfRule>
    <cfRule type="containsText" dxfId="3" priority="12" operator="containsText" text="20:">
      <formula>NOT(ISERROR(SEARCH("20:",B6)))</formula>
    </cfRule>
    <cfRule type="containsText" dxfId="2" priority="13" operator="containsText" text="18:">
      <formula>NOT(ISERROR(SEARCH("18:",B6)))</formula>
    </cfRule>
    <cfRule type="containsText" dxfId="1" priority="14" operator="containsText" text="06">
      <formula>NOT(ISERROR(SEARCH("06",B6)))</formula>
    </cfRule>
    <cfRule type="containsText" dxfId="0" priority="15" operator="containsText" text="05">
      <formula>NOT(ISERROR(SEARCH("05",B6)))</formula>
    </cfRule>
  </conditionalFormatting>
  <printOptions gridLines="1"/>
  <pageMargins left="0.25" right="0.25" top="0.75" bottom="0.75" header="0.3" footer="0.3"/>
  <pageSetup paperSize="8" scale="5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vahvista_lista">
                <anchor moveWithCells="1" sizeWithCells="1">
                  <from>
                    <xdr:col>18</xdr:col>
                    <xdr:colOff>76200</xdr:colOff>
                    <xdr:row>0</xdr:row>
                    <xdr:rowOff>57150</xdr:rowOff>
                  </from>
                  <to>
                    <xdr:col>19</xdr:col>
                    <xdr:colOff>495300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vuorokoodit_ikkuna">
                <anchor moveWithCells="1" sizeWithCells="1">
                  <from>
                    <xdr:col>20</xdr:col>
                    <xdr:colOff>76200</xdr:colOff>
                    <xdr:row>0</xdr:row>
                    <xdr:rowOff>47625</xdr:rowOff>
                  </from>
                  <to>
                    <xdr:col>21</xdr:col>
                    <xdr:colOff>495300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96DF8-E3BA-490C-B590-672C9CA66379}">
  <sheetPr codeName="Sheet2">
    <tabColor rgb="FFFA6060"/>
  </sheetPr>
  <dimension ref="A1:B15"/>
  <sheetViews>
    <sheetView zoomScale="160" zoomScaleNormal="160" workbookViewId="0">
      <selection activeCell="D2" sqref="D2"/>
    </sheetView>
  </sheetViews>
  <sheetFormatPr defaultRowHeight="15" x14ac:dyDescent="0.25"/>
  <cols>
    <col min="1" max="1" width="16.42578125" customWidth="1"/>
    <col min="2" max="2" width="15" customWidth="1"/>
  </cols>
  <sheetData>
    <row r="1" spans="1:2" x14ac:dyDescent="0.25">
      <c r="A1" t="s">
        <v>78</v>
      </c>
      <c r="B1" t="s">
        <v>97</v>
      </c>
    </row>
    <row r="2" spans="1:2" x14ac:dyDescent="0.25">
      <c r="A2" t="s">
        <v>152</v>
      </c>
      <c r="B2" t="s">
        <v>153</v>
      </c>
    </row>
    <row r="3" spans="1:2" x14ac:dyDescent="0.25">
      <c r="A3" t="s">
        <v>154</v>
      </c>
      <c r="B3" t="s">
        <v>153</v>
      </c>
    </row>
    <row r="4" spans="1:2" x14ac:dyDescent="0.25">
      <c r="A4" t="s">
        <v>155</v>
      </c>
      <c r="B4" t="s">
        <v>153</v>
      </c>
    </row>
    <row r="5" spans="1:2" x14ac:dyDescent="0.25">
      <c r="A5" t="s">
        <v>81</v>
      </c>
      <c r="B5" t="s">
        <v>153</v>
      </c>
    </row>
    <row r="6" spans="1:2" x14ac:dyDescent="0.25">
      <c r="A6" t="s">
        <v>82</v>
      </c>
      <c r="B6" t="s">
        <v>153</v>
      </c>
    </row>
    <row r="7" spans="1:2" x14ac:dyDescent="0.25">
      <c r="A7" t="s">
        <v>156</v>
      </c>
      <c r="B7" t="s">
        <v>153</v>
      </c>
    </row>
    <row r="8" spans="1:2" x14ac:dyDescent="0.25">
      <c r="A8" t="s">
        <v>53</v>
      </c>
      <c r="B8" t="s">
        <v>157</v>
      </c>
    </row>
    <row r="9" spans="1:2" x14ac:dyDescent="0.25">
      <c r="A9" t="s">
        <v>52</v>
      </c>
      <c r="B9" t="s">
        <v>157</v>
      </c>
    </row>
    <row r="10" spans="1:2" x14ac:dyDescent="0.25">
      <c r="A10" t="s">
        <v>31</v>
      </c>
      <c r="B10" t="s">
        <v>158</v>
      </c>
    </row>
    <row r="11" spans="1:2" x14ac:dyDescent="0.25">
      <c r="A11" t="s">
        <v>159</v>
      </c>
      <c r="B11" t="s">
        <v>153</v>
      </c>
    </row>
    <row r="12" spans="1:2" x14ac:dyDescent="0.25">
      <c r="A12" t="s">
        <v>160</v>
      </c>
      <c r="B12" t="s">
        <v>157</v>
      </c>
    </row>
    <row r="13" spans="1:2" x14ac:dyDescent="0.25">
      <c r="A13" t="s">
        <v>33</v>
      </c>
      <c r="B13" t="s">
        <v>161</v>
      </c>
    </row>
    <row r="14" spans="1:2" x14ac:dyDescent="0.25">
      <c r="A14" t="s">
        <v>32</v>
      </c>
      <c r="B14" t="s">
        <v>162</v>
      </c>
    </row>
    <row r="15" spans="1:2" x14ac:dyDescent="0.25">
      <c r="A15" t="s">
        <v>30</v>
      </c>
      <c r="B15" t="s">
        <v>153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09C10-58A7-4761-B4A7-B25EC8F8CEFE}">
  <sheetPr codeName="Taul19">
    <tabColor rgb="FFFFFF00"/>
  </sheetPr>
  <dimension ref="A1:AB2"/>
  <sheetViews>
    <sheetView zoomScale="85" zoomScaleNormal="85" workbookViewId="0">
      <selection activeCell="J17" sqref="J17"/>
    </sheetView>
  </sheetViews>
  <sheetFormatPr defaultRowHeight="15" x14ac:dyDescent="0.25"/>
  <cols>
    <col min="1" max="1" width="22.140625" style="99" customWidth="1"/>
    <col min="2" max="22" width="6.85546875" style="99" customWidth="1"/>
    <col min="23" max="23" width="11.7109375" style="99" customWidth="1"/>
    <col min="24" max="27" width="6.85546875" style="99" customWidth="1"/>
    <col min="28" max="28" width="8.85546875" style="2"/>
  </cols>
  <sheetData>
    <row r="1" spans="1:27" s="98" customFormat="1" ht="15" customHeight="1" x14ac:dyDescent="0.25">
      <c r="A1" s="100" t="s">
        <v>127</v>
      </c>
      <c r="B1" s="98" t="s">
        <v>87</v>
      </c>
      <c r="C1" s="98" t="s">
        <v>88</v>
      </c>
      <c r="D1" s="98" t="s">
        <v>89</v>
      </c>
      <c r="E1" s="98" t="s">
        <v>90</v>
      </c>
      <c r="F1" s="98" t="s">
        <v>91</v>
      </c>
      <c r="G1" s="98" t="s">
        <v>92</v>
      </c>
      <c r="H1" s="98" t="s">
        <v>93</v>
      </c>
      <c r="I1" s="98" t="s">
        <v>128</v>
      </c>
      <c r="J1" s="98" t="s">
        <v>129</v>
      </c>
      <c r="K1" s="98" t="s">
        <v>130</v>
      </c>
      <c r="L1" s="98" t="s">
        <v>131</v>
      </c>
      <c r="M1" s="98" t="s">
        <v>132</v>
      </c>
      <c r="N1" s="98" t="s">
        <v>133</v>
      </c>
      <c r="O1" s="98" t="s">
        <v>134</v>
      </c>
      <c r="P1" s="98" t="s">
        <v>135</v>
      </c>
      <c r="Q1" s="98" t="s">
        <v>136</v>
      </c>
      <c r="R1" s="98" t="s">
        <v>137</v>
      </c>
      <c r="S1" s="98" t="s">
        <v>138</v>
      </c>
      <c r="T1" s="98" t="s">
        <v>139</v>
      </c>
      <c r="U1" s="98" t="s">
        <v>140</v>
      </c>
      <c r="V1" s="98" t="s">
        <v>141</v>
      </c>
      <c r="W1" s="98" t="s">
        <v>54</v>
      </c>
      <c r="X1" s="98" t="s">
        <v>142</v>
      </c>
      <c r="Y1" s="98" t="s">
        <v>143</v>
      </c>
      <c r="Z1" s="98" t="s">
        <v>144</v>
      </c>
      <c r="AA1" s="98" t="s">
        <v>145</v>
      </c>
    </row>
    <row r="2" spans="1:27" ht="33.75" customHeight="1" x14ac:dyDescent="0.25"/>
  </sheetData>
  <pageMargins left="0.70866141732283472" right="0.70866141732283472" top="0.74803149606299213" bottom="0.74803149606299213" header="0.31496062992125984" footer="0.31496062992125984"/>
  <pageSetup paperSize="9" fitToHeight="5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de76e59-b3ad-4907-8c87-c14f1855fec1">
      <Terms xmlns="http://schemas.microsoft.com/office/infopath/2007/PartnerControls"/>
    </lcf76f155ced4ddcb4097134ff3c332f>
    <TaxCatchAll xmlns="e8c2b9cd-df2f-495e-a270-2723faae4cec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Asiakirja" ma:contentTypeID="0x0101003B82174E7A1C7F4AA07B964195B1FC05" ma:contentTypeVersion="12" ma:contentTypeDescription="Luo uusi asiakirja." ma:contentTypeScope="" ma:versionID="165edf77e65c829fecc7d89a357a17b0">
  <xsd:schema xmlns:xsd="http://www.w3.org/2001/XMLSchema" xmlns:xs="http://www.w3.org/2001/XMLSchema" xmlns:p="http://schemas.microsoft.com/office/2006/metadata/properties" xmlns:ns2="bde76e59-b3ad-4907-8c87-c14f1855fec1" xmlns:ns3="e8c2b9cd-df2f-495e-a270-2723faae4cec" targetNamespace="http://schemas.microsoft.com/office/2006/metadata/properties" ma:root="true" ma:fieldsID="d2f82649ff470127059ab1f9811fe58a" ns2:_="" ns3:_="">
    <xsd:import namespace="bde76e59-b3ad-4907-8c87-c14f1855fec1"/>
    <xsd:import namespace="e8c2b9cd-df2f-495e-a270-2723faae4ce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e76e59-b3ad-4907-8c87-c14f1855fe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Kuvien tunnisteet" ma:readOnly="false" ma:fieldId="{5cf76f15-5ced-4ddc-b409-7134ff3c332f}" ma:taxonomyMulti="true" ma:sspId="8ac6db3c-6098-40de-8db1-2007c488883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c2b9cd-df2f-495e-a270-2723faae4ce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Jaettu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Jakamisen tiedot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d0b8617c-d63f-43e5-9cee-5a2e6bb473b2}" ma:internalName="TaxCatchAll" ma:showField="CatchAllData" ma:web="e8c2b9cd-df2f-495e-a270-2723faae4ce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Sisältölaji"/>
        <xsd:element ref="dc:title" minOccurs="0" maxOccurs="1" ma:index="4" ma:displayName="Otsikk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BEEF0C-AF42-4A68-8DC2-BA0D71A228B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B1545FB-421D-430F-AD15-A6B8D68476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B07C5BA-68E7-4986-9DD9-B53EE2544219}">
  <ds:schemaRefs>
    <ds:schemaRef ds:uri="http://purl.org/dc/dcmitype/"/>
    <ds:schemaRef ds:uri="ae14a3e9-be8b-4f00-93a1-12c0c1d8e7b4"/>
    <ds:schemaRef ds:uri="http://purl.org/dc/elements/1.1/"/>
    <ds:schemaRef ds:uri="http://schemas.microsoft.com/office/2006/metadata/properties"/>
    <ds:schemaRef ds:uri="http://schemas.microsoft.com/office/2006/documentManagement/types"/>
    <ds:schemaRef ds:uri="1fbf9a0c-67cf-40e9-8927-8a248646266a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bde76e59-b3ad-4907-8c87-c14f1855fec1"/>
    <ds:schemaRef ds:uri="e8c2b9cd-df2f-495e-a270-2723faae4cec"/>
  </ds:schemaRefs>
</ds:datastoreItem>
</file>

<file path=customXml/itemProps4.xml><?xml version="1.0" encoding="utf-8"?>
<ds:datastoreItem xmlns:ds="http://schemas.openxmlformats.org/officeDocument/2006/customXml" ds:itemID="{DD6523E7-0C42-4848-AEDF-740D671BEC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e76e59-b3ad-4907-8c87-c14f1855fec1"/>
    <ds:schemaRef ds:uri="e8c2b9cd-df2f-495e-a270-2723faae4ce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Etusivu</vt:lpstr>
      <vt:lpstr>Vuorokoodit</vt:lpstr>
      <vt:lpstr>Työntekijät</vt:lpstr>
      <vt:lpstr>Kiertotunnus</vt:lpstr>
      <vt:lpstr>Liitokset</vt:lpstr>
      <vt:lpstr>Omakierto</vt:lpstr>
      <vt:lpstr>Tehtavat</vt:lpstr>
      <vt:lpstr>Omakausi</vt:lpstr>
      <vt:lpstr>pHiekkalaatikko</vt:lpstr>
      <vt:lpstr>Hiekkalaatikko</vt:lpstr>
      <vt:lpstr>pIsot</vt:lpstr>
      <vt:lpstr>Ryhmäasetukset</vt:lpstr>
      <vt:lpstr>Koontilista</vt:lpstr>
      <vt:lpstr>Hiekkalaatikko!Print_Area</vt:lpstr>
      <vt:lpstr>Omakausi!Print_Area</vt:lpstr>
      <vt:lpstr>pHiekkalaatikko!Print_Area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Laattala Lauri</dc:creator>
  <cp:keywords/>
  <dc:description/>
  <cp:lastModifiedBy>Haavisto Jaakko</cp:lastModifiedBy>
  <cp:revision/>
  <cp:lastPrinted>2023-09-29T09:30:54Z</cp:lastPrinted>
  <dcterms:created xsi:type="dcterms:W3CDTF">2023-02-08T08:16:50Z</dcterms:created>
  <dcterms:modified xsi:type="dcterms:W3CDTF">2023-10-26T12:31:42Z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0x0101001858308AEEC98442A91AE1DCD2B80FF3</vt:lpwstr>
  </property>
  <property fmtid="{D5CDD505-2E9C-101B-9397-08002B2CF9AE}" pid="3" name="MediaServiceImageTags">
    <vt:lpwstr/>
  </property>
</Properties>
</file>